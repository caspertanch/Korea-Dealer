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6" tabRatio="735" firstSheet="0" activeTab="2" autoFilterDateGrouping="1"/>
  </bookViews>
  <sheets>
    <sheet xmlns:r="http://schemas.openxmlformats.org/officeDocument/2006/relationships" name="READ ME" sheetId="1" state="visible" r:id="rId1"/>
    <sheet xmlns:r="http://schemas.openxmlformats.org/officeDocument/2006/relationships" name="02_Pipeline_Stages" sheetId="2" state="visible" r:id="rId2"/>
    <sheet xmlns:r="http://schemas.openxmlformats.org/officeDocument/2006/relationships" name="Outreach Summary" sheetId="3" state="visible" r:id="rId3"/>
    <sheet xmlns:r="http://schemas.openxmlformats.org/officeDocument/2006/relationships" name="Japan Dealers" sheetId="4" state="visible" r:id="rId4"/>
    <sheet xmlns:r="http://schemas.openxmlformats.org/officeDocument/2006/relationships" name="Japan VET_additional" sheetId="5" state="visible" r:id="rId5"/>
    <sheet xmlns:r="http://schemas.openxmlformats.org/officeDocument/2006/relationships" name="Korea Dealers" sheetId="6" state="visible" r:id="rId6"/>
    <sheet xmlns:r="http://schemas.openxmlformats.org/officeDocument/2006/relationships" name="Taiwan Dealers" sheetId="7" state="visible" r:id="rId7"/>
    <sheet xmlns:r="http://schemas.openxmlformats.org/officeDocument/2006/relationships" name="Singapore Dealers" sheetId="8" state="visible" r:id="rId8"/>
    <sheet xmlns:r="http://schemas.openxmlformats.org/officeDocument/2006/relationships" name="Outreach Log" sheetId="9" state="visible" r:id="rId9"/>
    <sheet xmlns:r="http://schemas.openxmlformats.org/officeDocument/2006/relationships" name="Singapore End Users" sheetId="10" state="visible" r:id="rId10"/>
    <sheet xmlns:r="http://schemas.openxmlformats.org/officeDocument/2006/relationships" name="Japan End Users &amp; KOL" sheetId="11" state="visible" r:id="rId11"/>
    <sheet xmlns:r="http://schemas.openxmlformats.org/officeDocument/2006/relationships" name="Korea End Users &amp; KOL" sheetId="12" state="visible" r:id="rId12"/>
    <sheet xmlns:r="http://schemas.openxmlformats.org/officeDocument/2006/relationships" name="Taiwan End Users &amp; KOL" sheetId="13" state="visible" r:id="rId13"/>
    <sheet xmlns:r="http://schemas.openxmlformats.org/officeDocument/2006/relationships" name="Reference — Do Not Contact" sheetId="14" state="visible" r:id="rId14"/>
    <sheet xmlns:r="http://schemas.openxmlformats.org/officeDocument/2006/relationships" name="Why These Contacts" sheetId="15" state="visible" r:id="rId15"/>
    <sheet xmlns:r="http://schemas.openxmlformats.org/officeDocument/2006/relationships" name="Channel Resources" sheetId="16" state="visible" r:id="rId16"/>
    <sheet xmlns:r="http://schemas.openxmlformats.org/officeDocument/2006/relationships" name="Search Terms" sheetId="17" state="visible" r:id="rId17"/>
    <sheet xmlns:r="http://schemas.openxmlformats.org/officeDocument/2006/relationships" name="Email Templates" sheetId="18" state="visible" r:id="rId18"/>
    <sheet xmlns:r="http://schemas.openxmlformats.org/officeDocument/2006/relationships" name="Top 10 Engage Now" sheetId="19" state="visible" r:id="rId19"/>
    <sheet xmlns:r="http://schemas.openxmlformats.org/officeDocument/2006/relationships" name="Bench 11-20" sheetId="20" state="visible" r:id="rId20"/>
    <sheet xmlns:r="http://schemas.openxmlformats.org/officeDocument/2006/relationships" name="Engagement rules" sheetId="21" state="visible" r:id="rId21"/>
    <sheet xmlns:r="http://schemas.openxmlformats.org/officeDocument/2006/relationships" name="Verification" sheetId="22" state="visible" r:id="rId22"/>
    <sheet xmlns:r="http://schemas.openxmlformats.org/officeDocument/2006/relationships" name="Product Registration" sheetId="23" state="visible" r:id="rId23"/>
    <sheet xmlns:r="http://schemas.openxmlformats.org/officeDocument/2006/relationships" name="Corrections Log" sheetId="24" state="visible" r:id="rId24"/>
    <sheet xmlns:r="http://schemas.openxmlformats.org/officeDocument/2006/relationships" name="v9 Reconciliation (MDv3)" sheetId="25" state="visible" r:id="rId25"/>
    <sheet xmlns:r="http://schemas.openxmlformats.org/officeDocument/2006/relationships" name="Reconciliation (v2.0)" sheetId="26" state="visible" r:id="rId26"/>
    <sheet xmlns:r="http://schemas.openxmlformats.org/officeDocument/2006/relationships" name="Merge Log" sheetId="27" state="visible" r:id="rId27"/>
  </sheets>
  <definedNames>
    <definedName name="Stage_List">'02_Pipeline_Stages'!$B$5:$B$13</definedName>
    <definedName name="_xlnm._FilterDatabase" localSheetId="3" hidden="1">'Japan Dealers'!$A$4:$X$48</definedName>
    <definedName name="_xlnm._FilterDatabase" localSheetId="4" hidden="1">'Japan VET_additional'!$A$4:$AG$263</definedName>
    <definedName name="_xlnm._FilterDatabase" localSheetId="5" hidden="1">'Korea Dealers'!$A$4:$X$36</definedName>
    <definedName name="_xlnm._FilterDatabase" localSheetId="6" hidden="1">'Taiwan Dealers'!$A$4:$X$30</definedName>
    <definedName name="_xlnm._FilterDatabase" localSheetId="7" hidden="1">'Singapore Dealers'!$A$4:$X$8</definedName>
    <definedName name="_xlnm._FilterDatabase" localSheetId="8" hidden="1">'Outreach Log'!$A$4:$M$17</definedName>
    <definedName name="_xlnm._FilterDatabase" localSheetId="9" hidden="1">'Singapore End Users'!$A$4:$W$78</definedName>
    <definedName name="_xlnm._FilterDatabase" localSheetId="10" hidden="1">'Japan End Users &amp; KOL'!$A$4:$V$32</definedName>
    <definedName name="_xlnm._FilterDatabase" localSheetId="11" hidden="1">'Korea End Users &amp; KOL'!$A$4:$V$30</definedName>
    <definedName name="_xlnm._FilterDatabase" localSheetId="12" hidden="1">'Taiwan End Users &amp; KOL'!$A$4:$V$51</definedName>
    <definedName name="_xlnm._FilterDatabase" localSheetId="13" hidden="1">'Reference — Do Not Contact'!$A$4:$H$18</definedName>
    <definedName name="_xlnm._FilterDatabase" localSheetId="14" hidden="1">'Why These Contacts'!$A$4:$E$22</definedName>
    <definedName name="_xlnm._FilterDatabase" localSheetId="15" hidden="1">'Channel Resources'!$A$4:$K$29</definedName>
    <definedName name="_xlnm._FilterDatabase" localSheetId="16" hidden="1">'Search Terms'!$A$4:$E$50</definedName>
    <definedName name="_xlnm._FilterDatabase" localSheetId="18" hidden="1">'Top 10 Engage Now'!$A$5:$P$16</definedName>
    <definedName name="_xlnm._FilterDatabase" localSheetId="24" hidden="1">'v9 Reconciliation (MDv3)'!$A$4:$F$43</definedName>
    <definedName name="_xlnm._FilterDatabase" localSheetId="26" hidden="1">'Merge Log'!$A$4:$E$38</definedName>
  </definedNames>
  <calcPr calcId="191029" fullCalcOnLoad="1" iterateDelta="0.0001"/>
</workbook>
</file>

<file path=xl/styles.xml><?xml version="1.0" encoding="utf-8"?>
<styleSheet xmlns="http://schemas.openxmlformats.org/spreadsheetml/2006/main">
  <numFmts count="3">
    <numFmt numFmtId="164" formatCode="yyyy\-mm\-dd"/>
    <numFmt numFmtId="165" formatCode="yyyy-mm-dd"/>
    <numFmt numFmtId="166" formatCode="dd mmm yyyy"/>
  </numFmts>
  <fonts count="51">
    <font>
      <name val="Calibri"/>
      <charset val="1"/>
      <family val="2"/>
      <color theme="1"/>
      <sz val="11"/>
    </font>
    <font>
      <name val="Arial"/>
      <charset val="1"/>
      <b val="1"/>
      <color rgb="FF1F3864"/>
      <sz val="14"/>
    </font>
    <font>
      <name val="Arial"/>
      <charset val="1"/>
      <sz val="9"/>
    </font>
    <font>
      <name val="Arial"/>
      <charset val="1"/>
      <color rgb="FF595959"/>
      <sz val="9"/>
    </font>
    <font>
      <name val="Arial"/>
      <charset val="1"/>
      <b val="1"/>
      <color rgb="FF000000"/>
      <sz val="9"/>
    </font>
    <font>
      <name val="Arial"/>
      <charset val="1"/>
      <b val="1"/>
      <sz val="10"/>
    </font>
    <font>
      <name val="Arial"/>
      <charset val="1"/>
      <b val="1"/>
      <color rgb="FF1F3864"/>
      <sz val="11"/>
    </font>
    <font>
      <name val="Arial"/>
      <charset val="1"/>
      <b val="1"/>
      <sz val="9"/>
    </font>
    <font>
      <name val="Arial"/>
      <charset val="1"/>
      <b val="1"/>
      <color rgb="FF1F3864"/>
      <sz val="9"/>
    </font>
    <font>
      <name val="Arial"/>
      <charset val="1"/>
      <b val="1"/>
      <color rgb="FFFFFFFF"/>
      <sz val="10"/>
    </font>
    <font>
      <name val="Arial"/>
      <charset val="1"/>
      <b val="1"/>
      <color rgb="FF808080"/>
      <sz val="9"/>
    </font>
    <font>
      <name val="Arial"/>
      <charset val="1"/>
      <b val="1"/>
      <color rgb="FF7F6000"/>
      <sz val="9"/>
    </font>
    <font>
      <name val="Arial"/>
      <charset val="1"/>
      <b val="1"/>
      <color rgb="FF274E13"/>
      <sz val="9"/>
    </font>
    <font>
      <name val="Arial"/>
      <charset val="1"/>
      <b val="1"/>
      <color rgb="FFFFFFFF"/>
      <sz val="9"/>
    </font>
    <font>
      <name val="Arial"/>
      <charset val="1"/>
      <b val="1"/>
      <color rgb="FF833C00"/>
      <sz val="9"/>
    </font>
    <font>
      <name val="Calibri"/>
      <charset val="1"/>
      <b val="1"/>
      <color rgb="FF186068"/>
      <sz val="11"/>
    </font>
    <font>
      <name val="Noto Sans CJK SC"/>
      <charset val="1"/>
      <family val="2"/>
      <sz val="9"/>
    </font>
    <font>
      <name val="Calibri"/>
      <charset val="1"/>
      <color rgb="FF0000FF"/>
      <sz val="10"/>
    </font>
    <font>
      <name val="Arial"/>
      <charset val="1"/>
      <color rgb="FF0000FF"/>
      <sz val="9"/>
    </font>
    <font>
      <name val="Arial"/>
      <charset val="1"/>
      <color rgb="FF0563C1"/>
      <sz val="9"/>
      <u val="single"/>
    </font>
    <font>
      <name val="Arial"/>
      <charset val="1"/>
      <i val="1"/>
      <color rgb="FF595959"/>
      <sz val="9"/>
    </font>
    <font>
      <name val="Arial"/>
      <charset val="1"/>
      <b val="1"/>
      <color rgb="FF00448B"/>
      <sz val="14"/>
    </font>
    <font>
      <name val="Arial"/>
      <charset val="1"/>
      <i val="1"/>
      <color rgb="FF5A6672"/>
      <sz val="9"/>
    </font>
    <font>
      <name val="Arial"/>
      <charset val="1"/>
      <i val="1"/>
      <color rgb="FFB3261E"/>
      <sz val="9"/>
    </font>
    <font>
      <name val="Arial"/>
      <charset val="1"/>
      <i val="1"/>
      <color rgb="FF9AA5B1"/>
      <sz val="9"/>
    </font>
    <font>
      <name val="Arial"/>
      <charset val="1"/>
      <b val="1"/>
      <color rgb="FF2E7D32"/>
      <sz val="9"/>
    </font>
    <font>
      <name val="Noto Sans CJK SC"/>
      <charset val="1"/>
      <family val="2"/>
      <b val="1"/>
      <sz val="9"/>
    </font>
    <font>
      <name val="Arial"/>
      <charset val="1"/>
      <b val="1"/>
      <color rgb="FFB3261E"/>
      <sz val="9"/>
    </font>
    <font>
      <name val="Arial"/>
      <charset val="1"/>
      <b val="1"/>
      <color rgb="FFD99400"/>
      <sz val="9"/>
    </font>
    <font>
      <name val="Noto Sans CJK SC"/>
      <charset val="1"/>
      <family val="2"/>
      <i val="1"/>
      <color rgb="FF9AA5B1"/>
      <sz val="9"/>
    </font>
    <font>
      <name val="Arial"/>
      <charset val="1"/>
      <b val="1"/>
      <color rgb="FFFFFFFF"/>
      <sz val="13"/>
    </font>
    <font>
      <name val="Arial"/>
      <charset val="1"/>
      <i val="1"/>
      <sz val="9"/>
    </font>
    <font>
      <name val="Arial"/>
      <charset val="1"/>
      <b val="1"/>
      <sz val="11"/>
    </font>
    <font>
      <name val="Arial"/>
      <color rgb="FF0563C1"/>
      <sz val="9"/>
      <u val="single"/>
    </font>
    <font>
      <name val="Arial"/>
      <b val="1"/>
      <color rgb="FF422386"/>
      <sz val="14"/>
    </font>
    <font>
      <name val="Arial"/>
      <color rgb="FF404040"/>
      <sz val="9"/>
    </font>
    <font>
      <name val="Arial"/>
      <b val="1"/>
      <color rgb="FFFFFFFF"/>
      <sz val="10"/>
    </font>
    <font>
      <name val="Arial"/>
      <sz val="9"/>
    </font>
    <font>
      <name val="Arial"/>
      <b val="1"/>
      <color rgb="006D37E3"/>
      <sz val="14"/>
    </font>
    <font>
      <name val="Arial"/>
      <i val="1"/>
      <color rgb="00404040"/>
      <sz val="9"/>
    </font>
    <font>
      <name val="Arial"/>
      <b val="1"/>
      <color rgb="00FFFFFF"/>
      <sz val="10"/>
    </font>
    <font>
      <name val="Arial"/>
      <sz val="10"/>
    </font>
    <font>
      <name val="Arial"/>
      <b val="1"/>
      <sz val="10"/>
    </font>
    <font>
      <name val="Arial"/>
      <b val="1"/>
      <color rgb="006D37E3"/>
      <sz val="11"/>
    </font>
    <font>
      <name val="Arial"/>
      <b val="1"/>
      <color rgb="006D37E3"/>
      <sz val="10"/>
    </font>
    <font>
      <name val="Arial"/>
      <color rgb="00404040"/>
      <sz val="10"/>
    </font>
    <font>
      <name val="Arial"/>
      <b val="1"/>
      <color rgb="001F3864"/>
      <sz val="14"/>
    </font>
    <font>
      <name val="Arial"/>
      <i val="1"/>
      <sz val="9"/>
    </font>
    <font>
      <name val="Arial"/>
      <b val="1"/>
      <sz val="9"/>
    </font>
    <font>
      <name val="Arial"/>
      <color rgb="000563C1"/>
      <sz val="9"/>
      <u val="single"/>
    </font>
    <font>
      <name val="Arial"/>
      <b val="1"/>
      <color rgb="00FFFFFF"/>
      <sz val="9"/>
    </font>
  </fonts>
  <fills count="40">
    <fill>
      <patternFill/>
    </fill>
    <fill>
      <patternFill patternType="gray125"/>
    </fill>
    <fill>
      <patternFill patternType="solid">
        <fgColor rgb="FFEDEDED"/>
        <bgColor rgb="FFF2F2F2"/>
      </patternFill>
    </fill>
    <fill>
      <patternFill patternType="solid">
        <fgColor rgb="FF1F3864"/>
        <bgColor rgb="FF00448B"/>
      </patternFill>
    </fill>
    <fill>
      <patternFill patternType="solid">
        <fgColor rgb="FFFFF2CC"/>
        <bgColor rgb="FFFCE4D6"/>
      </patternFill>
    </fill>
    <fill>
      <patternFill patternType="solid">
        <fgColor rgb="FFC6EFCE"/>
        <bgColor rgb="FFD9EAD3"/>
      </patternFill>
    </fill>
    <fill>
      <patternFill patternType="solid">
        <fgColor rgb="FFFFEB9C"/>
        <bgColor rgb="FFFFE699"/>
      </patternFill>
    </fill>
    <fill>
      <patternFill patternType="solid">
        <fgColor rgb="FFDDEBF7"/>
        <bgColor rgb="FFE7E6E6"/>
      </patternFill>
    </fill>
    <fill>
      <patternFill patternType="solid">
        <fgColor rgb="FFF2F2F2"/>
        <bgColor rgb="FFEDEDED"/>
      </patternFill>
    </fill>
    <fill>
      <patternFill patternType="solid">
        <fgColor rgb="FFFFC7CE"/>
        <bgColor rgb="FFF8CBAD"/>
      </patternFill>
    </fill>
    <fill>
      <patternFill patternType="solid">
        <fgColor rgb="FFFFE699"/>
        <bgColor rgb="FFFFEB9C"/>
      </patternFill>
    </fill>
    <fill>
      <patternFill patternType="solid">
        <fgColor rgb="FFFFD966"/>
        <bgColor rgb="FFFFE699"/>
      </patternFill>
    </fill>
    <fill>
      <patternFill patternType="solid">
        <fgColor rgb="FFD9EAD3"/>
        <bgColor rgb="FFE7E6E6"/>
      </patternFill>
    </fill>
    <fill>
      <patternFill patternType="solid">
        <fgColor rgb="FFC6E0B4"/>
        <bgColor rgb="FFC6EFCE"/>
      </patternFill>
    </fill>
    <fill>
      <patternFill patternType="solid">
        <fgColor rgb="FF00B050"/>
        <bgColor rgb="FF008000"/>
      </patternFill>
    </fill>
    <fill>
      <patternFill patternType="solid">
        <fgColor rgb="FFD9D9D9"/>
        <bgColor rgb="FFE4DFEC"/>
      </patternFill>
    </fill>
    <fill>
      <patternFill patternType="solid">
        <fgColor rgb="FFFCE4D6"/>
        <bgColor rgb="FFFFF2CC"/>
      </patternFill>
    </fill>
    <fill>
      <patternFill patternType="solid">
        <fgColor rgb="FFBDD7EE"/>
        <bgColor rgb="FFC0D4E6"/>
      </patternFill>
    </fill>
    <fill>
      <patternFill patternType="solid">
        <fgColor rgb="FFF8CBAD"/>
        <bgColor rgb="FFFFC7CE"/>
      </patternFill>
    </fill>
    <fill>
      <patternFill patternType="solid">
        <fgColor rgb="FFFFFFFF"/>
        <bgColor rgb="FFF3F8FC"/>
      </patternFill>
    </fill>
    <fill>
      <patternFill patternType="solid">
        <fgColor rgb="FF2E75B6"/>
        <bgColor rgb="FF0563C1"/>
      </patternFill>
    </fill>
    <fill>
      <patternFill patternType="solid">
        <fgColor rgb="FF00448B"/>
        <bgColor rgb="FF1F3864"/>
      </patternFill>
    </fill>
    <fill>
      <patternFill patternType="solid">
        <fgColor rgb="FFFFFF99"/>
        <bgColor rgb="FFFFEB9C"/>
      </patternFill>
    </fill>
    <fill>
      <patternFill patternType="solid">
        <fgColor rgb="FFF3F8FC"/>
        <bgColor rgb="FFF2F2F2"/>
      </patternFill>
    </fill>
    <fill>
      <patternFill patternType="solid">
        <fgColor rgb="FFFFEB9C"/>
      </patternFill>
    </fill>
    <fill>
      <patternFill patternType="solid">
        <fgColor rgb="FFF8CBAD"/>
      </patternFill>
    </fill>
    <fill>
      <patternFill patternType="solid">
        <fgColor rgb="FFC6EFCE"/>
      </patternFill>
    </fill>
    <fill>
      <patternFill patternType="solid">
        <fgColor rgb="FFBDD7EE"/>
      </patternFill>
    </fill>
    <fill>
      <patternFill patternType="solid">
        <fgColor rgb="FF5A2FC6"/>
      </patternFill>
    </fill>
    <fill>
      <patternFill patternType="solid">
        <fgColor rgb="FFC6E0B4"/>
      </patternFill>
    </fill>
    <fill>
      <patternFill patternType="solid">
        <fgColor rgb="005A2FC6"/>
      </patternFill>
    </fill>
    <fill>
      <patternFill patternType="solid">
        <fgColor rgb="00EFE9FC"/>
      </patternFill>
    </fill>
    <fill>
      <patternFill patternType="solid">
        <fgColor rgb="00D9CCF7"/>
      </patternFill>
    </fill>
    <fill>
      <patternFill patternType="solid">
        <fgColor rgb="001F3864"/>
      </patternFill>
    </fill>
    <fill>
      <patternFill patternType="solid">
        <fgColor rgb="001F4E79"/>
      </patternFill>
    </fill>
    <fill>
      <patternFill patternType="solid">
        <fgColor rgb="002E75B6"/>
      </patternFill>
    </fill>
    <fill>
      <patternFill patternType="solid">
        <fgColor rgb="00548235"/>
      </patternFill>
    </fill>
    <fill>
      <patternFill patternType="solid">
        <fgColor rgb="00BF8F00"/>
      </patternFill>
    </fill>
    <fill>
      <patternFill patternType="solid">
        <fgColor rgb="00FFF2CC"/>
      </patternFill>
    </fill>
    <fill>
      <patternFill patternType="solid">
        <fgColor rgb="007030A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C0D4E6"/>
      </left>
      <right style="thin">
        <color rgb="FFC0D4E6"/>
      </right>
      <top style="thin">
        <color rgb="FFC0D4E6"/>
      </top>
      <bottom style="thin">
        <color rgb="FFC0D4E6"/>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5">
    <xf numFmtId="0" fontId="0" fillId="0" borderId="0" pivotButton="0" quotePrefix="0" xfId="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xf>
    <xf numFmtId="0" fontId="6" fillId="0" borderId="0" pivotButton="0" quotePrefix="0" xfId="0"/>
    <xf numFmtId="0" fontId="7" fillId="2" borderId="0" applyAlignment="1" pivotButton="0" quotePrefix="0" xfId="0">
      <alignment horizontal="center"/>
    </xf>
    <xf numFmtId="0" fontId="2" fillId="0" borderId="0" pivotButton="0" quotePrefix="0" xfId="0"/>
    <xf numFmtId="0" fontId="7" fillId="0" borderId="0" pivotButton="0" quotePrefix="0" xfId="0"/>
    <xf numFmtId="0" fontId="2" fillId="8" borderId="0" applyAlignment="1" pivotButton="0" quotePrefix="0" xfId="0">
      <alignment horizontal="center"/>
    </xf>
    <xf numFmtId="0" fontId="2" fillId="9" borderId="0" applyAlignment="1" pivotButton="0" quotePrefix="0" xfId="0">
      <alignment horizontal="center"/>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0" pivotButton="0" quotePrefix="0" xfId="0"/>
    <xf numFmtId="0" fontId="1" fillId="0" borderId="0" pivotButton="0" quotePrefix="0" xfId="0"/>
    <xf numFmtId="0" fontId="3" fillId="0" borderId="0" applyAlignment="1" pivotButton="0" quotePrefix="0" xfId="0">
      <alignment vertical="top" wrapText="1"/>
    </xf>
    <xf numFmtId="0" fontId="9" fillId="3" borderId="0" applyAlignment="1" pivotButton="0" quotePrefix="0" xfId="0">
      <alignment horizontal="center" vertical="center" wrapText="1"/>
    </xf>
    <xf numFmtId="0" fontId="2" fillId="0" borderId="0" applyAlignment="1" pivotButton="0" quotePrefix="0" xfId="0">
      <alignment horizontal="center" vertical="center"/>
    </xf>
    <xf numFmtId="0" fontId="10" fillId="8" borderId="0" applyAlignment="1" pivotButton="0" quotePrefix="0" xfId="0">
      <alignment vertical="center" wrapText="1"/>
    </xf>
    <xf numFmtId="0" fontId="2" fillId="0" borderId="0" applyAlignment="1" pivotButton="0" quotePrefix="0" xfId="0">
      <alignment vertical="center" wrapText="1"/>
    </xf>
    <xf numFmtId="0" fontId="0" fillId="8" borderId="0" pivotButton="0" quotePrefix="0" xfId="0"/>
    <xf numFmtId="0" fontId="11" fillId="4" borderId="0" applyAlignment="1" pivotButton="0" quotePrefix="0" xfId="0">
      <alignment vertical="center" wrapText="1"/>
    </xf>
    <xf numFmtId="0" fontId="0" fillId="4" borderId="0" pivotButton="0" quotePrefix="0" xfId="0"/>
    <xf numFmtId="0" fontId="11" fillId="10" borderId="0" applyAlignment="1" pivotButton="0" quotePrefix="0" xfId="0">
      <alignment vertical="center" wrapText="1"/>
    </xf>
    <xf numFmtId="0" fontId="0" fillId="10" borderId="0" pivotButton="0" quotePrefix="0" xfId="0"/>
    <xf numFmtId="0" fontId="11" fillId="11" borderId="0" applyAlignment="1" pivotButton="0" quotePrefix="0" xfId="0">
      <alignment vertical="center" wrapText="1"/>
    </xf>
    <xf numFmtId="0" fontId="0" fillId="11" borderId="0" pivotButton="0" quotePrefix="0" xfId="0"/>
    <xf numFmtId="0" fontId="12" fillId="12" borderId="0" applyAlignment="1" pivotButton="0" quotePrefix="0" xfId="0">
      <alignment vertical="center" wrapText="1"/>
    </xf>
    <xf numFmtId="0" fontId="0" fillId="12" borderId="0" pivotButton="0" quotePrefix="0" xfId="0"/>
    <xf numFmtId="0" fontId="12" fillId="13" borderId="0" applyAlignment="1" pivotButton="0" quotePrefix="0" xfId="0">
      <alignment vertical="center" wrapText="1"/>
    </xf>
    <xf numFmtId="0" fontId="0" fillId="13" borderId="0" pivotButton="0" quotePrefix="0" xfId="0"/>
    <xf numFmtId="0" fontId="13" fillId="14" borderId="0" applyAlignment="1" pivotButton="0" quotePrefix="0" xfId="0">
      <alignment vertical="center" wrapText="1"/>
    </xf>
    <xf numFmtId="0" fontId="0" fillId="14" borderId="0" pivotButton="0" quotePrefix="0" xfId="0"/>
    <xf numFmtId="0" fontId="10" fillId="15" borderId="0" applyAlignment="1" pivotButton="0" quotePrefix="0" xfId="0">
      <alignment vertical="center" wrapText="1"/>
    </xf>
    <xf numFmtId="0" fontId="0" fillId="15" borderId="0" pivotButton="0" quotePrefix="0" xfId="0"/>
    <xf numFmtId="0" fontId="14" fillId="16" borderId="0" applyAlignment="1" pivotButton="0" quotePrefix="0" xfId="0">
      <alignment vertical="center" wrapText="1"/>
    </xf>
    <xf numFmtId="0" fontId="0" fillId="16" borderId="0" pivotButton="0" quotePrefix="0" xfId="0"/>
    <xf numFmtId="0" fontId="15" fillId="0" borderId="0" pivotButton="0" quotePrefix="0" xfId="0"/>
    <xf numFmtId="0" fontId="0" fillId="0" borderId="0" applyAlignment="1" pivotButton="0" quotePrefix="0" xfId="0">
      <alignment vertical="top" wrapText="1"/>
    </xf>
    <xf numFmtId="0" fontId="16" fillId="0" borderId="0" applyAlignment="1" pivotButton="0" quotePrefix="0" xfId="0">
      <alignment vertical="top" wrapText="1"/>
    </xf>
    <xf numFmtId="0" fontId="7" fillId="0" borderId="0" applyAlignment="1" pivotButton="0" quotePrefix="0" xfId="0">
      <alignment horizontal="center" vertical="center" wrapText="1"/>
    </xf>
    <xf numFmtId="0" fontId="17" fillId="0" borderId="0" applyAlignment="1" pivotButton="0" quotePrefix="0" xfId="0">
      <alignment vertical="top"/>
    </xf>
    <xf numFmtId="0" fontId="17" fillId="0" borderId="0" applyAlignment="1" pivotButton="0" quotePrefix="0" xfId="0">
      <alignment vertical="top" wrapText="1"/>
    </xf>
    <xf numFmtId="164" fontId="17" fillId="0" borderId="0" applyAlignment="1" pivotButton="0" quotePrefix="0" xfId="0">
      <alignment horizontal="center" vertical="top"/>
    </xf>
    <xf numFmtId="0" fontId="18" fillId="0" borderId="0" applyAlignment="1" pivotButton="0" quotePrefix="0" xfId="0">
      <alignment vertical="top" wrapText="1"/>
    </xf>
    <xf numFmtId="0" fontId="19" fillId="0" borderId="0" applyAlignment="1" pivotButton="0" quotePrefix="0" xfId="0">
      <alignment vertical="top" wrapText="1"/>
    </xf>
    <xf numFmtId="0" fontId="7" fillId="5" borderId="0" applyAlignment="1" pivotButton="0" quotePrefix="0" xfId="0">
      <alignment horizontal="center" vertical="center" wrapText="1"/>
    </xf>
    <xf numFmtId="0" fontId="7" fillId="5" borderId="0" applyAlignment="1" pivotButton="0" quotePrefix="0" xfId="0">
      <alignment vertical="top" wrapText="1"/>
    </xf>
    <xf numFmtId="0" fontId="2" fillId="4" borderId="0" applyAlignment="1" pivotButton="0" quotePrefix="0" xfId="0">
      <alignment vertical="top" wrapText="1"/>
    </xf>
    <xf numFmtId="0" fontId="7" fillId="6" borderId="0" applyAlignment="1" pivotButton="0" quotePrefix="0" xfId="0">
      <alignment horizontal="center" vertical="center" wrapText="1"/>
    </xf>
    <xf numFmtId="0" fontId="7" fillId="6" borderId="0" applyAlignment="1" pivotButton="0" quotePrefix="0" xfId="0">
      <alignment vertical="top" wrapText="1"/>
    </xf>
    <xf numFmtId="0" fontId="7" fillId="17" borderId="0" applyAlignment="1" pivotButton="0" quotePrefix="0" xfId="0">
      <alignment horizontal="center" vertical="center" wrapText="1"/>
    </xf>
    <xf numFmtId="0" fontId="7" fillId="18" borderId="0" applyAlignment="1" pivotButton="0" quotePrefix="0" xfId="0">
      <alignment vertical="top" wrapText="1"/>
    </xf>
    <xf numFmtId="0" fontId="7" fillId="18" borderId="0" applyAlignment="1" pivotButton="0" quotePrefix="0" xfId="0">
      <alignment horizontal="center" vertical="center" wrapText="1"/>
    </xf>
    <xf numFmtId="0" fontId="16" fillId="4" borderId="0" applyAlignment="1" pivotButton="0" quotePrefix="0" xfId="0">
      <alignment vertical="top" wrapText="1"/>
    </xf>
    <xf numFmtId="0" fontId="7" fillId="7" borderId="0" applyAlignment="1" pivotButton="0" quotePrefix="0" xfId="0">
      <alignment horizontal="center" vertical="center" wrapText="1"/>
    </xf>
    <xf numFmtId="0" fontId="7" fillId="19" borderId="0" applyAlignment="1" pivotButton="0" quotePrefix="0" xfId="0">
      <alignment vertical="top" wrapText="1"/>
    </xf>
    <xf numFmtId="0" fontId="7" fillId="9" borderId="0" applyAlignment="1" pivotButton="0" quotePrefix="0" xfId="0">
      <alignment horizontal="center" vertical="center" wrapText="1"/>
    </xf>
    <xf numFmtId="0" fontId="20" fillId="0" borderId="0" applyAlignment="1" pivotButton="0" quotePrefix="0" xfId="0">
      <alignment vertical="top" wrapText="1"/>
    </xf>
    <xf numFmtId="0" fontId="9" fillId="3" borderId="1" applyAlignment="1" pivotButton="0" quotePrefix="0" xfId="0">
      <alignment vertical="center" wrapText="1"/>
    </xf>
    <xf numFmtId="0" fontId="8" fillId="2" borderId="1" applyAlignment="1" pivotButton="0" quotePrefix="0" xfId="0">
      <alignment vertical="top" wrapText="1"/>
    </xf>
    <xf numFmtId="0" fontId="2" fillId="0" borderId="1" applyAlignment="1" pivotButton="0" quotePrefix="0" xfId="0">
      <alignment vertical="top" wrapText="1"/>
    </xf>
    <xf numFmtId="0" fontId="16" fillId="0" borderId="1" applyAlignment="1" pivotButton="0" quotePrefix="0" xfId="0">
      <alignment vertical="top" wrapText="1"/>
    </xf>
    <xf numFmtId="0" fontId="9" fillId="20" borderId="1" applyAlignment="1" pivotButton="0" quotePrefix="0" xfId="0">
      <alignment horizontal="center" vertical="center"/>
    </xf>
    <xf numFmtId="0" fontId="9" fillId="3" borderId="1" applyAlignment="1" pivotButton="0" quotePrefix="0" xfId="0">
      <alignment horizontal="center" vertical="center"/>
    </xf>
    <xf numFmtId="0" fontId="13" fillId="21" borderId="2" applyAlignment="1" pivotButton="0" quotePrefix="0" xfId="0">
      <alignment horizontal="center" vertical="center" wrapText="1"/>
    </xf>
    <xf numFmtId="0" fontId="24" fillId="0" borderId="2" applyAlignment="1" pivotButton="0" quotePrefix="0" xfId="0">
      <alignment vertical="top" wrapText="1"/>
    </xf>
    <xf numFmtId="0" fontId="7" fillId="0" borderId="2" applyAlignment="1" pivotButton="0" quotePrefix="0" xfId="0">
      <alignment horizontal="center" vertical="center" wrapText="1"/>
    </xf>
    <xf numFmtId="0" fontId="7" fillId="0" borderId="2" applyAlignment="1" pivotButton="0" quotePrefix="0" xfId="0">
      <alignment vertical="top" wrapText="1"/>
    </xf>
    <xf numFmtId="0" fontId="2" fillId="0" borderId="2" applyAlignment="1" pivotButton="0" quotePrefix="0" xfId="0">
      <alignment vertical="top" wrapText="1"/>
    </xf>
    <xf numFmtId="0" fontId="2" fillId="0" borderId="2" applyAlignment="1" pivotButton="0" quotePrefix="0" xfId="0">
      <alignment horizontal="center" vertical="center" wrapText="1"/>
    </xf>
    <xf numFmtId="0" fontId="25" fillId="0" borderId="2" applyAlignment="1" pivotButton="0" quotePrefix="0" xfId="0">
      <alignment vertical="top" wrapText="1"/>
    </xf>
    <xf numFmtId="0" fontId="18" fillId="22" borderId="2" applyAlignment="1" pivotButton="0" quotePrefix="0" xfId="0">
      <alignment vertical="top" wrapText="1"/>
    </xf>
    <xf numFmtId="0" fontId="7" fillId="23" borderId="2" applyAlignment="1" pivotButton="0" quotePrefix="0" xfId="0">
      <alignment horizontal="center" vertical="center" wrapText="1"/>
    </xf>
    <xf numFmtId="0" fontId="7" fillId="23" borderId="2" applyAlignment="1" pivotButton="0" quotePrefix="0" xfId="0">
      <alignment vertical="top" wrapText="1"/>
    </xf>
    <xf numFmtId="0" fontId="2" fillId="23" borderId="2" applyAlignment="1" pivotButton="0" quotePrefix="0" xfId="0">
      <alignment vertical="top" wrapText="1"/>
    </xf>
    <xf numFmtId="0" fontId="2" fillId="23" borderId="2" applyAlignment="1" pivotButton="0" quotePrefix="0" xfId="0">
      <alignment horizontal="center" vertical="center" wrapText="1"/>
    </xf>
    <xf numFmtId="0" fontId="25" fillId="23" borderId="2" applyAlignment="1" pivotButton="0" quotePrefix="0" xfId="0">
      <alignment vertical="top" wrapText="1"/>
    </xf>
    <xf numFmtId="0" fontId="26" fillId="0" borderId="2" applyAlignment="1" pivotButton="0" quotePrefix="0" xfId="0">
      <alignment vertical="top" wrapText="1"/>
    </xf>
    <xf numFmtId="0" fontId="27" fillId="0" borderId="2" applyAlignment="1" pivotButton="0" quotePrefix="0" xfId="0">
      <alignment vertical="top" wrapText="1"/>
    </xf>
    <xf numFmtId="0" fontId="26" fillId="23" borderId="2" applyAlignment="1" pivotButton="0" quotePrefix="0" xfId="0">
      <alignment vertical="top" wrapText="1"/>
    </xf>
    <xf numFmtId="0" fontId="27" fillId="23" borderId="2" applyAlignment="1" pivotButton="0" quotePrefix="0" xfId="0">
      <alignment vertical="top" wrapText="1"/>
    </xf>
    <xf numFmtId="0" fontId="21" fillId="0" borderId="0" pivotButton="0" quotePrefix="0" xfId="0"/>
    <xf numFmtId="0" fontId="22" fillId="0" borderId="0" pivotButton="0" quotePrefix="0" xfId="0"/>
    <xf numFmtId="0" fontId="28" fillId="23" borderId="2" applyAlignment="1" pivotButton="0" quotePrefix="0" xfId="0">
      <alignment vertical="top" wrapText="1"/>
    </xf>
    <xf numFmtId="0" fontId="28" fillId="0" borderId="2" applyAlignment="1" pivotButton="0" quotePrefix="0" xfId="0">
      <alignment vertical="top" wrapText="1"/>
    </xf>
    <xf numFmtId="0" fontId="7" fillId="2" borderId="0" applyAlignment="1" pivotButton="0" quotePrefix="0" xfId="0">
      <alignment vertical="top" wrapText="1"/>
    </xf>
    <xf numFmtId="0" fontId="26" fillId="0" borderId="0" pivotButton="0" quotePrefix="0" xfId="0"/>
    <xf numFmtId="0" fontId="24" fillId="0" borderId="0" applyAlignment="1" pivotButton="0" quotePrefix="0" xfId="0">
      <alignment vertical="top" wrapText="1"/>
    </xf>
    <xf numFmtId="0" fontId="16" fillId="0" borderId="2" applyAlignment="1" pivotButton="0" quotePrefix="0" xfId="0">
      <alignment vertical="top" wrapText="1"/>
    </xf>
    <xf numFmtId="0" fontId="7" fillId="22" borderId="2" applyAlignment="1" pivotButton="0" quotePrefix="0" xfId="0">
      <alignment vertical="top" wrapText="1"/>
    </xf>
    <xf numFmtId="0" fontId="23" fillId="0" borderId="0" pivotButton="0" quotePrefix="0" xfId="0"/>
    <xf numFmtId="0" fontId="25" fillId="0" borderId="0" applyAlignment="1" pivotButton="0" quotePrefix="0" xfId="0">
      <alignment vertical="top" wrapText="1"/>
    </xf>
    <xf numFmtId="0" fontId="29" fillId="0" borderId="2" applyAlignment="1" pivotButton="0" quotePrefix="0" xfId="0">
      <alignment vertical="top" wrapText="1"/>
    </xf>
    <xf numFmtId="0" fontId="20" fillId="0" borderId="0" pivotButton="0" quotePrefix="0" xfId="0"/>
    <xf numFmtId="0" fontId="13" fillId="3" borderId="1" applyAlignment="1" pivotButton="0" quotePrefix="0" xfId="0">
      <alignment vertical="center" wrapText="1"/>
    </xf>
    <xf numFmtId="0" fontId="7" fillId="7"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16" borderId="1" applyAlignment="1" pivotButton="0" quotePrefix="0" xfId="0">
      <alignment vertical="top" wrapText="1"/>
    </xf>
    <xf numFmtId="0" fontId="7" fillId="8" borderId="1" applyAlignment="1" pivotButton="0" quotePrefix="0" xfId="0">
      <alignment vertical="top" wrapText="1"/>
    </xf>
    <xf numFmtId="0" fontId="7" fillId="10" borderId="1" applyAlignment="1" pivotButton="0" quotePrefix="0" xfId="0">
      <alignment vertical="top" wrapText="1"/>
    </xf>
    <xf numFmtId="0" fontId="32" fillId="0" borderId="0" pivotButton="0" quotePrefix="0" xfId="0"/>
    <xf numFmtId="0" fontId="7" fillId="8" borderId="2" applyAlignment="1" pivotButton="0" quotePrefix="0" xfId="0">
      <alignment vertical="top" wrapText="1"/>
    </xf>
    <xf numFmtId="0" fontId="7" fillId="6" borderId="2" applyAlignment="1" pivotButton="0" quotePrefix="0" xfId="0">
      <alignment vertical="top" wrapText="1"/>
    </xf>
    <xf numFmtId="0" fontId="24" fillId="0" borderId="0" pivotButton="0" quotePrefix="0" xfId="0"/>
    <xf numFmtId="0" fontId="33" fillId="0" borderId="0" applyAlignment="1" pivotButton="0" quotePrefix="0" xfId="0">
      <alignment vertical="top" wrapText="1"/>
    </xf>
    <xf numFmtId="0" fontId="7" fillId="24" borderId="0" applyAlignment="1" pivotButton="0" quotePrefix="0" xfId="0">
      <alignment horizontal="center" vertical="center" wrapText="1"/>
    </xf>
    <xf numFmtId="0" fontId="7" fillId="26" borderId="0" applyAlignment="1" pivotButton="0" quotePrefix="0" xfId="0">
      <alignment horizontal="center" vertical="center" wrapText="1"/>
    </xf>
    <xf numFmtId="0" fontId="7" fillId="25" borderId="0" applyAlignment="1" pivotButton="0" quotePrefix="0" xfId="0">
      <alignment horizontal="center" vertical="center" wrapText="1"/>
    </xf>
    <xf numFmtId="0" fontId="7" fillId="27" borderId="0" applyAlignment="1" pivotButton="0" quotePrefix="0" xfId="0">
      <alignment horizontal="center" vertical="center" wrapText="1"/>
    </xf>
    <xf numFmtId="0" fontId="2" fillId="0" borderId="0" applyAlignment="1" pivotButton="0" quotePrefix="0" xfId="0">
      <alignment vertical="top" wrapText="1"/>
    </xf>
    <xf numFmtId="0" fontId="0" fillId="0" borderId="0" pivotButton="0" quotePrefix="0" xfId="0"/>
    <xf numFmtId="0" fontId="7" fillId="0" borderId="0" applyAlignment="1" pivotButton="0" quotePrefix="0" xfId="0">
      <alignment vertical="top" wrapText="1"/>
    </xf>
    <xf numFmtId="0" fontId="22" fillId="0" borderId="0" applyAlignment="1" pivotButton="0" quotePrefix="0" xfId="0">
      <alignment vertical="top" wrapText="1"/>
    </xf>
    <xf numFmtId="0" fontId="21" fillId="0" borderId="0" pivotButton="0" quotePrefix="0" xfId="0"/>
    <xf numFmtId="0" fontId="23" fillId="0" borderId="0" applyAlignment="1" pivotButton="0" quotePrefix="0" xfId="0">
      <alignment vertical="top" wrapText="1"/>
    </xf>
    <xf numFmtId="0" fontId="31" fillId="0" borderId="0" applyAlignment="1" pivotButton="0" quotePrefix="0" xfId="0">
      <alignment vertical="top" wrapText="1"/>
    </xf>
    <xf numFmtId="0" fontId="30" fillId="3" borderId="0" pivotButton="0" quotePrefix="0" xfId="0"/>
    <xf numFmtId="165" fontId="17" fillId="0" borderId="0" applyAlignment="1" pivotButton="0" quotePrefix="0" xfId="0">
      <alignment horizontal="center" vertical="top"/>
    </xf>
    <xf numFmtId="0" fontId="34" fillId="0" borderId="0" pivotButton="0" quotePrefix="0" xfId="0"/>
    <xf numFmtId="0" fontId="35" fillId="0" borderId="0" pivotButton="0" quotePrefix="0" xfId="0"/>
    <xf numFmtId="0" fontId="36" fillId="28" borderId="0" applyAlignment="1" pivotButton="0" quotePrefix="0" xfId="0">
      <alignment vertical="center" wrapText="1"/>
    </xf>
    <xf numFmtId="0" fontId="37" fillId="0" borderId="0" applyAlignment="1" pivotButton="0" quotePrefix="0" xfId="0">
      <alignment vertical="top" wrapText="1"/>
    </xf>
    <xf numFmtId="165" fontId="37" fillId="0" borderId="0" applyAlignment="1" pivotButton="0" quotePrefix="0" xfId="0">
      <alignment vertical="top" wrapText="1"/>
    </xf>
    <xf numFmtId="166" fontId="17" fillId="0" borderId="0" applyAlignment="1" pivotButton="0" quotePrefix="0" xfId="0">
      <alignment horizontal="center" vertical="top"/>
    </xf>
    <xf numFmtId="0" fontId="2" fillId="25" borderId="0" applyAlignment="1" pivotButton="0" quotePrefix="0" xfId="0">
      <alignment vertical="top" wrapText="1"/>
    </xf>
    <xf numFmtId="0" fontId="18" fillId="25" borderId="0" applyAlignment="1" pivotButton="0" quotePrefix="0" xfId="0">
      <alignment vertical="top" wrapText="1"/>
    </xf>
    <xf numFmtId="0" fontId="18" fillId="29" borderId="0" applyAlignment="1" pivotButton="0" quotePrefix="0" xfId="0">
      <alignment vertical="top" wrapText="1"/>
    </xf>
    <xf numFmtId="0" fontId="38" fillId="0" borderId="0" pivotButton="0" quotePrefix="0" xfId="0"/>
    <xf numFmtId="0" fontId="39" fillId="0" borderId="0" applyAlignment="1" pivotButton="0" quotePrefix="0" xfId="0">
      <alignment wrapText="1"/>
    </xf>
    <xf numFmtId="0" fontId="40" fillId="30" borderId="3" applyAlignment="1" pivotButton="0" quotePrefix="0" xfId="0">
      <alignment horizontal="center" vertical="center" wrapText="1"/>
    </xf>
    <xf numFmtId="0" fontId="41" fillId="31" borderId="3" applyAlignment="1" pivotButton="0" quotePrefix="0" xfId="0">
      <alignment horizontal="left" vertical="center"/>
    </xf>
    <xf numFmtId="0" fontId="41" fillId="31" borderId="3" applyAlignment="1" pivotButton="0" quotePrefix="0" xfId="0">
      <alignment horizontal="center" vertical="center"/>
    </xf>
    <xf numFmtId="165" fontId="41" fillId="31" borderId="3" applyAlignment="1" pivotButton="0" quotePrefix="0" xfId="0">
      <alignment horizontal="center" vertical="center"/>
    </xf>
    <xf numFmtId="9" fontId="41" fillId="31" borderId="3" applyAlignment="1" pivotButton="0" quotePrefix="0" xfId="0">
      <alignment horizontal="center" vertical="center"/>
    </xf>
    <xf numFmtId="0" fontId="41" fillId="0" borderId="3" applyAlignment="1" pivotButton="0" quotePrefix="0" xfId="0">
      <alignment horizontal="left" vertical="center"/>
    </xf>
    <xf numFmtId="0" fontId="41" fillId="0" borderId="3" applyAlignment="1" pivotButton="0" quotePrefix="0" xfId="0">
      <alignment horizontal="center" vertical="center"/>
    </xf>
    <xf numFmtId="165" fontId="41" fillId="0" borderId="3" applyAlignment="1" pivotButton="0" quotePrefix="0" xfId="0">
      <alignment horizontal="center" vertical="center"/>
    </xf>
    <xf numFmtId="9" fontId="41" fillId="0" borderId="3" applyAlignment="1" pivotButton="0" quotePrefix="0" xfId="0">
      <alignment horizontal="center" vertical="center"/>
    </xf>
    <xf numFmtId="0" fontId="42" fillId="32" borderId="3" applyAlignment="1" pivotButton="0" quotePrefix="0" xfId="0">
      <alignment horizontal="left"/>
    </xf>
    <xf numFmtId="0" fontId="42" fillId="32" borderId="3" applyAlignment="1" pivotButton="0" quotePrefix="0" xfId="0">
      <alignment horizontal="center"/>
    </xf>
    <xf numFmtId="165" fontId="42" fillId="32" borderId="3" applyAlignment="1" pivotButton="0" quotePrefix="0" xfId="0">
      <alignment horizontal="center"/>
    </xf>
    <xf numFmtId="9" fontId="42" fillId="32" borderId="3" applyAlignment="1" pivotButton="0" quotePrefix="0" xfId="0">
      <alignment horizontal="center"/>
    </xf>
    <xf numFmtId="0" fontId="43" fillId="0" borderId="0" pivotButton="0" quotePrefix="0" xfId="0"/>
    <xf numFmtId="0" fontId="41" fillId="0" borderId="3" applyAlignment="1" pivotButton="0" quotePrefix="0" xfId="0">
      <alignment horizontal="left"/>
    </xf>
    <xf numFmtId="0" fontId="41" fillId="0" borderId="3" applyAlignment="1" pivotButton="0" quotePrefix="0" xfId="0">
      <alignment horizontal="center"/>
    </xf>
    <xf numFmtId="0" fontId="44" fillId="0" borderId="0" applyAlignment="1" pivotButton="0" quotePrefix="0" xfId="0">
      <alignment vertical="top" wrapText="1"/>
    </xf>
    <xf numFmtId="0" fontId="45" fillId="0" borderId="0" applyAlignment="1" pivotButton="0" quotePrefix="0" xfId="0">
      <alignment vertical="top" wrapText="1"/>
    </xf>
    <xf numFmtId="0" fontId="42" fillId="0" borderId="0" pivotButton="0" quotePrefix="0" xfId="0"/>
    <xf numFmtId="0" fontId="41" fillId="0" borderId="0" pivotButton="0" quotePrefix="0" xfId="0"/>
    <xf numFmtId="0" fontId="46" fillId="0" borderId="0" pivotButton="0" quotePrefix="0" xfId="0"/>
    <xf numFmtId="0" fontId="47" fillId="0" borderId="0" applyAlignment="1" pivotButton="0" quotePrefix="0" xfId="0">
      <alignment vertical="top" wrapText="1"/>
    </xf>
    <xf numFmtId="0" fontId="40" fillId="33" borderId="3" applyAlignment="1" pivotButton="0" quotePrefix="0" xfId="0">
      <alignment vertical="center" wrapText="1"/>
    </xf>
    <xf numFmtId="0" fontId="37" fillId="0" borderId="3" applyAlignment="1" pivotButton="0" quotePrefix="0" xfId="0">
      <alignment vertical="top" wrapText="1"/>
    </xf>
    <xf numFmtId="0" fontId="49" fillId="0" borderId="3" applyAlignment="1" pivotButton="0" quotePrefix="0" xfId="0">
      <alignment vertical="top" wrapText="1"/>
    </xf>
    <xf numFmtId="0" fontId="48" fillId="0" borderId="3" applyAlignment="1" pivotButton="0" quotePrefix="0" xfId="0">
      <alignment vertical="top" wrapText="1"/>
    </xf>
    <xf numFmtId="0" fontId="50" fillId="34" borderId="3" applyAlignment="1" pivotButton="0" quotePrefix="0" xfId="0">
      <alignment vertical="top" wrapText="1"/>
    </xf>
    <xf numFmtId="0" fontId="50" fillId="35" borderId="3" applyAlignment="1" pivotButton="0" quotePrefix="0" xfId="0">
      <alignment vertical="top" wrapText="1"/>
    </xf>
    <xf numFmtId="0" fontId="50" fillId="36" borderId="3" applyAlignment="1" pivotButton="0" quotePrefix="0" xfId="0">
      <alignment vertical="top" wrapText="1"/>
    </xf>
    <xf numFmtId="0" fontId="50" fillId="37" borderId="3" applyAlignment="1" pivotButton="0" quotePrefix="0" xfId="0">
      <alignment vertical="top" wrapText="1"/>
    </xf>
    <xf numFmtId="0" fontId="37" fillId="38" borderId="3" applyAlignment="1" pivotButton="0" quotePrefix="0" xfId="0">
      <alignment vertical="top" wrapText="1"/>
    </xf>
    <xf numFmtId="0" fontId="50" fillId="39" borderId="3" applyAlignment="1" pivotButton="0" quotePrefix="0" xfId="0">
      <alignment vertical="top" wrapText="1"/>
    </xf>
  </cellXfs>
  <cellStyles count="1">
    <cellStyle name="常规" xfId="0" builtinId="0"/>
  </cellStyles>
  <dxfs count="81">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s>
  <tableStyles count="0" defaultTableStyle="TableStyleMedium2" defaultPivotStyle="PivotStyleLight16"/>
  <colors>
    <indexedColors>
      <rgbColor rgb="FF000000"/>
      <rgbColor rgb="FFFFFFFF"/>
      <rgbColor rgb="FFFF0000"/>
      <rgbColor rgb="FF00FF00"/>
      <rgbColor rgb="FF0000FF"/>
      <rgbColor rgb="FFFFEB9C"/>
      <rgbColor rgb="FFFF00FF"/>
      <rgbColor rgb="FFEDEDED"/>
      <rgbColor rgb="FF800000"/>
      <rgbColor rgb="FF008000"/>
      <rgbColor rgb="FF000080"/>
      <rgbColor rgb="FF7F6000"/>
      <rgbColor rgb="FF800080"/>
      <rgbColor rgb="FF186068"/>
      <rgbColor rgb="FFBFBFBF"/>
      <rgbColor rgb="FF808080"/>
      <rgbColor rgb="FFC6E0B4"/>
      <rgbColor rgb="FFB3261E"/>
      <rgbColor rgb="FFFFF2CC"/>
      <rgbColor rgb="FFDDEBF7"/>
      <rgbColor rgb="FF660066"/>
      <rgbColor rgb="FFFCE4D6"/>
      <rgbColor rgb="FF0563C1"/>
      <rgbColor rgb="FFC0D4E6"/>
      <rgbColor rgb="FF000080"/>
      <rgbColor rgb="FFFF00FF"/>
      <rgbColor rgb="FFFFE699"/>
      <rgbColor rgb="FFF2F2F2"/>
      <rgbColor rgb="FF800080"/>
      <rgbColor rgb="FF800000"/>
      <rgbColor rgb="FF00B050"/>
      <rgbColor rgb="FF0000FF"/>
      <rgbColor rgb="FF00CCFF"/>
      <rgbColor rgb="FFF3F8FC"/>
      <rgbColor rgb="FFC6EFCE"/>
      <rgbColor rgb="FFFFFF99"/>
      <rgbColor rgb="FFBDD7EE"/>
      <rgbColor rgb="FFFFC7CE"/>
      <rgbColor rgb="FFD9D9D9"/>
      <rgbColor rgb="FFF8CBAD"/>
      <rgbColor rgb="FF2E75B6"/>
      <rgbColor rgb="FFE4DFEC"/>
      <rgbColor rgb="FFD9EAD3"/>
      <rgbColor rgb="FFFFD966"/>
      <rgbColor rgb="FFD99400"/>
      <rgbColor rgb="FFE7E6E6"/>
      <rgbColor rgb="FF5A6672"/>
      <rgbColor rgb="FF9AA5B1"/>
      <rgbColor rgb="FF1F3864"/>
      <rgbColor rgb="FF2E7D32"/>
      <rgbColor rgb="FF003300"/>
      <rgbColor rgb="FF274E13"/>
      <rgbColor rgb="FF833C00"/>
      <rgbColor rgb="FF993366"/>
      <rgbColor rgb="FF00448B"/>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arrowmedical.co.jp/" TargetMode="External" Id="rId1"/><Relationship Type="http://schemas.openxmlformats.org/officeDocument/2006/relationships/hyperlink" Target="https://munatex.com/" TargetMode="External" Id="rId2"/><Relationship Type="http://schemas.openxmlformats.org/officeDocument/2006/relationships/hyperlink" Target="https://munatex.com/products/" TargetMode="External" Id="rId3"/><Relationship Type="http://schemas.openxmlformats.org/officeDocument/2006/relationships/hyperlink" Target="https://www.kirikan.com/" TargetMode="External" Id="rId4"/><Relationship Type="http://schemas.openxmlformats.org/officeDocument/2006/relationships/hyperlink" Target="https://www.mizuho.co.jp/animal/" TargetMode="External" Id="rId5"/><Relationship Type="http://schemas.openxmlformats.org/officeDocument/2006/relationships/hyperlink" Target="https://www.zenoaq.com/" TargetMode="External" Id="rId6"/><Relationship Type="http://schemas.openxmlformats.org/officeDocument/2006/relationships/hyperlink" Target="https://www.asco.sala.jp/companion-animal/" TargetMode="External" Id="rId7"/><Relationship Type="http://schemas.openxmlformats.org/officeDocument/2006/relationships/hyperlink" Target="https://medical-space.co.jp/" TargetMode="External" Id="rId8"/><Relationship Type="http://schemas.openxmlformats.org/officeDocument/2006/relationships/hyperlink" Target="https://www.hongo-iwashiya.co.jp/" TargetMode="External" Id="rId9"/><Relationship Type="http://schemas.openxmlformats.org/officeDocument/2006/relationships/hyperlink" Target="https://www.tokushima-iryoki.co.jp/" TargetMode="External" Id="rId10"/><Relationship Type="http://schemas.openxmlformats.org/officeDocument/2006/relationships/hyperlink" Target="https://www.mpagro.co.jp/" TargetMode="External" Id="rId11"/><Relationship Type="http://schemas.openxmlformats.org/officeDocument/2006/relationships/hyperlink" Target="https://www.agrojapan.jp/" TargetMode="External" Id="rId12"/><Relationship Type="http://schemas.openxmlformats.org/officeDocument/2006/relationships/hyperlink" Target="https://www.fujihira.co.jp/" TargetMode="External" Id="rId13"/><Relationship Type="http://schemas.openxmlformats.org/officeDocument/2006/relationships/hyperlink" Target="https://www.fukuda-me.co.jp/" TargetMode="External" Id="rId14"/><Relationship Type="http://schemas.openxmlformats.org/officeDocument/2006/relationships/hyperlink" Target="https://petmedic-pro.com/" TargetMode="External" Id="rId15"/><Relationship Type="http://schemas.openxmlformats.org/officeDocument/2006/relationships/hyperlink" Target="https://www.intermedical.jp/" TargetMode="External" Id="rId16"/><Relationship Type="http://schemas.openxmlformats.org/officeDocument/2006/relationships/hyperlink" Target="https://odashima-shouji.co.jp/introduction/s-animals/index.html" TargetMode="External" Id="rId17"/><Relationship Type="http://schemas.openxmlformats.org/officeDocument/2006/relationships/hyperlink" Target="http://ec-mikasa.com/veterinary/support/dealer/" TargetMode="External" Id="rId18"/><Relationship Type="http://schemas.openxmlformats.org/officeDocument/2006/relationships/hyperlink" Target="https://www.medical-giken.com/" TargetMode="External" Id="rId19"/><Relationship Type="http://schemas.openxmlformats.org/officeDocument/2006/relationships/hyperlink" Target="http://rantac.jp/" TargetMode="External" Id="rId20"/><Relationship Type="http://schemas.openxmlformats.org/officeDocument/2006/relationships/hyperlink" Target="http://www.nctl.co.jp/" TargetMode="External" Id="rId21"/><Relationship Type="http://schemas.openxmlformats.org/officeDocument/2006/relationships/hyperlink" Target="http://www.marukou11.co.jp/index.html" TargetMode="External" Id="rId22"/><Relationship Type="http://schemas.openxmlformats.org/officeDocument/2006/relationships/hyperlink" Target="http://www.tecmikasa.com/" TargetMode="External" Id="rId23"/><Relationship Type="http://schemas.openxmlformats.org/officeDocument/2006/relationships/hyperlink" Target="https://gwm1992.com/" TargetMode="External" Id="rId24"/><Relationship Type="http://schemas.openxmlformats.org/officeDocument/2006/relationships/hyperlink" Target="http://sanco-medical.co.jp/index.html" TargetMode="External" Id="rId25"/><Relationship Type="http://schemas.openxmlformats.org/officeDocument/2006/relationships/hyperlink" Target="https://www.mandt-net.com/" TargetMode="External" Id="rId26"/><Relationship Type="http://schemas.openxmlformats.org/officeDocument/2006/relationships/hyperlink" Target="https://vetsupport.jp/start/" TargetMode="External" Id="rId27"/><Relationship Type="http://schemas.openxmlformats.org/officeDocument/2006/relationships/hyperlink" Target="https://emiluck.com/" TargetMode="External" Id="rId28"/><Relationship Type="http://schemas.openxmlformats.org/officeDocument/2006/relationships/hyperlink" Target="https://www.bond-japan.com/product/products?ccd=9814" TargetMode="External" Id="rId29"/><Relationship Type="http://schemas.openxmlformats.org/officeDocument/2006/relationships/hyperlink" Target="https://www.nihonkohden.co.jp/iryo/practice/animal/index.html" TargetMode="External" Id="rId30"/></Relationships>
</file>

<file path=xl/worksheets/_rels/sheet5.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www.nosawa.co.jp/" TargetMode="External" Id="rId5"/><Relationship Type="http://schemas.openxmlformats.org/officeDocument/2006/relationships/hyperlink" Target="https://vm.nval.go.jp/?mfg_dealer_name=&amp;sort=MANUFACTURING_DEALER&amp;submit=submit"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olympus-marketing.co.jp/business/animal/" TargetMode="External" Id="rId8"/><Relationship Type="http://schemas.openxmlformats.org/officeDocument/2006/relationships/hyperlink" Target="https://www.kyoritsu-shokai.com" TargetMode="External" Id="rId9"/><Relationship Type="http://schemas.openxmlformats.org/officeDocument/2006/relationships/hyperlink" Target="https://www.kyoritsu-shokai.com/company/%E5%8C%BB%E8%96%AC%E5%93%81%E3%83%BB%E5%8B%95%E7%89%A9%E7%94%A8%E5%8C%BB%E8%96%AC%E5%93%81%E8%A8%B1%E5%8F%AF%E8%A8%BC%E9%96%A2%E9%80%A3/" TargetMode="External" Id="rId10"/><Relationship Type="http://schemas.openxmlformats.org/officeDocument/2006/relationships/hyperlink" Target="https://ts-xray.com" TargetMode="External" Id="rId11"/><Relationship Type="http://schemas.openxmlformats.org/officeDocument/2006/relationships/hyperlink" Target="https://www.pref.saitama.lg.jp/documents/236933/0343_tands.pdf" TargetMode="External" Id="rId12"/><Relationship Type="http://schemas.openxmlformats.org/officeDocument/2006/relationships/hyperlink" Target="https://www.vm.nval.go.jp/public/detail/17793" TargetMode="External" Id="rId13"/><Relationship Type="http://schemas.openxmlformats.org/officeDocument/2006/relationships/hyperlink" Target="https://aison.jp/" TargetMode="External" Id="rId14"/><Relationship Type="http://schemas.openxmlformats.org/officeDocument/2006/relationships/hyperlink" Target="https://www.vm.nval.go.jp/public/detail/19613" TargetMode="External" Id="rId15"/><Relationship Type="http://schemas.openxmlformats.org/officeDocument/2006/relationships/hyperlink" Target="https://www.vm.nval.go.jp/public/detail/12549" TargetMode="External" Id="rId16"/><Relationship Type="http://schemas.openxmlformats.org/officeDocument/2006/relationships/hyperlink" Target="https://www.vm.nval.go.jp/public/detail/6770" TargetMode="External" Id="rId17"/><Relationship Type="http://schemas.openxmlformats.org/officeDocument/2006/relationships/hyperlink" Target="https://www.metran.co.jp/" TargetMode="External" Id="rId18"/><Relationship Type="http://schemas.openxmlformats.org/officeDocument/2006/relationships/hyperlink" Target="https://www.vm.nval.go.jp/public/detail/18306" TargetMode="External" Id="rId19"/><Relationship Type="http://schemas.openxmlformats.org/officeDocument/2006/relationships/hyperlink" Target="https://rayvision.co.jp/" TargetMode="External" Id="rId20"/><Relationship Type="http://schemas.openxmlformats.org/officeDocument/2006/relationships/hyperlink" Target="https://rayvision.co.jp/" TargetMode="External" Id="rId21"/><Relationship Type="http://schemas.openxmlformats.org/officeDocument/2006/relationships/hyperlink" Target="https://www.top-tokyo.co.jp/products/veterinary/" TargetMode="External" Id="rId22"/><Relationship Type="http://schemas.openxmlformats.org/officeDocument/2006/relationships/hyperlink" Target="https://www.top-tokyo.co.jp/products/veterinary/" TargetMode="External" Id="rId23"/><Relationship Type="http://schemas.openxmlformats.org/officeDocument/2006/relationships/hyperlink" Target="https://www.asahi-intecc-vet.com/" TargetMode="External" Id="rId24"/><Relationship Type="http://schemas.openxmlformats.org/officeDocument/2006/relationships/hyperlink" Target="https://www.rdsupport-tenshoku.jp/search/JOB40843" TargetMode="External" Id="rId25"/><Relationship Type="http://schemas.openxmlformats.org/officeDocument/2006/relationships/hyperlink" Target="https://www.horiba.com/jpn/medical/" TargetMode="External" Id="rId26"/><Relationship Type="http://schemas.openxmlformats.org/officeDocument/2006/relationships/hyperlink" Target="https://www.vm.nval.go.jp/public/detail/19457" TargetMode="External" Id="rId27"/><Relationship Type="http://schemas.openxmlformats.org/officeDocument/2006/relationships/hyperlink" Target="https://medical-space.co.jp/products/manufacturer/%E5%B3%B6%E6%B4%A5%E8%A3%BD%E4%BD%9C%E6%89%80/" TargetMode="External" Id="rId28"/><Relationship Type="http://schemas.openxmlformats.org/officeDocument/2006/relationships/hyperlink" Target="https://www.vet.meiji.com" TargetMode="External" Id="rId29"/><Relationship Type="http://schemas.openxmlformats.org/officeDocument/2006/relationships/hyperlink" Target="https://www.vet.meiji.com/corporate/outline.html" TargetMode="External" Id="rId30"/><Relationship Type="http://schemas.openxmlformats.org/officeDocument/2006/relationships/hyperlink" Target="https://www.yasui-kk.co.jp" TargetMode="External" Id="rId31"/><Relationship Type="http://schemas.openxmlformats.org/officeDocument/2006/relationships/hyperlink" Target="https://www.yasui-kk.co.jp/medical-news/2721/" TargetMode="External" Id="rId32"/><Relationship Type="http://schemas.openxmlformats.org/officeDocument/2006/relationships/hyperlink" Target="https://ahhd.jp/I0000004" TargetMode="External" Id="rId33"/><Relationship Type="http://schemas.openxmlformats.org/officeDocument/2006/relationships/hyperlink" Target="https://amco.co.jp" TargetMode="External" Id="rId34"/><Relationship Type="http://schemas.openxmlformats.org/officeDocument/2006/relationships/hyperlink" Target="http://www.miyano-medix.com/service7.html" TargetMode="External" Id="rId35"/><Relationship Type="http://schemas.openxmlformats.org/officeDocument/2006/relationships/hyperlink" Target="http://akiyama-elp.com/gaiyou.html" TargetMode="External" Id="rId36"/><Relationship Type="http://schemas.openxmlformats.org/officeDocument/2006/relationships/hyperlink" Target="https://vm.nval.go.jp/?page=115&amp;submit=submit" TargetMode="External" Id="rId37"/><Relationship Type="http://schemas.openxmlformats.org/officeDocument/2006/relationships/hyperlink" Target="https://astec-medical.co.jp/" TargetMode="External" Id="rId38"/><Relationship Type="http://schemas.openxmlformats.org/officeDocument/2006/relationships/hyperlink" Target="https://www.vm.nval.go.jp/public/detail/19578" TargetMode="External" Id="rId39"/><Relationship Type="http://schemas.openxmlformats.org/officeDocument/2006/relationships/hyperlink" Target="http://www.createmedic.co.jp/products/animal_2/" TargetMode="External" Id="rId40"/><Relationship Type="http://schemas.openxmlformats.org/officeDocument/2006/relationships/hyperlink" Target="https://www.vm.nval.go.jp/public/detail/17513" TargetMode="External" Id="rId41"/><Relationship Type="http://schemas.openxmlformats.org/officeDocument/2006/relationships/hyperlink" Target="https://erma.co.jp/" TargetMode="External" Id="rId42"/><Relationship Type="http://schemas.openxmlformats.org/officeDocument/2006/relationships/hyperlink" Target="https://www.vm.nval.go.jp/public/detail/18103" TargetMode="External" Id="rId43"/><Relationship Type="http://schemas.openxmlformats.org/officeDocument/2006/relationships/hyperlink" Target="https://ahhd.jp/I0000004" TargetMode="External" Id="rId44"/><Relationship Type="http://schemas.openxmlformats.org/officeDocument/2006/relationships/hyperlink" Target="https://surge-m.co.jp" TargetMode="External" Id="rId45"/><Relationship Type="http://schemas.openxmlformats.org/officeDocument/2006/relationships/hyperlink" Target="https://www.vm.nval.go.jp/public/detail/6752" TargetMode="External" Id="rId46"/><Relationship Type="http://schemas.openxmlformats.org/officeDocument/2006/relationships/hyperlink" Target="https://ahhd.jp/I0000004" TargetMode="External" Id="rId47"/><Relationship Type="http://schemas.openxmlformats.org/officeDocument/2006/relationships/hyperlink" Target="https://www.tokyoiken.co.jp/" TargetMode="External" Id="rId48"/><Relationship Type="http://schemas.openxmlformats.org/officeDocument/2006/relationships/hyperlink" Target="https://ahhd.jp/I0000004" TargetMode="External" Id="rId49"/><Relationship Type="http://schemas.openxmlformats.org/officeDocument/2006/relationships/hyperlink" Target="https://www.skylux.co.jp/product/" TargetMode="External" Id="rId50"/><Relationship Type="http://schemas.openxmlformats.org/officeDocument/2006/relationships/hyperlink" Target="https://www.skylux.co.jp/product/" TargetMode="External" Id="rId51"/><Relationship Type="http://schemas.openxmlformats.org/officeDocument/2006/relationships/hyperlink" Target="https://www.acoma.com/" TargetMode="External" Id="rId52"/><Relationship Type="http://schemas.openxmlformats.org/officeDocument/2006/relationships/hyperlink" Target="https://munatex.com/products/5863/" TargetMode="External" Id="rId53"/><Relationship Type="http://schemas.openxmlformats.org/officeDocument/2006/relationships/hyperlink" Target="https://www.vm.nval.go.jp/public/detail/11016" TargetMode="External" Id="rId54"/><Relationship Type="http://schemas.openxmlformats.org/officeDocument/2006/relationships/hyperlink" Target="https://www.taiyo-denshi.com/" TargetMode="External" Id="rId55"/><Relationship Type="http://schemas.openxmlformats.org/officeDocument/2006/relationships/hyperlink" Target="https://www.jamo.or.jp/member/" TargetMode="External" Id="rId56"/><Relationship Type="http://schemas.openxmlformats.org/officeDocument/2006/relationships/hyperlink" Target="https://www.kimuramed.jp/" TargetMode="External" Id="rId57"/><Relationship Type="http://schemas.openxmlformats.org/officeDocument/2006/relationships/hyperlink" Target="https://medical-space.co.jp/products/2309/" TargetMode="External" Id="rId58"/><Relationship Type="http://schemas.openxmlformats.org/officeDocument/2006/relationships/hyperlink" Target="https://www.marubun.co.jp" TargetMode="External" Id="rId59"/><Relationship Type="http://schemas.openxmlformats.org/officeDocument/2006/relationships/hyperlink" Target="https://www.marubun.co.jp/info/2024/50370" TargetMode="External" Id="rId60"/><Relationship Type="http://schemas.openxmlformats.org/officeDocument/2006/relationships/hyperlink" Target="https://www.sophiatech.co.jp" TargetMode="External" Id="rId61"/><Relationship Type="http://schemas.openxmlformats.org/officeDocument/2006/relationships/hyperlink" Target="https://www.sophiatech.co.jp/orthppedic-implants?lightbox=image9xt" TargetMode="External" Id="rId62"/><Relationship Type="http://schemas.openxmlformats.org/officeDocument/2006/relationships/hyperlink" Target="https://kruz-medical.co.jp/" TargetMode="External" Id="rId63"/><Relationship Type="http://schemas.openxmlformats.org/officeDocument/2006/relationships/hyperlink" Target="https://kruz-medical.co.jp/business/" TargetMode="External" Id="rId64"/><Relationship Type="http://schemas.openxmlformats.org/officeDocument/2006/relationships/hyperlink" Target="https://www.jamo.or.jp/member/" TargetMode="External" Id="rId65"/><Relationship Type="http://schemas.openxmlformats.org/officeDocument/2006/relationships/hyperlink" Target="https://frontier-intl.co.jp" TargetMode="External" Id="rId66"/><Relationship Type="http://schemas.openxmlformats.org/officeDocument/2006/relationships/hyperlink" Target="https://frontier-intl.co.jp/product/tyouonpasindankilist/" TargetMode="External" Id="rId67"/><Relationship Type="http://schemas.openxmlformats.org/officeDocument/2006/relationships/hyperlink" Target="https://www.jamo.or.jp/member/" TargetMode="External" Id="rId68"/><Relationship Type="http://schemas.openxmlformats.org/officeDocument/2006/relationships/hyperlink" Target="https://www.cornesag.com" TargetMode="External" Id="rId69"/><Relationship Type="http://schemas.openxmlformats.org/officeDocument/2006/relationships/hyperlink" Target="https://www.cornesag.com/product/milking/breeding_management/afimilk_afiact/feature.html" TargetMode="External" Id="rId70"/><Relationship Type="http://schemas.openxmlformats.org/officeDocument/2006/relationships/hyperlink" Target="https://sakai-me.com/" TargetMode="External" Id="rId71"/><Relationship Type="http://schemas.openxmlformats.org/officeDocument/2006/relationships/hyperlink" Target="https://sakai-me.com/" TargetMode="External" Id="rId72"/><Relationship Type="http://schemas.openxmlformats.org/officeDocument/2006/relationships/hyperlink" Target="https://shinmedico.jp/" TargetMode="External" Id="rId73"/><Relationship Type="http://schemas.openxmlformats.org/officeDocument/2006/relationships/hyperlink" Target="https://baseconnect.in/companies/prefecture/3420045f-8609-4232-9407-75407ae4e6e8/keyword/a68873de-8c54-4a2c-820f-e04c8b93064c" TargetMode="External" Id="rId74"/><Relationship Type="http://schemas.openxmlformats.org/officeDocument/2006/relationships/hyperlink" Target="http://www.asuka-med.com" TargetMode="External" Id="rId75"/><Relationship Type="http://schemas.openxmlformats.org/officeDocument/2006/relationships/hyperlink" Target="https://www.jamo.or.jp/member/" TargetMode="External" Id="rId76"/><Relationship Type="http://schemas.openxmlformats.org/officeDocument/2006/relationships/hyperlink" Target="https://www.jamo.or.jp/member/" TargetMode="External" Id="rId77"/><Relationship Type="http://schemas.openxmlformats.org/officeDocument/2006/relationships/hyperlink" Target="https://news.jprpet.com/company/list/175/" TargetMode="External" Id="rId78"/><Relationship Type="http://schemas.openxmlformats.org/officeDocument/2006/relationships/hyperlink" Target="https://www.flexmedical.jp/" TargetMode="External" Id="rId79"/><Relationship Type="http://schemas.openxmlformats.org/officeDocument/2006/relationships/hyperlink" Target="https://www.jamo.or.jp/member/" TargetMode="External" Id="rId80"/><Relationship Type="http://schemas.openxmlformats.org/officeDocument/2006/relationships/hyperlink" Target="https://kind-medical.co.jp/" TargetMode="External" Id="rId81"/><Relationship Type="http://schemas.openxmlformats.org/officeDocument/2006/relationships/hyperlink" Target="https://kind-medical.co.jp/" TargetMode="External" Id="rId82"/><Relationship Type="http://schemas.openxmlformats.org/officeDocument/2006/relationships/hyperlink" Target="https://www.e-mcast.co.jp" TargetMode="External" Id="rId83"/><Relationship Type="http://schemas.openxmlformats.org/officeDocument/2006/relationships/hyperlink" Target="https://www.e-mcast.co.jp/shop/r/rdoubutsu/" TargetMode="External" Id="rId84"/><Relationship Type="http://schemas.openxmlformats.org/officeDocument/2006/relationships/hyperlink" Target="https://meilleur.co.jp/" TargetMode="External" Id="rId85"/><Relationship Type="http://schemas.openxmlformats.org/officeDocument/2006/relationships/hyperlink" Target="https://www.jamo.or.jp/member/" TargetMode="External" Id="rId86"/><Relationship Type="http://schemas.openxmlformats.org/officeDocument/2006/relationships/hyperlink" Target="http://www.nihoniryo.co.jp/" TargetMode="External" Id="rId87"/><Relationship Type="http://schemas.openxmlformats.org/officeDocument/2006/relationships/hyperlink" Target="https://news.jprpet.com/company/list/175/" TargetMode="External" Id="rId88"/><Relationship Type="http://schemas.openxmlformats.org/officeDocument/2006/relationships/hyperlink" Target="https://www.vetpartners.co.jp/" TargetMode="External" Id="rId89"/><Relationship Type="http://schemas.openxmlformats.org/officeDocument/2006/relationships/hyperlink" Target="https://www.rdsupport-tenshoku.jp/search/JOB40843" TargetMode="External" Id="rId90"/><Relationship Type="http://schemas.openxmlformats.org/officeDocument/2006/relationships/hyperlink" Target="https://www.animalpharmacy.jp/" TargetMode="External" Id="rId91"/><Relationship Type="http://schemas.openxmlformats.org/officeDocument/2006/relationships/hyperlink" Target="https://www.animalpharmacy.jp/" TargetMode="External" Id="rId92"/><Relationship Type="http://schemas.openxmlformats.org/officeDocument/2006/relationships/hyperlink" Target="https://arrows-healthcare.com" TargetMode="External" Id="rId93"/><Relationship Type="http://schemas.openxmlformats.org/officeDocument/2006/relationships/hyperlink" Target="https://arrows-healthcare.com/product/product_list?ccd=1017" TargetMode="External" Id="rId94"/><Relationship Type="http://schemas.openxmlformats.org/officeDocument/2006/relationships/hyperlink" Target="https://baseconnect.in/companies/prefecture/d80b180e-5fd9-4082-8cdc-a510179a3475/keyword/c53ff370-90f7-45dc-a0ee-e22bda2cde5e" TargetMode="External" Id="rId95"/><Relationship Type="http://schemas.openxmlformats.org/officeDocument/2006/relationships/hyperlink" Target="https://www.qix.co.jp" TargetMode="External" Id="rId96"/><Relationship Type="http://schemas.openxmlformats.org/officeDocument/2006/relationships/hyperlink" Target="https://www.qix.co.jp/news/322" TargetMode="External" Id="rId97"/><Relationship Type="http://schemas.openxmlformats.org/officeDocument/2006/relationships/hyperlink" Target="https://www.terucom.co.jp/" TargetMode="External" Id="rId98"/><Relationship Type="http://schemas.openxmlformats.org/officeDocument/2006/relationships/hyperlink" Target="https://www.jamo.or.jp/member/" TargetMode="External" Id="rId99"/><Relationship Type="http://schemas.openxmlformats.org/officeDocument/2006/relationships/hyperlink" Target="https://taishodou.jp/" TargetMode="External" Id="rId100"/><Relationship Type="http://schemas.openxmlformats.org/officeDocument/2006/relationships/hyperlink" Target="https://jadida.or.jp/doc/KaiinList20250401.pdf" TargetMode="External" Id="rId101"/><Relationship Type="http://schemas.openxmlformats.org/officeDocument/2006/relationships/hyperlink" Target="https://www.atol-com.co.jp/" TargetMode="External" Id="rId102"/><Relationship Type="http://schemas.openxmlformats.org/officeDocument/2006/relationships/hyperlink" Target="https://news.jprpet.com/company/list/174/" TargetMode="External" Id="rId103"/><Relationship Type="http://schemas.openxmlformats.org/officeDocument/2006/relationships/hyperlink" Target="https://www.kyusyumitaka.com/" TargetMode="External" Id="rId104"/><Relationship Type="http://schemas.openxmlformats.org/officeDocument/2006/relationships/hyperlink" Target="https://www.kyusyumitaka.com/" TargetMode="External" Id="rId105"/><Relationship Type="http://schemas.openxmlformats.org/officeDocument/2006/relationships/hyperlink" Target="https://jadida.or.jp/doc/KaiinList20250407.pdf" TargetMode="External" Id="rId106"/><Relationship Type="http://schemas.openxmlformats.org/officeDocument/2006/relationships/hyperlink" Target="https://news.jprpet.com/company/list/174/" TargetMode="External" Id="rId107"/><Relationship Type="http://schemas.openxmlformats.org/officeDocument/2006/relationships/hyperlink" Target="https://chubukasei.jp/" TargetMode="External" Id="rId108"/><Relationship Type="http://schemas.openxmlformats.org/officeDocument/2006/relationships/hyperlink" Target="https://jadida.or.jp/doc/KaiinList20250401.pdf" TargetMode="External" Id="rId109"/><Relationship Type="http://schemas.openxmlformats.org/officeDocument/2006/relationships/hyperlink" Target="https://news.jprpet.com/company/list/174/" TargetMode="External" Id="rId110"/><Relationship Type="http://schemas.openxmlformats.org/officeDocument/2006/relationships/hyperlink" Target="http://www.niigatafuji.co.jp" TargetMode="External" Id="rId111"/><Relationship Type="http://schemas.openxmlformats.org/officeDocument/2006/relationships/hyperlink" Target="https://www.jadida.or.jp/doc/KaiinList20241001.pdf" TargetMode="External" Id="rId112"/><Relationship Type="http://schemas.openxmlformats.org/officeDocument/2006/relationships/hyperlink" Target="https://jadida.or.jp/doc/KaiinList20250822.pdf" TargetMode="External" Id="rId113"/><Relationship Type="http://schemas.openxmlformats.org/officeDocument/2006/relationships/hyperlink" Target="https://jadida.or.jp/doc/KaiinList20250822.pdf" TargetMode="External" Id="rId114"/><Relationship Type="http://schemas.openxmlformats.org/officeDocument/2006/relationships/hyperlink" Target="https://sinbou.co.jp/" TargetMode="External" Id="rId115"/><Relationship Type="http://schemas.openxmlformats.org/officeDocument/2006/relationships/hyperlink" Target="https://jadida.or.jp/doc/KaiinList20250822.pdf" TargetMode="External" Id="rId116"/><Relationship Type="http://schemas.openxmlformats.org/officeDocument/2006/relationships/hyperlink" Target="https://www.jadida.or.jp/doc/KaiinList20241001.pdf" TargetMode="External" Id="rId117"/><Relationship Type="http://schemas.openxmlformats.org/officeDocument/2006/relationships/hyperlink" Target="https://jyuchiku.co.jp/" TargetMode="External" Id="rId118"/><Relationship Type="http://schemas.openxmlformats.org/officeDocument/2006/relationships/hyperlink" Target="https://jadida.or.jp/doc/KaiinList20250822.pdf" TargetMode="External" Id="rId119"/><Relationship Type="http://schemas.openxmlformats.org/officeDocument/2006/relationships/hyperlink" Target="https://www.matsudaiyaku.co.jp/" TargetMode="External" Id="rId120"/><Relationship Type="http://schemas.openxmlformats.org/officeDocument/2006/relationships/hyperlink" Target="https://jadida.or.jp/doc/KaiinList20250401.pdf" TargetMode="External" Id="rId121"/><Relationship Type="http://schemas.openxmlformats.org/officeDocument/2006/relationships/hyperlink" Target="https://www.jadida.or.jp/doc/KaiinList20241001.pdf" TargetMode="External" Id="rId122"/><Relationship Type="http://schemas.openxmlformats.org/officeDocument/2006/relationships/hyperlink" Target="http://www.wakoshoji.jp/" TargetMode="External" Id="rId123"/><Relationship Type="http://schemas.openxmlformats.org/officeDocument/2006/relationships/hyperlink" Target="https://jadida.or.jp/doc/KaiinList20250401.pdf" TargetMode="External" Id="rId124"/><Relationship Type="http://schemas.openxmlformats.org/officeDocument/2006/relationships/hyperlink" Target="https://news.jprpet.com/company/list/174/" TargetMode="External" Id="rId125"/><Relationship Type="http://schemas.openxmlformats.org/officeDocument/2006/relationships/hyperlink" Target="https://jadida.or.jp/doc/KaiinList20250822.pdf" TargetMode="External" Id="rId126"/><Relationship Type="http://schemas.openxmlformats.org/officeDocument/2006/relationships/hyperlink" Target="https://www.yuuwa-yakuhin.co.jp/" TargetMode="External" Id="rId127"/><Relationship Type="http://schemas.openxmlformats.org/officeDocument/2006/relationships/hyperlink" Target="https://news.jprpet.com/company/list/174/" TargetMode="External" Id="rId128"/><Relationship Type="http://schemas.openxmlformats.org/officeDocument/2006/relationships/hyperlink" Target="http://www.chuo-orion.co.jp/" TargetMode="External" Id="rId129"/><Relationship Type="http://schemas.openxmlformats.org/officeDocument/2006/relationships/hyperlink" Target="https://jadida.or.jp/doc/KaiinList20250822.pdf" TargetMode="External" Id="rId130"/><Relationship Type="http://schemas.openxmlformats.org/officeDocument/2006/relationships/hyperlink" Target="https://www.jadida.or.jp/doc/KaiinList20241001.pdf" TargetMode="External" Id="rId131"/><Relationship Type="http://schemas.openxmlformats.org/officeDocument/2006/relationships/hyperlink" Target="https://www.jpd-nd.com/" TargetMode="External" Id="rId132"/><Relationship Type="http://schemas.openxmlformats.org/officeDocument/2006/relationships/hyperlink" Target="https://info.gbiz.go.jp/hojin/ichiran?hojinBango=9011801003669" TargetMode="External" Id="rId133"/><Relationship Type="http://schemas.openxmlformats.org/officeDocument/2006/relationships/hyperlink" Target="https://www.sunibis.co.jp/" TargetMode="External" Id="rId134"/><Relationship Type="http://schemas.openxmlformats.org/officeDocument/2006/relationships/hyperlink" Target="https://news.jprpet.com/company/list/174/" TargetMode="External" Id="rId135"/><Relationship Type="http://schemas.openxmlformats.org/officeDocument/2006/relationships/hyperlink" Target="https://www.okimei.co.jp/" TargetMode="External" Id="rId136"/><Relationship Type="http://schemas.openxmlformats.org/officeDocument/2006/relationships/hyperlink" Target="https://jadida.or.jp/doc/KaiinList20250401.pdf" TargetMode="External" Id="rId137"/><Relationship Type="http://schemas.openxmlformats.org/officeDocument/2006/relationships/hyperlink" Target="https://jadida.or.jp/doc/KaiinList20250401.pdf" TargetMode="External" Id="rId138"/><Relationship Type="http://schemas.openxmlformats.org/officeDocument/2006/relationships/hyperlink" Target="https://www.fuji-keizai.co.jp/report/detail.html?code=122410710&amp;la=ja&amp;la=en" TargetMode="External" Id="rId139"/><Relationship Type="http://schemas.openxmlformats.org/officeDocument/2006/relationships/hyperlink" Target="https://www.jadida.or.jp/doc/KaiinList20241001.pdf" TargetMode="External" Id="rId140"/><Relationship Type="http://schemas.openxmlformats.org/officeDocument/2006/relationships/hyperlink" Target="https://www.jadida.or.jp/doc/KaiinList20241001.pdf" TargetMode="External" Id="rId141"/><Relationship Type="http://schemas.openxmlformats.org/officeDocument/2006/relationships/hyperlink" Target="https://www.fair-medical.jp/" TargetMode="External" Id="rId142"/><Relationship Type="http://schemas.openxmlformats.org/officeDocument/2006/relationships/hyperlink" Target="https://www.fair-medical.jp/" TargetMode="External" Id="rId143"/><Relationship Type="http://schemas.openxmlformats.org/officeDocument/2006/relationships/hyperlink" Target="https://www.wism-mutoh.jp" TargetMode="External" Id="rId144"/><Relationship Type="http://schemas.openxmlformats.org/officeDocument/2006/relationships/hyperlink" Target="https://www.wism-mutoh.jp/bases/?region=%E5%8C%97%E6%B5%B7%E9%81%93" TargetMode="External" Id="rId145"/><Relationship Type="http://schemas.openxmlformats.org/officeDocument/2006/relationships/hyperlink" Target="https://www.sysmex-tmc.co.jp/index.html" TargetMode="External" Id="rId146"/><Relationship Type="http://schemas.openxmlformats.org/officeDocument/2006/relationships/hyperlink" Target="https://www.jamo.or.jp/member/" TargetMode="External" Id="rId147"/><Relationship Type="http://schemas.openxmlformats.org/officeDocument/2006/relationships/hyperlink" Target="https://shiratake-med.com/" TargetMode="External" Id="rId148"/><Relationship Type="http://schemas.openxmlformats.org/officeDocument/2006/relationships/hyperlink" Target="https://shiratake-med.com/" TargetMode="External" Id="rId149"/><Relationship Type="http://schemas.openxmlformats.org/officeDocument/2006/relationships/hyperlink" Target="https://www.solve-net.com" TargetMode="External" Id="rId150"/><Relationship Type="http://schemas.openxmlformats.org/officeDocument/2006/relationships/hyperlink" Target="https://www.solve-net.com/info/tag/%E5%8B%95%E7%89%A9%E7%97%85%E9%99%A2%E5%90%91%E3%81%91%E8%A3%BD%E5%93%81/" TargetMode="External" Id="rId151"/><Relationship Type="http://schemas.openxmlformats.org/officeDocument/2006/relationships/hyperlink" Target="https://www.marubun-tsusyo.co.jp/" TargetMode="External" Id="rId152"/><Relationship Type="http://schemas.openxmlformats.org/officeDocument/2006/relationships/hyperlink" Target="https://baseconnect.in/companies/prefecture/4637ba90-383b-4656-8be1-ca34c7f7244f/keyword/89941b4e-2dd1-4848-8957-48af280a31e0" TargetMode="External" Id="rId153"/><Relationship Type="http://schemas.openxmlformats.org/officeDocument/2006/relationships/hyperlink" Target="https://mobix-kk.com/" TargetMode="External" Id="rId154"/><Relationship Type="http://schemas.openxmlformats.org/officeDocument/2006/relationships/hyperlink" Target="https://baseconnect.in/companies/prefecture/8de2e273-a5a8-45b9-8fc1-0fe6344d6843/keyword/14f3dcec-9cd5-4be5-84e1-ddccb7bd228c" TargetMode="External" Id="rId155"/><Relationship Type="http://schemas.openxmlformats.org/officeDocument/2006/relationships/hyperlink" Target="https://promedi.co.jp/" TargetMode="External" Id="rId156"/><Relationship Type="http://schemas.openxmlformats.org/officeDocument/2006/relationships/hyperlink" Target="https://baseconnect.in/companies/prefecture/4637ba90-383b-4656-8be1-ca34c7f7244f/keyword/89941b4e-2dd1-4848-8957-48af280a31e0" TargetMode="External" Id="rId157"/><Relationship Type="http://schemas.openxmlformats.org/officeDocument/2006/relationships/hyperlink" Target="https://www.ishiguro-medical.jp/" TargetMode="External" Id="rId158"/><Relationship Type="http://schemas.openxmlformats.org/officeDocument/2006/relationships/hyperlink" Target="https://baseconnect.in/companies/prefecture/63038c5a-e328-472b-b9cc-039738609ba7/category/b2358a1c-c4c6-46f4-a0b1-dee3a1b30a0b" TargetMode="External" Id="rId159"/><Relationship Type="http://schemas.openxmlformats.org/officeDocument/2006/relationships/hyperlink" Target="https://baseconnect.in/companies/keyword/4d87c1c6-1be0-402b-9086-9c71cd173036" TargetMode="External" Id="rId160"/><Relationship Type="http://schemas.openxmlformats.org/officeDocument/2006/relationships/hyperlink" Target="https://baseconnect.in/companies/prefecture/3420045f-8609-4232-9407-75407ae4e6e8/category/b2358a1c-c4c6-46f4-a0b1-dee3a1b30a0b" TargetMode="External" Id="rId161"/><Relationship Type="http://schemas.openxmlformats.org/officeDocument/2006/relationships/hyperlink" Target="https://www.kuribara.co.jp/" TargetMode="External" Id="rId162"/><Relationship Type="http://schemas.openxmlformats.org/officeDocument/2006/relationships/hyperlink" Target="https://www.r-agent.com/company/c7230/" TargetMode="External" Id="rId163"/><Relationship Type="http://schemas.openxmlformats.org/officeDocument/2006/relationships/hyperlink" Target="https://www.kishiya.co.jp" TargetMode="External" Id="rId164"/><Relationship Type="http://schemas.openxmlformats.org/officeDocument/2006/relationships/hyperlink" Target="https://www.kishiya.co.jp/group/" TargetMode="External" Id="rId165"/><Relationship Type="http://schemas.openxmlformats.org/officeDocument/2006/relationships/hyperlink" Target="https://www.yamashitaika.co.jp/" TargetMode="External" Id="rId166"/><Relationship Type="http://schemas.openxmlformats.org/officeDocument/2006/relationships/hyperlink" Target="https://job.mynavi.jp/27/pc/search/corp80535/outline.html" TargetMode="External" Id="rId167"/><Relationship Type="http://schemas.openxmlformats.org/officeDocument/2006/relationships/hyperlink" Target="https://www.mac-inc.co.jp/" TargetMode="External" Id="rId168"/><Relationship Type="http://schemas.openxmlformats.org/officeDocument/2006/relationships/hyperlink" Target="https://baseconnect.in/companies/prefecture/9ebb3838-effc-47da-b634-994957a78319/keyword/14f3dcec-9cd5-4be5-84e1-ddccb7bd228c" TargetMode="External" Id="rId169"/><Relationship Type="http://schemas.openxmlformats.org/officeDocument/2006/relationships/hyperlink" Target="https://baseconnect.in/companies/prefecture/47b312cd-84c4-4e89-951a-b56344bc774e/keyword/89941b4e-2dd1-4848-8957-48af280a31e0" TargetMode="External" Id="rId170"/><Relationship Type="http://schemas.openxmlformats.org/officeDocument/2006/relationships/hyperlink" Target="https://www.nikkei.com/compass/search/Y2F0ZWdvcnk9Y29tcGFueSZyZWdpb249MjMmaW5kdXN0cnlTPTA1MzI" TargetMode="External" Id="rId171"/><Relationship Type="http://schemas.openxmlformats.org/officeDocument/2006/relationships/hyperlink" Target="https://baseconnect.in/companies/prefecture/3cf97f91-8b39-4cdb-981b-d035b0176b65/keyword/89941b4e-2dd1-4848-8957-48af280a31e0" TargetMode="External" Id="rId172"/><Relationship Type="http://schemas.openxmlformats.org/officeDocument/2006/relationships/hyperlink" Target="https://baseconnect.in/companies/prefecture/8de2e273-a5a8-45b9-8fc1-0fe6344d6843/keyword/14f3dcec-9cd5-4be5-84e1-ddccb7bd228c" TargetMode="External" Id="rId173"/><Relationship Type="http://schemas.openxmlformats.org/officeDocument/2006/relationships/hyperlink" Target="https://www.nikkei.com/compass/search/Y2F0ZWdvcnk9Y29tcGFueSZyZWdpb249MjMmaW5kdXN0cnlTPTA1MzI" TargetMode="External" Id="rId174"/><Relationship Type="http://schemas.openxmlformats.org/officeDocument/2006/relationships/hyperlink" Target="https://baseconnect.in/companies/prefecture/aed784f6-cd06-4f72-95d9-876e82d37385/keyword/89941b4e-2dd1-4848-8957-48af280a31e0" TargetMode="External" Id="rId175"/><Relationship Type="http://schemas.openxmlformats.org/officeDocument/2006/relationships/hyperlink" Target="http://www.kk-himec.co.jp/" TargetMode="External" Id="rId176"/><Relationship Type="http://schemas.openxmlformats.org/officeDocument/2006/relationships/hyperlink" Target="https://baseconnect.in/companies/prefecture/31ffefed-1183-4eba-a6d9-4182a6136e50/keyword/14f3dcec-9cd5-4be5-84e1-ddccb7bd228c" TargetMode="External" Id="rId177"/><Relationship Type="http://schemas.openxmlformats.org/officeDocument/2006/relationships/hyperlink" Target="https://baseconnect.in/companies/prefecture/31ffefed-1183-4eba-a6d9-4182a6136e50/keyword/14f3dcec-9cd5-4be5-84e1-ddccb7bd228c" TargetMode="External" Id="rId178"/><Relationship Type="http://schemas.openxmlformats.org/officeDocument/2006/relationships/hyperlink" Target="https://tenshoku.mynavi.jp/company/list/i02090/" TargetMode="External" Id="rId179"/><Relationship Type="http://schemas.openxmlformats.org/officeDocument/2006/relationships/hyperlink" Target="https://baseconnect.in/companies/prefecture/aed784f6-cd06-4f72-95d9-876e82d37385/keyword/89941b4e-2dd1-4848-8957-48af280a31e0" TargetMode="External" Id="rId180"/><Relationship Type="http://schemas.openxmlformats.org/officeDocument/2006/relationships/hyperlink" Target="https://www.knowmed.jp/" TargetMode="External" Id="rId181"/><Relationship Type="http://schemas.openxmlformats.org/officeDocument/2006/relationships/hyperlink" Target="https://tenshoku.mynavi.jp/company/list/i02090/" TargetMode="External" Id="rId182"/><Relationship Type="http://schemas.openxmlformats.org/officeDocument/2006/relationships/hyperlink" Target="https://www.kyowaika.co.jp" TargetMode="External" Id="rId183"/><Relationship Type="http://schemas.openxmlformats.org/officeDocument/2006/relationships/hyperlink" Target="https://logokit.com/brands/kyowaika.co.jp" TargetMode="External" Id="rId184"/><Relationship Type="http://schemas.openxmlformats.org/officeDocument/2006/relationships/hyperlink" Target="https://baseconnect.in/companies/prefecture/60622468-79bd-4eef-86f8-cb69d1ef09f0/keyword/14f3dcec-9cd5-4be5-84e1-ddccb7bd228c" TargetMode="External" Id="rId185"/><Relationship Type="http://schemas.openxmlformats.org/officeDocument/2006/relationships/hyperlink" Target="https://www.mshhs.com/" TargetMode="External" Id="rId186"/><Relationship Type="http://schemas.openxmlformats.org/officeDocument/2006/relationships/hyperlink" Target="https://baseconnect.in/companies/prefecture/4637ba90-383b-4656-8be1-ca34c7f7244f/keyword/89941b4e-2dd1-4848-8957-48af280a31e0" TargetMode="External" Id="rId187"/><Relationship Type="http://schemas.openxmlformats.org/officeDocument/2006/relationships/hyperlink" Target="https://www.navitime.co.jp/category/0516/23/?tags=010190" TargetMode="External" Id="rId188"/><Relationship Type="http://schemas.openxmlformats.org/officeDocument/2006/relationships/hyperlink" Target="https://baseconnect.in/companies/prefecture/47b312cd-84c4-4e89-951a-b56344bc774e/keyword/89941b4e-2dd1-4848-8957-48af280a31e0" TargetMode="External" Id="rId189"/><Relationship Type="http://schemas.openxmlformats.org/officeDocument/2006/relationships/hyperlink" Target="https://baseconnect.in/companies/prefecture/31ffefed-1183-4eba-a6d9-4182a6136e50/keyword/14f3dcec-9cd5-4be5-84e1-ddccb7bd228c" TargetMode="External" Id="rId190"/><Relationship Type="http://schemas.openxmlformats.org/officeDocument/2006/relationships/hyperlink" Target="https://www.navitime.co.jp/category/0516/23/?tags=010190" TargetMode="External" Id="rId191"/><Relationship Type="http://schemas.openxmlformats.org/officeDocument/2006/relationships/hyperlink" Target="http://www.shizuokaika.co.jp/" TargetMode="External" Id="rId192"/><Relationship Type="http://schemas.openxmlformats.org/officeDocument/2006/relationships/hyperlink" Target="http://www.shizuokaika.co.jp/" TargetMode="External" Id="rId193"/><Relationship Type="http://schemas.openxmlformats.org/officeDocument/2006/relationships/hyperlink" Target="https://www.navitime.co.jp/category/0516/28110/?tags=010447" TargetMode="External" Id="rId194"/><Relationship Type="http://schemas.openxmlformats.org/officeDocument/2006/relationships/hyperlink" Target="https://www.t-t-m.co.jp/TTM_WEB/" TargetMode="External" Id="rId195"/><Relationship Type="http://schemas.openxmlformats.org/officeDocument/2006/relationships/hyperlink" Target="https://www.navitime.co.jp/category/0516/23/?tags=010190" TargetMode="External" Id="rId196"/><Relationship Type="http://schemas.openxmlformats.org/officeDocument/2006/relationships/hyperlink" Target="https://touzai-iyouki.com/" TargetMode="External" Id="rId197"/><Relationship Type="http://schemas.openxmlformats.org/officeDocument/2006/relationships/hyperlink" Target="https://touzai-iyouki.com/" TargetMode="External" Id="rId198"/><Relationship Type="http://schemas.openxmlformats.org/officeDocument/2006/relationships/hyperlink" Target="https://baseconnect.in/companies/prefecture/60622468-79bd-4eef-86f8-cb69d1ef09f0/keyword/14f3dcec-9cd5-4be5-84e1-ddccb7bd228c" TargetMode="External" Id="rId199"/><Relationship Type="http://schemas.openxmlformats.org/officeDocument/2006/relationships/hyperlink" Target="https://www.yagami.co.jp/" TargetMode="External" Id="rId200"/><Relationship Type="http://schemas.openxmlformats.org/officeDocument/2006/relationships/hyperlink" Target="https://note.com/arrows_column/n/nd4fd35a1d8b1" TargetMode="External" Id="rId201"/><Relationship Type="http://schemas.openxmlformats.org/officeDocument/2006/relationships/hyperlink" Target="https://astis.co.jp/" TargetMode="External" Id="rId202"/><Relationship Type="http://schemas.openxmlformats.org/officeDocument/2006/relationships/hyperlink" Target="https://astis.co.jp/" TargetMode="External" Id="rId203"/><Relationship Type="http://schemas.openxmlformats.org/officeDocument/2006/relationships/hyperlink" Target="https://eiko165.co.jp/" TargetMode="External" Id="rId204"/><Relationship Type="http://schemas.openxmlformats.org/officeDocument/2006/relationships/hyperlink" Target="https://eiko165.co.jp/" TargetMode="External" Id="rId205"/><Relationship Type="http://schemas.openxmlformats.org/officeDocument/2006/relationships/hyperlink" Target="https://www.fukuda.co.jp/company/lt/lt_area05.html" TargetMode="External" Id="rId206"/><Relationship Type="http://schemas.openxmlformats.org/officeDocument/2006/relationships/hyperlink" Target="https://www.fukuda.co.jp/company/lt/lt_area05.html" TargetMode="External" Id="rId207"/><Relationship Type="http://schemas.openxmlformats.org/officeDocument/2006/relationships/hyperlink" Target="https://www.kawanishi-md.co.jp/kw/" TargetMode="External" Id="rId208"/><Relationship Type="http://schemas.openxmlformats.org/officeDocument/2006/relationships/hyperlink" Target="https://kitaishihon.com/company/2689/story" TargetMode="External" Id="rId209"/><Relationship Type="http://schemas.openxmlformats.org/officeDocument/2006/relationships/hyperlink" Target="https://jml-west.jp/" TargetMode="External" Id="rId210"/><Relationship Type="http://schemas.openxmlformats.org/officeDocument/2006/relationships/hyperlink" Target="https://www.fukuda.co.jp/company/lt/lt_area05.html" TargetMode="External" Id="rId211"/><Relationship Type="http://schemas.openxmlformats.org/officeDocument/2006/relationships/hyperlink" Target="https://www.fukuda.co.jp/company/lt/lt_area05.html" TargetMode="External" Id="rId212"/><Relationship Type="http://schemas.openxmlformats.org/officeDocument/2006/relationships/hyperlink" Target="https://shikokuiryoki.com/" TargetMode="External" Id="rId213"/><Relationship Type="http://schemas.openxmlformats.org/officeDocument/2006/relationships/hyperlink" Target="https://shikokuiryoki.com/about/" TargetMode="External" Id="rId214"/><Relationship Type="http://schemas.openxmlformats.org/officeDocument/2006/relationships/hyperlink" Target="https://www.fukuda.co.jp/company/lt/lt_area05.html" TargetMode="External" Id="rId215"/><Relationship Type="http://schemas.openxmlformats.org/officeDocument/2006/relationships/hyperlink" Target="https://t-iryoki.co.jp/" TargetMode="External" Id="rId216"/><Relationship Type="http://schemas.openxmlformats.org/officeDocument/2006/relationships/hyperlink" Target="https://www.fukuda.co.jp/company/lt/lt_area05.html" TargetMode="External" Id="rId217"/><Relationship Type="http://schemas.openxmlformats.org/officeDocument/2006/relationships/hyperlink" Target="https://www.actmedic.jp/" TargetMode="External" Id="rId218"/><Relationship Type="http://schemas.openxmlformats.org/officeDocument/2006/relationships/hyperlink" Target="https://www.actmedic.jp/" TargetMode="External" Id="rId219"/><Relationship Type="http://schemas.openxmlformats.org/officeDocument/2006/relationships/hyperlink" Target="https://baseconnect.in/companies/prefecture/63038c5a-e328-472b-b9cc-039738609ba7/category/b2358a1c-c4c6-46f4-a0b1-dee3a1b30a0b" TargetMode="External" Id="rId220"/><Relationship Type="http://schemas.openxmlformats.org/officeDocument/2006/relationships/hyperlink" Target="https://baseconnect.in/companies/prefecture/e010a2b6-a345-4a52-b350-1ca592e384b8/keyword/a68873de-8c54-4a2c-820f-e04c8b93064c" TargetMode="External" Id="rId221"/><Relationship Type="http://schemas.openxmlformats.org/officeDocument/2006/relationships/hyperlink" Target="https://baseconnect.in/companies/prefecture/63038c5a-e328-472b-b9cc-039738609ba7/category/b2358a1c-c4c6-46f4-a0b1-dee3a1b30a0b" TargetMode="External" Id="rId222"/><Relationship Type="http://schemas.openxmlformats.org/officeDocument/2006/relationships/hyperlink" Target="https://baseconnect.in/companies/prefecture/63038c5a-e328-472b-b9cc-039738609ba7/category/b2358a1c-c4c6-46f4-a0b1-dee3a1b30a0b" TargetMode="External" Id="rId223"/><Relationship Type="http://schemas.openxmlformats.org/officeDocument/2006/relationships/hyperlink" Target="https://www.navitime.co.jp/category/0516/27128/?tags=010190" TargetMode="External" Id="rId224"/><Relationship Type="http://schemas.openxmlformats.org/officeDocument/2006/relationships/hyperlink" Target="https://www.nikkei.com/compass/search/Y2F0ZWdvcnk9Y29tcGFueSZyZWdpb249MjgmaW5kdXN0cnlTPTA1MzI" TargetMode="External" Id="rId225"/><Relationship Type="http://schemas.openxmlformats.org/officeDocument/2006/relationships/hyperlink" Target="https://baseconnect.in/companies/prefecture/63038c5a-e328-472b-b9cc-039738609ba7/category/b2358a1c-c4c6-46f4-a0b1-dee3a1b30a0b" TargetMode="External" Id="rId226"/><Relationship Type="http://schemas.openxmlformats.org/officeDocument/2006/relationships/hyperlink" Target="https://baseconnect.in/companies/prefecture/d80b180e-5fd9-4082-8cdc-a510179a3475/keyword/89941b4e-2dd1-4848-8957-48af280a31e0" TargetMode="External" Id="rId227"/><Relationship Type="http://schemas.openxmlformats.org/officeDocument/2006/relationships/hyperlink" Target="https://kimedical-kyoto.com/" TargetMode="External" Id="rId228"/><Relationship Type="http://schemas.openxmlformats.org/officeDocument/2006/relationships/hyperlink" Target="http://www.mia-kyoto.gr.jp/members/kimedical.html" TargetMode="External" Id="rId229"/><Relationship Type="http://schemas.openxmlformats.org/officeDocument/2006/relationships/hyperlink" Target="https://houjin.goo.to/corporations/prefs/hyogo/category-s-medical-equipment-and-instrument-trading-companies" TargetMode="External" Id="rId230"/><Relationship Type="http://schemas.openxmlformats.org/officeDocument/2006/relationships/hyperlink" Target="https://www.kns-md.co.jp/" TargetMode="External" Id="rId231"/><Relationship Type="http://schemas.openxmlformats.org/officeDocument/2006/relationships/hyperlink" Target="https://www.kns-md.co.jp/" TargetMode="External" Id="rId232"/><Relationship Type="http://schemas.openxmlformats.org/officeDocument/2006/relationships/hyperlink" Target="https://houjin.goo.to/corporations/prefs/hyogo/category-s-medical-equipment-and-instrument-trading-companies" TargetMode="External" Id="rId233"/><Relationship Type="http://schemas.openxmlformats.org/officeDocument/2006/relationships/hyperlink" Target="https://www.masudaika.co.jp" TargetMode="External" Id="rId234"/><Relationship Type="http://schemas.openxmlformats.org/officeDocument/2006/relationships/hyperlink" Target="https://www.masudaika.co.jp/aboutus/" TargetMode="External" Id="rId235"/><Relationship Type="http://schemas.openxmlformats.org/officeDocument/2006/relationships/hyperlink" Target="https://www.nikkei.com/compass/search/Y2F0ZWdvcnk9Y29tcGFueSZyZWdpb249MjcmaW5kdXN0cnlTPTA1MzI" TargetMode="External" Id="rId236"/><Relationship Type="http://schemas.openxmlformats.org/officeDocument/2006/relationships/hyperlink" Target="https://www.minato-med.co.jp/" TargetMode="External" Id="rId237"/><Relationship Type="http://schemas.openxmlformats.org/officeDocument/2006/relationships/hyperlink" Target="http://mia-kyoto.gr.jp/members/minato.html" TargetMode="External" Id="rId238"/><Relationship Type="http://schemas.openxmlformats.org/officeDocument/2006/relationships/hyperlink" Target="https://www.miyano.co.jp" TargetMode="External" Id="rId239"/><Relationship Type="http://schemas.openxmlformats.org/officeDocument/2006/relationships/hyperlink" Target="https://www.miyano.co.jp/business/iryo" TargetMode="External" Id="rId240"/><Relationship Type="http://schemas.openxmlformats.org/officeDocument/2006/relationships/hyperlink" Target="https://baseconnect.in/companies/prefecture/d80b180e-5fd9-4082-8cdc-a510179a3475/keyword/14f3dcec-9cd5-4be5-84e1-ddccb7bd228c" TargetMode="External" Id="rId241"/><Relationship Type="http://schemas.openxmlformats.org/officeDocument/2006/relationships/hyperlink" Target="https://nakayamaika.com/" TargetMode="External" Id="rId242"/><Relationship Type="http://schemas.openxmlformats.org/officeDocument/2006/relationships/hyperlink" Target="https://baseconnect.in/companies/prefecture/1d5a2479-736c-41d9-98fe-d43b8d447ca4/category/b2358a1c-c4c6-46f4-a0b1-dee3a1b30a0b" TargetMode="External" Id="rId243"/><Relationship Type="http://schemas.openxmlformats.org/officeDocument/2006/relationships/hyperlink" Target="https://sanshodoh.co.jp/" TargetMode="External" Id="rId244"/><Relationship Type="http://schemas.openxmlformats.org/officeDocument/2006/relationships/hyperlink" Target="https://baseconnect.in/companies/prefecture/63038c5a-e328-472b-b9cc-039738609ba7/keyword/89941b4e-2dd1-4848-8957-48af280a31e0" TargetMode="External" Id="rId245"/><Relationship Type="http://schemas.openxmlformats.org/officeDocument/2006/relationships/hyperlink" Target="https://baseconnect.in/companies/prefecture/d80b180e-5fd9-4082-8cdc-a510179a3475/keyword/89941b4e-2dd1-4848-8957-48af280a31e0" TargetMode="External" Id="rId246"/><Relationship Type="http://schemas.openxmlformats.org/officeDocument/2006/relationships/hyperlink" Target="https://baseconnect.in/companies/prefecture/912d7b2d-41c2-4923-a5c1-6666f9834966/keyword/14f3dcec-9cd5-4be5-84e1-ddccb7bd228c" TargetMode="External" Id="rId247"/><Relationship Type="http://schemas.openxmlformats.org/officeDocument/2006/relationships/hyperlink" Target="https://baseconnect.in/companies/prefecture/63038c5a-e328-472b-b9cc-039738609ba7/category/b2358a1c-c4c6-46f4-a0b1-dee3a1b30a0b" TargetMode="External" Id="rId248"/><Relationship Type="http://schemas.openxmlformats.org/officeDocument/2006/relationships/hyperlink" Target="https://www.nikkei.com/compass/search/Y2F0ZWdvcnk9Y29tcGFueSZyZWdpb249MjgmaW5kdXN0cnlTPTA1MzI" TargetMode="External" Id="rId249"/><Relationship Type="http://schemas.openxmlformats.org/officeDocument/2006/relationships/hyperlink" Target="https://baseconnect.in/companies/prefecture/c59cfe5b-871c-44d1-8594-96d4a5882e4b/keyword/89941b4e-2dd1-4848-8957-48af280a31e0" TargetMode="External" Id="rId250"/><Relationship Type="http://schemas.openxmlformats.org/officeDocument/2006/relationships/hyperlink" Target="https://baseconnect.in/companies/prefecture/a30ebdff-361b-42be-8372-1b0d350f48a0/category/b2358a1c-c4c6-46f4-a0b1-dee3a1b30a0b" TargetMode="External" Id="rId251"/><Relationship Type="http://schemas.openxmlformats.org/officeDocument/2006/relationships/hyperlink" Target="https://www.nikkei.com/compass/search/Y2F0ZWdvcnk9Y29tcGFueSZyZWdpb249MTMmaW5kdXN0cnlTPTA1MzI" TargetMode="External" Id="rId252"/><Relationship Type="http://schemas.openxmlformats.org/officeDocument/2006/relationships/hyperlink" Target="http://www.cmi.co.jp/" TargetMode="External" Id="rId253"/><Relationship Type="http://schemas.openxmlformats.org/officeDocument/2006/relationships/hyperlink" Target="https://baseconnect.in/companies/prefecture/a30ebdff-361b-42be-8372-1b0d350f48a0/keyword/89941b4e-2dd1-4848-8957-48af280a31e0" TargetMode="External" Id="rId254"/><Relationship Type="http://schemas.openxmlformats.org/officeDocument/2006/relationships/hyperlink" Target="https://baseconnect.in/companies/prefecture/5b2e6d00-cfba-4d0b-850d-54757e4b4d7f/keyword/89941b4e-2dd1-4848-8957-48af280a31e0" TargetMode="External" Id="rId255"/><Relationship Type="http://schemas.openxmlformats.org/officeDocument/2006/relationships/hyperlink" Target="https://baseconnect.in/companies/prefecture/5b2e6d00-cfba-4d0b-850d-54757e4b4d7f/keyword/14f3dcec-9cd5-4be5-84e1-ddccb7bd228c" TargetMode="External" Id="rId256"/><Relationship Type="http://schemas.openxmlformats.org/officeDocument/2006/relationships/hyperlink" Target="https://baseconnect.in/companies/prefecture/5b2e6d00-cfba-4d0b-850d-54757e4b4d7f/keyword/89941b4e-2dd1-4848-8957-48af280a31e0" TargetMode="External" Id="rId257"/><Relationship Type="http://schemas.openxmlformats.org/officeDocument/2006/relationships/hyperlink" Target="https://baseconnect.in/companies/prefecture/3420045f-8609-4232-9407-75407ae4e6e8/keyword/89941b4e-2dd1-4848-8957-48af280a31e0" TargetMode="External" Id="rId258"/><Relationship Type="http://schemas.openxmlformats.org/officeDocument/2006/relationships/hyperlink" Target="https://baseconnect.in/companies/prefecture/5d54c878-c20d-4f57-bb73-e021f2210d6c/keyword/14f3dcec-9cd5-4be5-84e1-ddccb7bd228c"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d8203dea-91e2-41c3-a785-b80aa997273c/category/b2358a1c-c4c6-46f4-a0b1-dee3a1b30a0b" TargetMode="External" Id="rId261"/><Relationship Type="http://schemas.openxmlformats.org/officeDocument/2006/relationships/hyperlink" Target="https://www.nikkei.com/compass/search/Y2F0ZWdvcnk9Y29tcGFueSZyZWdpb249MTMmaW5kdXN0cnlTPTA1MzI" TargetMode="External" Id="rId262"/><Relationship Type="http://schemas.openxmlformats.org/officeDocument/2006/relationships/hyperlink" Target="https://www.nikkei.com/compass/search/Y2F0ZWdvcnk9Y29tcGFueSZyZWdpb249MTMmaW5kdXN0cnlTPTA1MzI" TargetMode="External" Id="rId263"/><Relationship Type="http://schemas.openxmlformats.org/officeDocument/2006/relationships/hyperlink" Target="https://baseconnect.in/companies/prefecture/a30ebdff-361b-42be-8372-1b0d350f48a0/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a30ebdff-361b-42be-8372-1b0d350f48a0/keyword/89941b4e-2dd1-4848-8957-48af280a31e0" TargetMode="External" Id="rId266"/><Relationship Type="http://schemas.openxmlformats.org/officeDocument/2006/relationships/hyperlink" Target="https://baseconnect.in/companies/prefecture/a30ebdff-361b-42be-8372-1b0d350f48a0/category/b2358a1c-c4c6-46f4-a0b1-dee3a1b30a0b" TargetMode="External" Id="rId267"/><Relationship Type="http://schemas.openxmlformats.org/officeDocument/2006/relationships/hyperlink" Target="https://baseconnect.in/companies/prefecture/3420045f-8609-4232-9407-75407ae4e6e8/keyword/89941b4e-2dd1-4848-8957-48af280a31e0" TargetMode="External" Id="rId268"/><Relationship Type="http://schemas.openxmlformats.org/officeDocument/2006/relationships/hyperlink" Target="https://www.nikkei.com/compass/search/Y2F0ZWdvcnk9Y29tcGFueSZyZWdpb249MTMmaW5kdXN0cnlTPTA1MzI" TargetMode="External" Id="rId269"/><Relationship Type="http://schemas.openxmlformats.org/officeDocument/2006/relationships/hyperlink" Target="https://www.ace-med.co.jp/" TargetMode="External" Id="rId270"/><Relationship Type="http://schemas.openxmlformats.org/officeDocument/2006/relationships/hyperlink" Target="https://baseconnect.in/companies/prefecture/b147f06d-09b9-4c4f-9e51-e7157354eec0/keyword/14f3dcec-9cd5-4be5-84e1-ddccb7bd228c" TargetMode="External" Id="rId271"/><Relationship Type="http://schemas.openxmlformats.org/officeDocument/2006/relationships/hyperlink" Target="https://www.astemf.jp/" TargetMode="External" Id="rId272"/><Relationship Type="http://schemas.openxmlformats.org/officeDocument/2006/relationships/hyperlink" Target="https://baseconnect.in/companies/keyword/14f3dcec-9cd5-4be5-84e1-ddccb7bd228c" TargetMode="External" Id="rId273"/><Relationship Type="http://schemas.openxmlformats.org/officeDocument/2006/relationships/hyperlink" Target="https://baseconnect.in/companies/prefecture/b147f06d-09b9-4c4f-9e51-e7157354eec0/keyword/14f3dcec-9cd5-4be5-84e1-ddccb7bd228c" TargetMode="External" Id="rId274"/><Relationship Type="http://schemas.openxmlformats.org/officeDocument/2006/relationships/hyperlink" Target="https://baseconnect.in/companies/prefecture/39b58ff0-63fd-405f-8b8a-37c5443ce5c7/keyword/89941b4e-2dd1-4848-8957-48af280a31e0" TargetMode="External" Id="rId275"/><Relationship Type="http://schemas.openxmlformats.org/officeDocument/2006/relationships/hyperlink" Target="http://hachigou.co.jp/" TargetMode="External" Id="rId276"/><Relationship Type="http://schemas.openxmlformats.org/officeDocument/2006/relationships/hyperlink" Target="https://baseconnect.in/companies/prefecture/344720c8-49c6-4a45-94af-958496d86524/category/b2358a1c-c4c6-46f4-a0b1-dee3a1b30a0b" TargetMode="External" Id="rId277"/><Relationship Type="http://schemas.openxmlformats.org/officeDocument/2006/relationships/hyperlink" Target="https://note.com/arrows_column/n/nd4fd35a1d8b1" TargetMode="External" Id="rId278"/><Relationship Type="http://schemas.openxmlformats.org/officeDocument/2006/relationships/hyperlink" Target="https://baseconnect.in/companies/prefecture/96c84bbe-0dd4-4885-9333-4913e3f022c9/keyword/89941b4e-2dd1-4848-8957-48af280a31e0" TargetMode="External" Id="rId279"/><Relationship Type="http://schemas.openxmlformats.org/officeDocument/2006/relationships/hyperlink" Target="https://www.nikkei.com/compass/company/ib4WUdvTL1TxuRMigwCfQh" TargetMode="External" Id="rId280"/><Relationship Type="http://schemas.openxmlformats.org/officeDocument/2006/relationships/hyperlink" Target="https://www.navitime.co.jp/category/0516/40/?tags=010190&amp;from=tag" TargetMode="External" Id="rId281"/><Relationship Type="http://schemas.openxmlformats.org/officeDocument/2006/relationships/hyperlink" Target="https://www.navitime.co.jp/category/00/47/?tags=010190" TargetMode="External" Id="rId282"/><Relationship Type="http://schemas.openxmlformats.org/officeDocument/2006/relationships/hyperlink" Target="https://okinawa-medico.com/" TargetMode="External" Id="rId283"/><Relationship Type="http://schemas.openxmlformats.org/officeDocument/2006/relationships/hyperlink" Target="https://okinawa-medico.com/company/" TargetMode="External" Id="rId284"/><Relationship Type="http://schemas.openxmlformats.org/officeDocument/2006/relationships/hyperlink" Target="https://www.navitime.co.jp/category/00/47/?tags=010190" TargetMode="External" Id="rId285"/><Relationship Type="http://schemas.openxmlformats.org/officeDocument/2006/relationships/hyperlink" Target="https://baseconnect.in/companies/prefecture/344720c8-49c6-4a45-94af-958496d86524/category/b2358a1c-c4c6-46f4-a0b1-dee3a1b30a0b" TargetMode="External" Id="rId286"/><Relationship Type="http://schemas.openxmlformats.org/officeDocument/2006/relationships/hyperlink" Target="https://baseconnect.in/companies/prefecture/96c84bbe-0dd4-4885-9333-4913e3f022c9/keyword/89941b4e-2dd1-4848-8957-48af280a31e0" TargetMode="External" Id="rId287"/><Relationship Type="http://schemas.openxmlformats.org/officeDocument/2006/relationships/hyperlink" Target="https://baseconnect.in/companies/prefecture/39b58ff0-63fd-405f-8b8a-37c5443ce5c7/keyword/89941b4e-2dd1-4848-8957-48af280a31e0" TargetMode="External" Id="rId288"/><Relationship Type="http://schemas.openxmlformats.org/officeDocument/2006/relationships/hyperlink" Target="https://baseconnect.in/companies/prefecture/344720c8-49c6-4a45-94af-958496d86524/category/b2358a1c-c4c6-46f4-a0b1-dee3a1b30a0b" TargetMode="External" Id="rId289"/><Relationship Type="http://schemas.openxmlformats.org/officeDocument/2006/relationships/hyperlink" Target="https://tenshoku.mynavi.jp/tohoku/list/i02090/" TargetMode="External" Id="rId290"/><Relationship Type="http://schemas.openxmlformats.org/officeDocument/2006/relationships/hyperlink" Target="https://www.as-1.co.jp/agent/hospital/tohoku/" TargetMode="External" Id="rId291"/><Relationship Type="http://schemas.openxmlformats.org/officeDocument/2006/relationships/hyperlink" Target="https://baseconnect.in/companies/prefecture/9ebb3838-effc-47da-b634-994957a78319/keyword/89941b4e-2dd1-4848-8957-48af280a31e0" TargetMode="External" Id="rId292"/><Relationship Type="http://schemas.openxmlformats.org/officeDocument/2006/relationships/hyperlink" Target="https://hokkai-md.com/" TargetMode="External" Id="rId293"/><Relationship Type="http://schemas.openxmlformats.org/officeDocument/2006/relationships/hyperlink" Target="https://hokkai-md.com/" TargetMode="External" Id="rId294"/><Relationship Type="http://schemas.openxmlformats.org/officeDocument/2006/relationships/hyperlink" Target="https://www.hurex.jp/column/company/717/" TargetMode="External" Id="rId295"/><Relationship Type="http://schemas.openxmlformats.org/officeDocument/2006/relationships/hyperlink" Target="https://www.koseki.co.jp/" TargetMode="External" Id="rId296"/><Relationship Type="http://schemas.openxmlformats.org/officeDocument/2006/relationships/hyperlink" Target="https://www.koseki.co.jp/" TargetMode="External" Id="rId297"/><Relationship Type="http://schemas.openxmlformats.org/officeDocument/2006/relationships/hyperlink" Target="https://tohoku-ikihan.com/memberlist_category/iwate/" TargetMode="External" Id="rId298"/><Relationship Type="http://schemas.openxmlformats.org/officeDocument/2006/relationships/hyperlink" Target="https://baseconnect.in/companies/prefecture/9ebb3838-effc-47da-b634-994957a78319/keyword/89941b4e-2dd1-4848-8957-48af280a31e0" TargetMode="External" Id="rId299"/><Relationship Type="http://schemas.openxmlformats.org/officeDocument/2006/relationships/hyperlink" Target="https://maruki-ms.co.jp/" TargetMode="External" Id="rId300"/><Relationship Type="http://schemas.openxmlformats.org/officeDocument/2006/relationships/hyperlink" Target="https://maruki-ms.co.jp/" TargetMode="External" Id="rId301"/><Relationship Type="http://schemas.openxmlformats.org/officeDocument/2006/relationships/hyperlink" Target="https://tohoku-ikihan.com/memberlist_category/iwate/" TargetMode="External" Id="rId302"/><Relationship Type="http://schemas.openxmlformats.org/officeDocument/2006/relationships/hyperlink" Target="http://www.nanbu-irika.com/" TargetMode="External" Id="rId303"/><Relationship Type="http://schemas.openxmlformats.org/officeDocument/2006/relationships/hyperlink" Target="https://tohoku-ikihan.com/memberlist_category/iwate/" TargetMode="External" Id="rId304"/><Relationship Type="http://schemas.openxmlformats.org/officeDocument/2006/relationships/hyperlink" Target="https://www.as-1.co.jp/agent/hospital/tohoku/" TargetMode="External" Id="rId305"/><Relationship Type="http://schemas.openxmlformats.org/officeDocument/2006/relationships/hyperlink" Target="https://san-ou.co.jp/" TargetMode="External" Id="rId306"/><Relationship Type="http://schemas.openxmlformats.org/officeDocument/2006/relationships/hyperlink" Target="https://tohoku-ikihan.com/memberlist_category/iwate/" TargetMode="External" Id="rId307"/><Relationship Type="http://schemas.openxmlformats.org/officeDocument/2006/relationships/hyperlink" Target="https://www.shibataintech.co.jp/" TargetMode="External" Id="rId308"/><Relationship Type="http://schemas.openxmlformats.org/officeDocument/2006/relationships/hyperlink" Target="https://www.shibataintech.co.jp/" TargetMode="External" Id="rId309"/><Relationship Type="http://schemas.openxmlformats.org/officeDocument/2006/relationships/hyperlink" Target="https://www.takeyama.co.jp/" TargetMode="External" Id="rId310"/><Relationship Type="http://schemas.openxmlformats.org/officeDocument/2006/relationships/hyperlink" Target="https://www.nikkei.com/compass/company/qXdeUEKA1xdNAfnfizWWaB" TargetMode="External" Id="rId311"/><Relationship Type="http://schemas.openxmlformats.org/officeDocument/2006/relationships/hyperlink" Target="https://www.tohoku-tmt.com/" TargetMode="External" Id="rId312"/><Relationship Type="http://schemas.openxmlformats.org/officeDocument/2006/relationships/hyperlink" Target="https://www.tohoku-tmt.com/about/index.html" TargetMode="External" Id="rId313"/><Relationship Type="http://schemas.openxmlformats.org/officeDocument/2006/relationships/hyperlink" Target="https://tohoku-ikihan.com/memberlist_category/iwate/" TargetMode="External" Id="rId314"/><Relationship Type="http://schemas.openxmlformats.org/officeDocument/2006/relationships/hyperlink" Target="https://www.hamc-kah.com/" TargetMode="External" Id="rId315"/><Relationship Type="http://schemas.openxmlformats.org/officeDocument/2006/relationships/hyperlink" Target="https://www.hamc-kah.com/" TargetMode="External" Id="rId316"/><Relationship Type="http://schemas.openxmlformats.org/officeDocument/2006/relationships/hyperlink" Target="https://ahhd.jp/I0000003" TargetMode="External" Id="rId317"/><Relationship Type="http://schemas.openxmlformats.org/officeDocument/2006/relationships/hyperlink" Target="https://www.nosai-niigata.or.jp/" TargetMode="External" Id="rId318"/><Relationship Type="http://schemas.openxmlformats.org/officeDocument/2006/relationships/hyperlink" Target="https://www.nosai.or.jp/nosai_kasou/nosai_kakuchi01.html" TargetMode="External" Id="rId319"/><Relationship Type="http://schemas.openxmlformats.org/officeDocument/2006/relationships/hyperlink" Target="https://nosai-hiroshima.or.jp" TargetMode="External" Id="rId320"/><Relationship Type="http://schemas.openxmlformats.org/officeDocument/2006/relationships/hyperlink" Target="https://nosai-hiroshima.or.jp/access-kachiku/" TargetMode="External" Id="rId321"/><Relationship Type="http://schemas.openxmlformats.org/officeDocument/2006/relationships/hyperlink" Target="https://www.nosai.or.jp/nosai_kasou/nosai_kakuchi01.html" TargetMode="External" Id="rId322"/><Relationship Type="http://schemas.openxmlformats.org/officeDocument/2006/relationships/hyperlink" Target="https://www.ok-nosai.or.jp" TargetMode="External" Id="rId323"/><Relationship Type="http://schemas.openxmlformats.org/officeDocument/2006/relationships/hyperlink" Target="https://www.ok-nosai.or.jp/office/livestock.html" TargetMode="External" Id="rId324"/><Relationship Type="http://schemas.openxmlformats.org/officeDocument/2006/relationships/hyperlink" Target="https://www.nosai.or.jp/nosai_kasou/nosai_kakuchi01.html" TargetMode="External" Id="rId325"/><Relationship Type="http://schemas.openxmlformats.org/officeDocument/2006/relationships/hyperlink" Target="https://www.nosai.or.jp/nosai_kasou/nosai_kakuchi01.html" TargetMode="External" Id="rId326"/><Relationship Type="http://schemas.openxmlformats.org/officeDocument/2006/relationships/hyperlink" Target="https://ymgc-nosai.org" TargetMode="External" Id="rId327"/><Relationship Type="http://schemas.openxmlformats.org/officeDocument/2006/relationships/hyperlink" Target="https://ymgc-nosai.org/cms/page106.html" TargetMode="External" Id="rId328"/><Relationship Type="http://schemas.openxmlformats.org/officeDocument/2006/relationships/hyperlink" Target="https://www.okayama-amc.com/" TargetMode="External" Id="rId329"/><Relationship Type="http://schemas.openxmlformats.org/officeDocument/2006/relationships/hyperlink" Target="https://www.okayama-amc.com/" TargetMode="External" Id="rId330"/><Relationship Type="http://schemas.openxmlformats.org/officeDocument/2006/relationships/hyperlink" Target="https://ahk-cuare.com/" TargetMode="External" Id="rId331"/><Relationship Type="http://schemas.openxmlformats.org/officeDocument/2006/relationships/hyperlink" Target="https://ahk-cuare.com/" TargetMode="External" Id="rId332"/><Relationship Type="http://schemas.openxmlformats.org/officeDocument/2006/relationships/hyperlink" Target="https://www.elsa-hp.com" TargetMode="External" Id="rId333"/><Relationship Type="http://schemas.openxmlformats.org/officeDocument/2006/relationships/hyperlink" Target="https://www.kobe-np.co.jp/info/prtimes/202602/c170012_r8.shtml" TargetMode="External" Id="rId334"/><Relationship Type="http://schemas.openxmlformats.org/officeDocument/2006/relationships/hyperlink" Target="https://hadukikai.co.jp/" TargetMode="External" Id="rId335"/><Relationship Type="http://schemas.openxmlformats.org/officeDocument/2006/relationships/hyperlink" Target="https://hadukikai.co.jp/group_hosp/hyougo/" TargetMode="External" Id="rId336"/><Relationship Type="http://schemas.openxmlformats.org/officeDocument/2006/relationships/hyperlink" Target="https://doubutsuyakan.jp" TargetMode="External" Id="rId337"/><Relationship Type="http://schemas.openxmlformats.org/officeDocument/2006/relationships/hyperlink" Target="https://doubutsuyakan.jp/about.html" TargetMode="External" Id="rId338"/><Relationship Type="http://schemas.openxmlformats.org/officeDocument/2006/relationships/hyperlink" Target="https://wolveshand.jp/" TargetMode="External" Id="rId339"/><Relationship Type="http://schemas.openxmlformats.org/officeDocument/2006/relationships/hyperlink" Target="https://ahhd.jp/I0000003" TargetMode="External" Id="rId340"/><Relationship Type="http://schemas.openxmlformats.org/officeDocument/2006/relationships/hyperlink" Target="https://allone-ah.co.jp" TargetMode="External" Id="rId341"/><Relationship Type="http://schemas.openxmlformats.org/officeDocument/2006/relationships/hyperlink" Target="https://allone-ah.co.jp/company" TargetMode="External" Id="rId342"/><Relationship Type="http://schemas.openxmlformats.org/officeDocument/2006/relationships/hyperlink" Target="https://www.aitom.jp/" TargetMode="External" Id="rId343"/><Relationship Type="http://schemas.openxmlformats.org/officeDocument/2006/relationships/hyperlink" Target="https://www.aitom.jp/about/" TargetMode="External" Id="rId344"/><Relationship Type="http://schemas.openxmlformats.org/officeDocument/2006/relationships/hyperlink" Target="https://www.anicom-pafe.com" TargetMode="External" Id="rId345"/><Relationship Type="http://schemas.openxmlformats.org/officeDocument/2006/relationships/hyperlink" Target="https://ahhd.jp/I0000003" TargetMode="External" Id="rId346"/><Relationship Type="http://schemas.openxmlformats.org/officeDocument/2006/relationships/hyperlink" Target="https://www.fanimedic-ah.com" TargetMode="External" Id="rId347"/><Relationship Type="http://schemas.openxmlformats.org/officeDocument/2006/relationships/hyperlink" Target="https://www.fanimedic-ah.com/group-hospitals/" TargetMode="External" Id="rId348"/><Relationship Type="http://schemas.openxmlformats.org/officeDocument/2006/relationships/hyperlink" Target="https://inagakiah.com/" TargetMode="External" Id="rId349"/><Relationship Type="http://schemas.openxmlformats.org/officeDocument/2006/relationships/hyperlink" Target="https://inagakiah.com/" TargetMode="External" Id="rId350"/><Relationship Type="http://schemas.openxmlformats.org/officeDocument/2006/relationships/hyperlink" Target="https://www.primo-ah.com/" TargetMode="External" Id="rId351"/><Relationship Type="http://schemas.openxmlformats.org/officeDocument/2006/relationships/hyperlink" Target="https://www.primo-ah.com/" TargetMode="External" Id="rId352"/><Relationship Type="http://schemas.openxmlformats.org/officeDocument/2006/relationships/hyperlink" Target="https://lifemate-vh.com/" TargetMode="External" Id="rId353"/><Relationship Type="http://schemas.openxmlformats.org/officeDocument/2006/relationships/hyperlink" Target="https://lifemate-vh.com/" TargetMode="External" Id="rId354"/><Relationship Type="http://schemas.openxmlformats.org/officeDocument/2006/relationships/hyperlink" Target="https://bayside.minami-ahg.jp/" TargetMode="External" Id="rId355"/><Relationship Type="http://schemas.openxmlformats.org/officeDocument/2006/relationships/hyperlink" Target="https://bayside.minami-ahg.jp/" TargetMode="External" Id="rId356"/><Relationship Type="http://schemas.openxmlformats.org/officeDocument/2006/relationships/hyperlink" Target="https://www.jpac.jp/" TargetMode="External" Id="rId357"/><Relationship Type="http://schemas.openxmlformats.org/officeDocument/2006/relationships/hyperlink" Target="https://prtimes.jp/main/html/rd/p/000000001.000183725.html" TargetMode="External" Id="rId358"/><Relationship Type="http://schemas.openxmlformats.org/officeDocument/2006/relationships/hyperlink" Target="https://nosai-chiba.or.jp" TargetMode="External" Id="rId359"/><Relationship Type="http://schemas.openxmlformats.org/officeDocument/2006/relationships/hyperlink" Target="https://nosai-chiba.or.jp/soshiki/shinryo/" TargetMode="External" Id="rId360"/><Relationship Type="http://schemas.openxmlformats.org/officeDocument/2006/relationships/hyperlink" Target="https://www.maff.go.jp/j/keiei/nogyohoken/contact.html" TargetMode="External" Id="rId361"/><Relationship Type="http://schemas.openxmlformats.org/officeDocument/2006/relationships/hyperlink" Target="https://www.ibaraki-nosai.or.jp" TargetMode="External" Id="rId362"/><Relationship Type="http://schemas.openxmlformats.org/officeDocument/2006/relationships/hyperlink" Target="https://ibaraki.lin.gr.jp/chikusan-ibaraki/24-11/11.html" TargetMode="External" Id="rId363"/><Relationship Type="http://schemas.openxmlformats.org/officeDocument/2006/relationships/hyperlink" Target="https://www.maff.go.jp/j/keiei/nogyohoken/contact.html" TargetMode="External" Id="rId364"/><Relationship Type="http://schemas.openxmlformats.org/officeDocument/2006/relationships/hyperlink" Target="https://otakibashi.com/" TargetMode="External" Id="rId365"/><Relationship Type="http://schemas.openxmlformats.org/officeDocument/2006/relationships/hyperlink" Target="https://medical-space.co.jp/works/area/" TargetMode="External" Id="rId366"/><Relationship Type="http://schemas.openxmlformats.org/officeDocument/2006/relationships/hyperlink" Target="https://www.vcajapan.com" TargetMode="External" Id="rId367"/><Relationship Type="http://schemas.openxmlformats.org/officeDocument/2006/relationships/hyperlink" Target="https://www.vcajapan.com/" TargetMode="External" Id="rId368"/><Relationship Type="http://schemas.openxmlformats.org/officeDocument/2006/relationships/hyperlink" Target="https://withmal-hd.co.jp/" TargetMode="External" Id="rId369"/><Relationship Type="http://schemas.openxmlformats.org/officeDocument/2006/relationships/hyperlink" Target="https://ahhd.jp/I0000019" TargetMode="External" Id="rId370"/><Relationship Type="http://schemas.openxmlformats.org/officeDocument/2006/relationships/hyperlink" Target="https://and-vet-ah.com/" TargetMode="External" Id="rId371"/><Relationship Type="http://schemas.openxmlformats.org/officeDocument/2006/relationships/hyperlink" Target="https://and-vet-ah.com/" TargetMode="External" Id="rId372"/><Relationship Type="http://schemas.openxmlformats.org/officeDocument/2006/relationships/hyperlink" Target="https://f-dic.com/" TargetMode="External" Id="rId373"/><Relationship Type="http://schemas.openxmlformats.org/officeDocument/2006/relationships/hyperlink" Target="https://fukuoka-ahg.jp/group/" TargetMode="External" Id="rId374"/><Relationship Type="http://schemas.openxmlformats.org/officeDocument/2006/relationships/hyperlink" Target="https://www.nosai46.jp/kagoshima/" TargetMode="External" Id="rId375"/><Relationship Type="http://schemas.openxmlformats.org/officeDocument/2006/relationships/hyperlink" Target="https://www.nosai46.jp/kagoshima/" TargetMode="External" Id="rId376"/><Relationship Type="http://schemas.openxmlformats.org/officeDocument/2006/relationships/hyperlink" Target="https://nosai-kumamoto.or.jp/" TargetMode="External" Id="rId377"/><Relationship Type="http://schemas.openxmlformats.org/officeDocument/2006/relationships/hyperlink" Target="https://www.nosai.or.jp/nosai_kasou/juuishi/kyusyu_okinawa.html" TargetMode="External" Id="rId378"/><Relationship Type="http://schemas.openxmlformats.org/officeDocument/2006/relationships/hyperlink" Target="https://nosai-miyazakiken.jp" TargetMode="External" Id="rId379"/><Relationship Type="http://schemas.openxmlformats.org/officeDocument/2006/relationships/hyperlink" Target="https://nosai-miyazakiken.jp/veterinarian/" TargetMode="External" Id="rId380"/><Relationship Type="http://schemas.openxmlformats.org/officeDocument/2006/relationships/hyperlink" Target="https://www.nosai-ngs.jp" TargetMode="External" Id="rId381"/><Relationship Type="http://schemas.openxmlformats.org/officeDocument/2006/relationships/hyperlink" Target="https://www.nosai-ngs.jp/list.html" TargetMode="External" Id="rId382"/><Relationship Type="http://schemas.openxmlformats.org/officeDocument/2006/relationships/hyperlink" Target="https://www.nosai-oita.jp" TargetMode="External" Id="rId383"/><Relationship Type="http://schemas.openxmlformats.org/officeDocument/2006/relationships/hyperlink" Target="https://www.nosai-oita.jp/kachikushinryojo" TargetMode="External" Id="rId384"/><Relationship Type="http://schemas.openxmlformats.org/officeDocument/2006/relationships/hyperlink" Target="https://nosai-okinawa.jp" TargetMode="External" Id="rId385"/><Relationship Type="http://schemas.openxmlformats.org/officeDocument/2006/relationships/hyperlink" Target="https://nosai-okinawa.jp/clinic/" TargetMode="External" Id="rId386"/><Relationship Type="http://schemas.openxmlformats.org/officeDocument/2006/relationships/hyperlink" Target="https://www.nosai.or.jp/nosai_kasou/nosai_kakuchi01.html" TargetMode="External" Id="rId387"/><Relationship Type="http://schemas.openxmlformats.org/officeDocument/2006/relationships/hyperlink" Target="https://halleluya-vet.com/" TargetMode="External" Id="rId388"/><Relationship Type="http://schemas.openxmlformats.org/officeDocument/2006/relationships/hyperlink" Target="https://www.halleluya-vet.net/aboutus" TargetMode="External" Id="rId389"/><Relationship Type="http://schemas.openxmlformats.org/officeDocument/2006/relationships/hyperlink" Target="https://midori-no-mori.jp/" TargetMode="External" Id="rId390"/><Relationship Type="http://schemas.openxmlformats.org/officeDocument/2006/relationships/hyperlink" Target="https://midori-no-mori.jp/" TargetMode="External" Id="rId391"/><Relationship Type="http://schemas.openxmlformats.org/officeDocument/2006/relationships/hyperlink" Target="http://www.nosai-aomori.or.jp" TargetMode="External" Id="rId392"/><Relationship Type="http://schemas.openxmlformats.org/officeDocument/2006/relationships/hyperlink" Target="http://www.nosai-aomori.or.jp/wp-content/uploads/2025/08/4e705eaea4a622fbfd5c63b338189b7d.pdf" TargetMode="External" Id="rId393"/><Relationship Type="http://schemas.openxmlformats.org/officeDocument/2006/relationships/hyperlink" Target="https://fukushima-nosainet.jp" TargetMode="External" Id="rId394"/><Relationship Type="http://schemas.openxmlformats.org/officeDocument/2006/relationships/hyperlink" Target="https://fukushima-nosainet.jp/outline/out-c/out-c-c" TargetMode="External" Id="rId395"/><Relationship Type="http://schemas.openxmlformats.org/officeDocument/2006/relationships/hyperlink" Target="https://www.nosai-do.or.jp" TargetMode="External" Id="rId396"/><Relationship Type="http://schemas.openxmlformats.org/officeDocument/2006/relationships/hyperlink" Target="https://www.nosai-do.or.jp/about/overview/" TargetMode="External" Id="rId397"/><Relationship Type="http://schemas.openxmlformats.org/officeDocument/2006/relationships/hyperlink" Target="https://www.maff.go.jp/j/keiei/nogyohoken/contact.html" TargetMode="External" Id="rId398"/><Relationship Type="http://schemas.openxmlformats.org/officeDocument/2006/relationships/hyperlink" Target="https://www.nosaimiyagi.or.jp" TargetMode="External" Id="rId399"/><Relationship Type="http://schemas.openxmlformats.org/officeDocument/2006/relationships/hyperlink" Target="https://www.nosaimiyagi.or.jp/outline/" TargetMode="External" Id="rId400"/><Relationship Type="http://schemas.openxmlformats.org/officeDocument/2006/relationships/hyperlink" Target="https://www.yynosai.or.jp" TargetMode="External" Id="rId401"/><Relationship Type="http://schemas.openxmlformats.org/officeDocument/2006/relationships/hyperlink" Target="https://www.yynosai.or.jp/yamagata/branch" TargetMode="External" Id="rId402"/><Relationship Type="http://schemas.openxmlformats.org/officeDocument/2006/relationships/hyperlink" Target="https://www.thms.jp" TargetMode="External" Id="rId403"/><Relationship Type="http://schemas.openxmlformats.org/officeDocument/2006/relationships/hyperlink" Target="https://www.thms.jp/service/juuika/breeding/hanshokukenshin/" TargetMode="External" Id="rId404"/><Relationship Type="http://schemas.openxmlformats.org/officeDocument/2006/relationships/hyperlink" Target="https://animal-99.com/" TargetMode="External" Id="rId405"/><Relationship Type="http://schemas.openxmlformats.org/officeDocument/2006/relationships/hyperlink" Target="https://animal-99.com/" TargetMode="External" Id="rId406"/></Relationships>
</file>

<file path=xl/worksheets/_rels/sheet6.xml.rels><Relationships xmlns="http://schemas.openxmlformats.org/package/2006/relationships"><Relationship Type="http://schemas.openxmlformats.org/officeDocument/2006/relationships/hyperlink" Target="https://aurebio.co.kr/" TargetMode="External" Id="rId1"/><Relationship Type="http://schemas.openxmlformats.org/officeDocument/2006/relationships/hyperlink" Target="https://www.bionote.co.kr/" TargetMode="External" Id="rId2"/><Relationship Type="http://schemas.openxmlformats.org/officeDocument/2006/relationships/hyperlink" Target="https://www.drgemhealthcare.com/vet-system-vxr-e-ec/" TargetMode="External" Id="rId3"/><Relationship Type="http://schemas.openxmlformats.org/officeDocument/2006/relationships/hyperlink" Target="https://www.genoray.com/" TargetMode="External" Id="rId4"/><Relationship Type="http://schemas.openxmlformats.org/officeDocument/2006/relationships/hyperlink" Target="https://imedicom.co.kr/orthopedics/" TargetMode="External" Id="rId5"/><Relationship Type="http://schemas.openxmlformats.org/officeDocument/2006/relationships/hyperlink" Target="https://medileimall.com/" TargetMode="External" Id="rId6"/><Relationship Type="http://schemas.openxmlformats.org/officeDocument/2006/relationships/hyperlink" Target="https://www.poskom.com/" TargetMode="External" Id="rId7"/><Relationship Type="http://schemas.openxmlformats.org/officeDocument/2006/relationships/hyperlink" Target="https://www.woorien.com/" TargetMode="External" Id="rId8"/><Relationship Type="http://schemas.openxmlformats.org/officeDocument/2006/relationships/hyperlink" Target="https://www.jpi-korea.com/" TargetMode="External" Id="rId9"/><Relationship Type="http://schemas.openxmlformats.org/officeDocument/2006/relationships/hyperlink" Target="https://covet.kr/" TargetMode="External" Id="rId10"/><Relationship Type="http://schemas.openxmlformats.org/officeDocument/2006/relationships/hyperlink" Target="http://www.eco-ray.co.kr/" TargetMode="External" Id="rId11"/><Relationship Type="http://schemas.openxmlformats.org/officeDocument/2006/relationships/hyperlink" Target="https://www.i-sens.com/" TargetMode="External" Id="rId12"/><Relationship Type="http://schemas.openxmlformats.org/officeDocument/2006/relationships/hyperlink" Target="https://www.rayence.com/Veterinary" TargetMode="External" Id="rId13"/><Relationship Type="http://schemas.openxmlformats.org/officeDocument/2006/relationships/hyperlink" Target="https://www.vetcom.co.kr/ko/product_list.html" TargetMode="External" Id="rId14"/><Relationship Type="http://schemas.openxmlformats.org/officeDocument/2006/relationships/hyperlink" Target="https://www.mediana.co.kr/" TargetMode="External" Id="rId15"/><Relationship Type="http://schemas.openxmlformats.org/officeDocument/2006/relationships/hyperlink" Target="https://www.ubcare.co.kr/" TargetMode="External" Id="rId16"/><Relationship Type="http://schemas.openxmlformats.org/officeDocument/2006/relationships/hyperlink" Target="https://vetsmall.cafe24.com/" TargetMode="External" Id="rId17"/><Relationship Type="http://schemas.openxmlformats.org/officeDocument/2006/relationships/hyperlink" Target="https://veterflix.shop/" TargetMode="External" Id="rId18"/><Relationship Type="http://schemas.openxmlformats.org/officeDocument/2006/relationships/hyperlink" Target="http://www.withvet.co.kr/" TargetMode="External" Id="rId19"/><Relationship Type="http://schemas.openxmlformats.org/officeDocument/2006/relationships/hyperlink" Target="http://www.dk.co.kr/" TargetMode="External" Id="rId20"/><Relationship Type="http://schemas.openxmlformats.org/officeDocument/2006/relationships/hyperlink" Target="https://www.vsi.co.kr/ko/" TargetMode="External" Id="rId21"/><Relationship Type="http://schemas.openxmlformats.org/officeDocument/2006/relationships/hyperlink" Target="https://bluevet.co.kr/" TargetMode="External" Id="rId22"/><Relationship Type="http://schemas.openxmlformats.org/officeDocument/2006/relationships/hyperlink" Target="https://veton.kr/" TargetMode="External" Id="rId23"/></Relationships>
</file>

<file path=xl/worksheets/_rels/sheet7.xml.rels><Relationships xmlns="http://schemas.openxmlformats.org/package/2006/relationships"><Relationship Type="http://schemas.openxmlformats.org/officeDocument/2006/relationships/hyperlink" Target="http://www.champ-e.com.tw/" TargetMode="External" Id="rId1"/><Relationship Type="http://schemas.openxmlformats.org/officeDocument/2006/relationships/hyperlink" Target="https://openvet.com/" TargetMode="External" Id="rId2"/><Relationship Type="http://schemas.openxmlformats.org/officeDocument/2006/relationships/hyperlink" Target="https://www.ahoss.com.tw/" TargetMode="External" Id="rId3"/><Relationship Type="http://schemas.openxmlformats.org/officeDocument/2006/relationships/hyperlink" Target="https://www.getech.com.tw/" TargetMode="External" Id="rId4"/><Relationship Type="http://schemas.openxmlformats.org/officeDocument/2006/relationships/hyperlink" Target="https://www.guojienmedical.com/" TargetMode="External" Id="rId5"/><Relationship Type="http://schemas.openxmlformats.org/officeDocument/2006/relationships/hyperlink" Target="https://www.kogipet.com/" TargetMode="External" Id="rId6"/><Relationship Type="http://schemas.openxmlformats.org/officeDocument/2006/relationships/hyperlink" Target="https://www.hungan160.com.tw/" TargetMode="External" Id="rId7"/><Relationship Type="http://schemas.openxmlformats.org/officeDocument/2006/relationships/hyperlink" Target="https://www.ivetmall.com/" TargetMode="External" Id="rId8"/><Relationship Type="http://schemas.openxmlformats.org/officeDocument/2006/relationships/hyperlink" Target="https://www.meijin.com.tw/" TargetMode="External" Id="rId9"/><Relationship Type="http://schemas.openxmlformats.org/officeDocument/2006/relationships/hyperlink" Target="https://www.pinyork.com.tw/" TargetMode="External" Id="rId10"/><Relationship Type="http://schemas.openxmlformats.org/officeDocument/2006/relationships/hyperlink" Target="https://www.shine-kochi.com.tw/" TargetMode="External" Id="rId11"/><Relationship Type="http://schemas.openxmlformats.org/officeDocument/2006/relationships/hyperlink" Target="https://www.shinn.com.tw/" TargetMode="External" Id="rId12"/><Relationship Type="http://schemas.openxmlformats.org/officeDocument/2006/relationships/hyperlink" Target="https://www.uni-soar.com/" TargetMode="External" Id="rId13"/><Relationship Type="http://schemas.openxmlformats.org/officeDocument/2006/relationships/hyperlink" Target="https://soarmed.com/" TargetMode="External" Id="rId14"/><Relationship Type="http://schemas.openxmlformats.org/officeDocument/2006/relationships/hyperlink" Target="https://www.tengpon.com/" TargetMode="External" Id="rId15"/><Relationship Type="http://schemas.openxmlformats.org/officeDocument/2006/relationships/hyperlink" Target="https://www.toppriortrading.com/" TargetMode="External" Id="rId16"/><Relationship Type="http://schemas.openxmlformats.org/officeDocument/2006/relationships/hyperlink" Target="https://www.vetsupply.com.tw/" TargetMode="External" Id="rId17"/><Relationship Type="http://schemas.openxmlformats.org/officeDocument/2006/relationships/hyperlink" Target="https://www.vetnostrum.com/tw" TargetMode="External" Id="rId18"/><Relationship Type="http://schemas.openxmlformats.org/officeDocument/2006/relationships/hyperlink" Target="https://www.weyyngbuy.com/" TargetMode="External" Id="rId19"/><Relationship Type="http://schemas.openxmlformats.org/officeDocument/2006/relationships/hyperlink" Target="https://www.rongchun.com.tw/" TargetMode="External" Id="rId20"/><Relationship Type="http://schemas.openxmlformats.org/officeDocument/2006/relationships/hyperlink" Target="https://www.yumax.com.tw/" TargetMode="External" Id="rId21"/><Relationship Type="http://schemas.openxmlformats.org/officeDocument/2006/relationships/hyperlink" Target="https://www.bestdigital.com.tw/" TargetMode="External" Id="rId22"/><Relationship Type="http://schemas.openxmlformats.org/officeDocument/2006/relationships/hyperlink" Target="https://isvd.tw/" TargetMode="External" Id="rId23"/><Relationship Type="http://schemas.openxmlformats.org/officeDocument/2006/relationships/hyperlink" Target="https://www.huaxing.com.tw/" TargetMode="External" Id="rId24"/></Relationships>
</file>

<file path=xl/worksheets/_rels/sheet8.xml.rels><Relationships xmlns="http://schemas.openxmlformats.org/package/2006/relationships"><Relationship Type="http://schemas.openxmlformats.org/officeDocument/2006/relationships/hyperlink" Target="https://sagehealthcare.sg/" TargetMode="External" Id="rId1"/><Relationship Type="http://schemas.openxmlformats.org/officeDocument/2006/relationships/hyperlink" Target="https://wildvetsupplies.net/contact-us" TargetMode="External" Id="rId2"/><Relationship Type="http://schemas.openxmlformats.org/officeDocument/2006/relationships/hyperlink" Target="https://vedmedagri.net/" TargetMode="External" Id="rId3"/><Relationship Type="http://schemas.openxmlformats.org/officeDocument/2006/relationships/hyperlink" Target="https://www.svi.com.sg/" TargetMode="External" Id="rId4"/></Relationships>
</file>

<file path=xl/worksheets/_rels/sheet10.xml.rels><Relationships xmlns="http://schemas.openxmlformats.org/package/2006/relationships"><Relationship Type="http://schemas.openxmlformats.org/officeDocument/2006/relationships/hyperlink" Target="https://mountpleasant.com.sg/" TargetMode="External" Id="rId1"/><Relationship Type="http://schemas.openxmlformats.org/officeDocument/2006/relationships/hyperlink" Target="https://veshospital.com.sg/" TargetMode="External" Id="rId2"/><Relationship Type="http://schemas.openxmlformats.org/officeDocument/2006/relationships/hyperlink" Target="https://advancedvetcare.sg/" TargetMode="External" Id="rId3"/><Relationship Type="http://schemas.openxmlformats.org/officeDocument/2006/relationships/hyperlink" Target="https://lvs.com.sg/" TargetMode="External" Id="rId4"/><Relationship Type="http://schemas.openxmlformats.org/officeDocument/2006/relationships/hyperlink" Target="https://westsideemergency.com.sg/" TargetMode="External" Id="rId5"/><Relationship Type="http://schemas.openxmlformats.org/officeDocument/2006/relationships/hyperlink" Target="https://doctorsbeckandstone.com/" TargetMode="External" Id="rId6"/><Relationship Type="http://schemas.openxmlformats.org/officeDocument/2006/relationships/hyperlink" Target="https://arkvet.com.sg/" TargetMode="External" Id="rId7"/><Relationship Type="http://schemas.openxmlformats.org/officeDocument/2006/relationships/hyperlink" Target="https://ambervet.com/" TargetMode="External" Id="rId8"/><Relationship Type="http://schemas.openxmlformats.org/officeDocument/2006/relationships/hyperlink" Target="https://animalclinic.com.sg/" TargetMode="External" Id="rId9"/><Relationship Type="http://schemas.openxmlformats.org/officeDocument/2006/relationships/hyperlink" Target="https://theanimaldoctors.com.sg/" TargetMode="External" Id="rId10"/><Relationship Type="http://schemas.openxmlformats.org/officeDocument/2006/relationships/hyperlink" Target="https://vetcentral.com.sg/" TargetMode="External" Id="rId11"/><Relationship Type="http://schemas.openxmlformats.org/officeDocument/2006/relationships/hyperlink" Target="https://vetsforlife.com.sg/" TargetMode="External" Id="rId12"/><Relationship Type="http://schemas.openxmlformats.org/officeDocument/2006/relationships/hyperlink" Target="https://vetclinic.sg/" TargetMode="External" Id="rId13"/><Relationship Type="http://schemas.openxmlformats.org/officeDocument/2006/relationships/hyperlink" Target="https://tjv.com.sg/" TargetMode="External" Id="rId14"/><Relationship Type="http://schemas.openxmlformats.org/officeDocument/2006/relationships/hyperlink" Target="https://vetpractice.com.sg/" TargetMode="External" Id="rId15"/><Relationship Type="http://schemas.openxmlformats.org/officeDocument/2006/relationships/hyperlink" Target="https://ivc.com.sg/" TargetMode="External" Id="rId16"/><Relationship Type="http://schemas.openxmlformats.org/officeDocument/2006/relationships/hyperlink" Target="https://starsveterinaryclinic.com/" TargetMode="External" Id="rId17"/><Relationship Type="http://schemas.openxmlformats.org/officeDocument/2006/relationships/hyperlink" Target="https://pointveterinarysurgery.com/" TargetMode="External" Id="rId18"/><Relationship Type="http://schemas.openxmlformats.org/officeDocument/2006/relationships/hyperlink" Target="https://aivet.com.sg/" TargetMode="External" Id="rId19"/><Relationship Type="http://schemas.openxmlformats.org/officeDocument/2006/relationships/hyperlink" Target="https://comvet.com/" TargetMode="External" Id="rId20"/><Relationship Type="http://schemas.openxmlformats.org/officeDocument/2006/relationships/hyperlink" Target="https://jtvet.com/" TargetMode="External" Id="rId21"/><Relationship Type="http://schemas.openxmlformats.org/officeDocument/2006/relationships/hyperlink" Target="https://brightonvetcare.com/" TargetMode="External" Id="rId22"/><Relationship Type="http://schemas.openxmlformats.org/officeDocument/2006/relationships/hyperlink" Target="https://allpetsaqualife.com/" TargetMode="External" Id="rId23"/><Relationship Type="http://schemas.openxmlformats.org/officeDocument/2006/relationships/hyperlink" Target="https://aavcsg.wixsite.com/aavc" TargetMode="External" Id="rId24"/><Relationship Type="http://schemas.openxmlformats.org/officeDocument/2006/relationships/hyperlink" Target="https://rehabvet.com/" TargetMode="External" Id="rId25"/><Relationship Type="http://schemas.openxmlformats.org/officeDocument/2006/relationships/hyperlink" Target="https://barkway.sg/" TargetMode="External" Id="rId26"/><Relationship Type="http://schemas.openxmlformats.org/officeDocument/2006/relationships/hyperlink" Target="https://canopyvets.com/" TargetMode="External" Id="rId27"/><Relationship Type="http://schemas.openxmlformats.org/officeDocument/2006/relationships/hyperlink" Target="https://atlasvet.com.sg/" TargetMode="External" Id="rId28"/><Relationship Type="http://schemas.openxmlformats.org/officeDocument/2006/relationships/hyperlink" Target="https://ohanavetcare.com.sg/" TargetMode="External" Id="rId29"/><Relationship Type="http://schemas.openxmlformats.org/officeDocument/2006/relationships/hyperlink" Target="https://spca.org.sg/" TargetMode="External" Id="rId30"/><Relationship Type="http://schemas.openxmlformats.org/officeDocument/2006/relationships/hyperlink" Target="https://mandai.com/" TargetMode="External" Id="rId31"/><Relationship Type="http://schemas.openxmlformats.org/officeDocument/2006/relationships/hyperlink" Target="https://animalpractice.com.sg/" TargetMode="External" Id="rId32"/><Relationship Type="http://schemas.openxmlformats.org/officeDocument/2006/relationships/hyperlink" Target="https://animalworldclinic.com/" TargetMode="External" Id="rId33"/><Relationship Type="http://schemas.openxmlformats.org/officeDocument/2006/relationships/hyperlink" Target="https://vetatrv.com/" TargetMode="External" Id="rId34"/><Relationship Type="http://schemas.openxmlformats.org/officeDocument/2006/relationships/hyperlink" Target="https://carevetclinic.com.sg/" TargetMode="External" Id="rId35"/><Relationship Type="http://schemas.openxmlformats.org/officeDocument/2006/relationships/hyperlink" Target="https://clovervet.sg/" TargetMode="External" Id="rId36"/><Relationship Type="http://schemas.openxmlformats.org/officeDocument/2006/relationships/hyperlink" Target="https://defuvetclinic.com/" TargetMode="External" Id="rId37"/><Relationship Type="http://schemas.openxmlformats.org/officeDocument/2006/relationships/hyperlink" Target="https://frankelvet.com.sg/" TargetMode="External" Id="rId38"/><Relationship Type="http://schemas.openxmlformats.org/officeDocument/2006/relationships/hyperlink" Target="https://furiends.com.sg/" TargetMode="External" Id="rId39"/><Relationship Type="http://schemas.openxmlformats.org/officeDocument/2006/relationships/hyperlink" Target="https://genesisvet.com.sg/" TargetMode="External" Id="rId40"/><Relationship Type="http://schemas.openxmlformats.org/officeDocument/2006/relationships/hyperlink" Target="https://gentleoakvet.com.sg/" TargetMode="External" Id="rId41"/><Relationship Type="http://schemas.openxmlformats.org/officeDocument/2006/relationships/hyperlink" Target="https://jirehvets.com.sg/" TargetMode="External" Id="rId42"/><Relationship Type="http://schemas.openxmlformats.org/officeDocument/2006/relationships/hyperlink" Target="https://light-of-life-vet-clinic.webs.com/" TargetMode="External" Id="rId43"/><Relationship Type="http://schemas.openxmlformats.org/officeDocument/2006/relationships/hyperlink" Target="https://monsterpetvet.com/" TargetMode="External" Id="rId44"/><Relationship Type="http://schemas.openxmlformats.org/officeDocument/2006/relationships/hyperlink" Target="https://namsangveterinaryclinic.webs.com/" TargetMode="External" Id="rId45"/><Relationship Type="http://schemas.openxmlformats.org/officeDocument/2006/relationships/hyperlink" Target="https://oasis-vet.com/" TargetMode="External" Id="rId46"/><Relationship Type="http://schemas.openxmlformats.org/officeDocument/2006/relationships/hyperlink" Target="https://paw.sg/" TargetMode="External" Id="rId47"/><Relationship Type="http://schemas.openxmlformats.org/officeDocument/2006/relationships/hyperlink" Target="https://passionvet.com/" TargetMode="External" Id="rId48"/><Relationship Type="http://schemas.openxmlformats.org/officeDocument/2006/relationships/hyperlink" Target="https://petsavenue.com.sg/" TargetMode="External" Id="rId49"/><Relationship Type="http://schemas.openxmlformats.org/officeDocument/2006/relationships/hyperlink" Target="https://springvet.com.sg/" TargetMode="External" Id="rId50"/><Relationship Type="http://schemas.openxmlformats.org/officeDocument/2006/relationships/hyperlink" Target="https://petdoctors.com.sg/" TargetMode="External" Id="rId51"/><Relationship Type="http://schemas.openxmlformats.org/officeDocument/2006/relationships/hyperlink" Target="https://thevisitingvets.com.sg/" TargetMode="External" Id="rId52"/><Relationship Type="http://schemas.openxmlformats.org/officeDocument/2006/relationships/hyperlink" Target="https://toapayohvets.com/" TargetMode="External" Id="rId53"/><Relationship Type="http://schemas.openxmlformats.org/officeDocument/2006/relationships/hyperlink" Target="https://townvets.com.sg/" TargetMode="External" Id="rId54"/><Relationship Type="http://schemas.openxmlformats.org/officeDocument/2006/relationships/hyperlink" Target="https://unitedvetclinic.com/" TargetMode="External" Id="rId55"/><Relationship Type="http://schemas.openxmlformats.org/officeDocument/2006/relationships/hyperlink" Target="https://vetaffinity.com.sg/" TargetMode="External" Id="rId56"/><Relationship Type="http://schemas.openxmlformats.org/officeDocument/2006/relationships/hyperlink" Target="https://vetsforpetsclinic.com.sg/" TargetMode="External" Id="rId57"/><Relationship Type="http://schemas.openxmlformats.org/officeDocument/2006/relationships/hyperlink" Target="https://westcoast-vetcare.com/" TargetMode="External" Id="rId58"/><Relationship Type="http://schemas.openxmlformats.org/officeDocument/2006/relationships/hyperlink" Target="https://singvet.wordpress.com/" TargetMode="External" Id="rId59"/><Relationship Type="http://schemas.openxmlformats.org/officeDocument/2006/relationships/hyperlink" Target="https://ivc.com.sg/" TargetMode="External" Id="rId60"/><Relationship Type="http://schemas.openxmlformats.org/officeDocument/2006/relationships/hyperlink" Target="https://www.marsveterinary.com/" TargetMode="External" Id="rId61"/><Relationship Type="http://schemas.openxmlformats.org/officeDocument/2006/relationships/hyperlink" Target="https://sagehealthcare.sg/" TargetMode="External" Id="rId62"/></Relationships>
</file>

<file path=xl/worksheets/_rels/sheet11.xml.rels><Relationships xmlns="http://schemas.openxmlformats.org/package/2006/relationships"><Relationship Type="http://schemas.openxmlformats.org/officeDocument/2006/relationships/hyperlink" Target="https://www.jarmec.jp/" TargetMode="External" Id="rId1"/><Relationship Type="http://schemas.openxmlformats.org/officeDocument/2006/relationships/hyperlink" Target="https://www.jarmec.jp/tokyo" TargetMode="External" Id="rId2"/><Relationship Type="http://schemas.openxmlformats.org/officeDocument/2006/relationships/hyperlink" Target="https://www.jarmec.jp/" TargetMode="External" Id="rId3"/><Relationship Type="http://schemas.openxmlformats.org/officeDocument/2006/relationships/hyperlink" Target="https://www.jarmec.jp/" TargetMode="External" Id="rId4"/><Relationship Type="http://schemas.openxmlformats.org/officeDocument/2006/relationships/hyperlink" Target="https://www.aeonpet.com/" TargetMode="External" Id="rId5"/><Relationship Type="http://schemas.openxmlformats.org/officeDocument/2006/relationships/hyperlink" Target="https://www.neovets.com/" TargetMode="External" Id="rId6"/><Relationship Type="http://schemas.openxmlformats.org/officeDocument/2006/relationships/hyperlink" Target="https://www.trva.jp/" TargetMode="External" Id="rId7"/><Relationship Type="http://schemas.openxmlformats.org/officeDocument/2006/relationships/hyperlink" Target="https://www.dvms.jp/" TargetMode="External" Id="rId8"/><Relationship Type="http://schemas.openxmlformats.org/officeDocument/2006/relationships/hyperlink" Target="https://www.kariya.co.jp/" TargetMode="External" Id="rId9"/><Relationship Type="http://schemas.openxmlformats.org/officeDocument/2006/relationships/hyperlink" Target="https://www.daktari.gr.jp/" TargetMode="External" Id="rId10"/><Relationship Type="http://schemas.openxmlformats.org/officeDocument/2006/relationships/hyperlink" Target="https://www.vm.a.u-tokyo.ac.jp/vmc" TargetMode="External" Id="rId11"/><Relationship Type="http://schemas.openxmlformats.org/officeDocument/2006/relationships/hyperlink" Target="https://www.tuat-amc.org/" TargetMode="External" Id="rId12"/></Relationships>
</file>

<file path=xl/worksheets/_rels/sheet12.xml.rels><Relationships xmlns="http://schemas.openxmlformats.org/package/2006/relationships"><Relationship Type="http://schemas.openxmlformats.org/officeDocument/2006/relationships/hyperlink" Target="https://www.vipah.co.kr/" TargetMode="External" Id="rId1"/><Relationship Type="http://schemas.openxmlformats.org/officeDocument/2006/relationships/hyperlink" Target="https://www.vipah.co.kr/" TargetMode="External" Id="rId2"/><Relationship Type="http://schemas.openxmlformats.org/officeDocument/2006/relationships/hyperlink" Target="https://www.vipah.co.kr/" TargetMode="External" Id="rId3"/><Relationship Type="http://schemas.openxmlformats.org/officeDocument/2006/relationships/hyperlink" Target="https://www.vipah.co.kr/" TargetMode="External" Id="rId4"/><Relationship Type="http://schemas.openxmlformats.org/officeDocument/2006/relationships/hyperlink" Target="https://www.vipah.co.kr/" TargetMode="External" Id="rId5"/><Relationship Type="http://schemas.openxmlformats.org/officeDocument/2006/relationships/hyperlink" Target="https://vmth.konkuk.ac.kr/" TargetMode="External" Id="rId6"/><Relationship Type="http://schemas.openxmlformats.org/officeDocument/2006/relationships/hyperlink" Target="https://www.royalamc.com/" TargetMode="External" Id="rId7"/><Relationship Type="http://schemas.openxmlformats.org/officeDocument/2006/relationships/hyperlink" Target="https://www.royalamc.com/" TargetMode="External" Id="rId8"/><Relationship Type="http://schemas.openxmlformats.org/officeDocument/2006/relationships/hyperlink" Target="https://www.royalamc.com/" TargetMode="External" Id="rId9"/><Relationship Type="http://schemas.openxmlformats.org/officeDocument/2006/relationships/hyperlink" Target="https://www.snamc.co.kr/" TargetMode="External" Id="rId10"/><Relationship Type="http://schemas.openxmlformats.org/officeDocument/2006/relationships/hyperlink" Target="https://www.shineamc.com/" TargetMode="External" Id="rId11"/><Relationship Type="http://schemas.openxmlformats.org/officeDocument/2006/relationships/hyperlink" Target="https://vmth.snu.ac.kr/" TargetMode="External" Id="rId12"/><Relationship Type="http://schemas.openxmlformats.org/officeDocument/2006/relationships/hyperlink" Target="https://www.songpawonah.com/" TargetMode="External" Id="rId13"/><Relationship Type="http://schemas.openxmlformats.org/officeDocument/2006/relationships/hyperlink" Target="https://www.westernamc.com/" TargetMode="External" Id="rId14"/><Relationship Type="http://schemas.openxmlformats.org/officeDocument/2006/relationships/hyperlink" Target="https://www.facebook.com/chansaemvet" TargetMode="External" Id="rId15"/><Relationship Type="http://schemas.openxmlformats.org/officeDocument/2006/relationships/hyperlink" Target="https://poomamc.cafe24.com/" TargetMode="External" Id="rId16"/><Relationship Type="http://schemas.openxmlformats.org/officeDocument/2006/relationships/hyperlink" Target="https://www.haemaru.co.kr/" TargetMode="External" Id="rId17"/></Relationships>
</file>

<file path=xl/worksheets/_rels/sheet13.xml.rels><Relationships xmlns="http://schemas.openxmlformats.org/package/2006/relationships"><Relationship Type="http://schemas.openxmlformats.org/officeDocument/2006/relationships/hyperlink" Target="https://www.vet.com.tw/" TargetMode="External" Id="rId1"/><Relationship Type="http://schemas.openxmlformats.org/officeDocument/2006/relationships/hyperlink" Target="https://www.lkah.com.tw/" TargetMode="External" Id="rId2"/><Relationship Type="http://schemas.openxmlformats.org/officeDocument/2006/relationships/hyperlink" Target="https://www.vh.ntu.edu.tw/" TargetMode="External" Id="rId3"/><Relationship Type="http://schemas.openxmlformats.org/officeDocument/2006/relationships/hyperlink" Target="https://vmth.nchu.edu.tw/" TargetMode="External" Id="rId4"/><Relationship Type="http://schemas.openxmlformats.org/officeDocument/2006/relationships/hyperlink" Target="https://www.formosavetcenter.com/" TargetMode="External" Id="rId5"/><Relationship Type="http://schemas.openxmlformats.org/officeDocument/2006/relationships/hyperlink" Target="https://www.peace-vet.com/" TargetMode="External" Id="rId6"/></Relationships>
</file>

<file path=xl/worksheets/_rels/sheet14.xml.rels><Relationships xmlns="http://schemas.openxmlformats.org/package/2006/relationships"><Relationship Type="http://schemas.openxmlformats.org/officeDocument/2006/relationships/hyperlink" Target="https://www.samsungmedison.com/" TargetMode="External" Id="rId1"/><Relationship Type="http://schemas.openxmlformats.org/officeDocument/2006/relationships/hyperlink" Target="https://www.idexx.com.tw/" TargetMode="External" Id="rId2"/><Relationship Type="http://schemas.openxmlformats.org/officeDocument/2006/relationships/hyperlink" Target="https://www.eastech-medical.com/" TargetMode="External" Id="rId3"/><Relationship Type="http://schemas.openxmlformats.org/officeDocument/2006/relationships/hyperlink" Target="https://www.asus.com/" TargetMode="External" Id="rId4"/><Relationship Type="http://schemas.openxmlformats.org/officeDocument/2006/relationships/hyperlink" Target="https://www.sonoscape.com/" TargetMode="External" Id="rId5"/><Relationship Type="http://schemas.openxmlformats.org/officeDocument/2006/relationships/hyperlink" Target="https://ptpetrichor.com.tw/" TargetMode="External" Id="rId6"/></Relationships>
</file>

<file path=xl/worksheets/_rels/sheet16.xml.rels><Relationships xmlns="http://schemas.openxmlformats.org/package/2006/relationships"><Relationship Type="http://schemas.openxmlformats.org/officeDocument/2006/relationships/hyperlink" Target="https://www.tpvma.org.tw/" TargetMode="External" Id="rId1"/><Relationship Type="http://schemas.openxmlformats.org/officeDocument/2006/relationships/hyperlink" Target="https://www.tmbia.org.tw/" TargetMode="External" Id="rId2"/><Relationship Type="http://schemas.openxmlformats.org/officeDocument/2006/relationships/hyperlink" Target="https://data.taipei/" TargetMode="External" Id="rId3"/><Relationship Type="http://schemas.openxmlformats.org/officeDocument/2006/relationships/hyperlink" Target="https://amdrug.baphiq.gov.tw/" TargetMode="External" Id="rId4"/><Relationship Type="http://schemas.openxmlformats.org/officeDocument/2006/relationships/hyperlink" Target="https://www.animal.go.kr/" TargetMode="External" Id="rId5"/><Relationship Type="http://schemas.openxmlformats.org/officeDocument/2006/relationships/hyperlink" Target="https://www.qia.go.kr/" TargetMode="External" Id="rId6"/><Relationship Type="http://schemas.openxmlformats.org/officeDocument/2006/relationships/hyperlink" Target="https://www.dailyvet.co.kr/" TargetMode="External" Id="rId7"/><Relationship Type="http://schemas.openxmlformats.org/officeDocument/2006/relationships/hyperlink" Target="https://www.kvma.or.kr/" TargetMode="External" Id="rId8"/><Relationship Type="http://schemas.openxmlformats.org/officeDocument/2006/relationships/hyperlink" Target="https://www.kaha.or.kr/" TargetMode="External" Id="rId9"/><Relationship Type="http://schemas.openxmlformats.org/officeDocument/2006/relationships/hyperlink" Target="https://www.jaha.or.jp/" TargetMode="External" Id="rId10"/><Relationship Type="http://schemas.openxmlformats.org/officeDocument/2006/relationships/hyperlink" Target="https://www.nichiju.or.jp/" TargetMode="External" Id="rId11"/><Relationship Type="http://schemas.openxmlformats.org/officeDocument/2006/relationships/hyperlink" Target="https://www.interpets.jp/" TargetMode="External" Id="rId12"/><Relationship Type="http://schemas.openxmlformats.org/officeDocument/2006/relationships/hyperlink" Target="https://www.anicom-sompo.co.jp/" TargetMode="External" Id="rId13"/><Relationship Type="http://schemas.openxmlformats.org/officeDocument/2006/relationships/hyperlink" Target="https://www.sva.org.sg/vet-centres" TargetMode="External" Id="rId14"/><Relationship Type="http://schemas.openxmlformats.org/officeDocument/2006/relationships/hyperlink" Target="https://www.avs.nparks.gov.sg/" TargetMode="External" Id="rId15"/></Relationships>
</file>

<file path=xl/worksheets/sheet1.xml><?xml version="1.0" encoding="utf-8"?>
<worksheet xmlns="http://schemas.openxmlformats.org/spreadsheetml/2006/main">
  <sheetPr>
    <outlinePr summaryBelow="1" summaryRight="1"/>
    <pageSetUpPr/>
  </sheetPr>
  <dimension ref="A1:D70"/>
  <sheetViews>
    <sheetView zoomScaleNormal="100" workbookViewId="0">
      <selection activeCell="A1" sqref="A1"/>
    </sheetView>
  </sheetViews>
  <sheetFormatPr baseColWidth="8" defaultColWidth="8.6640625" defaultRowHeight="14.4"/>
  <cols>
    <col width="3" customWidth="1" style="114" min="1" max="1"/>
    <col width="46" customWidth="1" style="114" min="2" max="2"/>
    <col width="140" customWidth="1" style="114" min="3" max="3"/>
    <col width="12" customWidth="1" style="114" min="4" max="4"/>
  </cols>
  <sheetData>
    <row r="1" ht="54" customHeight="1" s="114">
      <c r="B1" s="2" t="inlineStr">
        <is>
          <t>CHISON VETERINARY ULTRASOUND: DEALER &amp; END-USER TARGET LIST v17</t>
        </is>
      </c>
      <c r="C1" s="113" t="n"/>
    </row>
    <row r="2" ht="14.25" customHeight="1" s="114">
      <c r="B2" s="4" t="inlineStr">
        <is>
          <t>Japan · South Korea · Taiwan · Singapore   |   Companion animal, exotics, equine and production animal   |   Casper Tan, Senior Regional Sales Manager, AstraMed Healthcare (a subsidiary of CHISON)   |   27 Sep 2026</t>
        </is>
      </c>
    </row>
    <row r="3"/>
    <row r="4" ht="120" customHeight="1" s="114">
      <c r="B4" s="5" t="inlineStr">
        <is>
          <t>WHAT CHANGED IN v11 (27 Sep 2026)</t>
        </is>
      </c>
      <c r="C4" s="113" t="inlineStr">
        <is>
          <t>1. EMAIL CHECK: every email domain in the workbook was tested for a live mail server (DNS MX). 58 of 60 passed. Two Singapore clinic addresses bounce (Animal Infirmary, The Pet Doctors) and were removed. 2. CONTACTS RE-OPENED: company sites were re-opened for Japan, Korea and Taiwan rows missing email; 8 new confirmed emails added (Shine Kochi, OpenVet, GETECH, KogiPet, Pinyork, Yu Chiang, Hungan, Rayence phone) and MUNATEX upgraded from D to A. 3. NEW TARGETS: 16 Japan (mainly the regional opening support dealers on Mikasa X-ray's national dealer map, giving coverage in Tohoku, Hokkaido, Tokai, Kansai, Chugoku, Shikoku and Okinawa), 3 Korea, 2 Taiwan, and a NEW Singapore Dealers tab with 4 targets. 4. CORRECTIONS: Tokushima Iryoki carries Hitachi Aloka, Canon and Fujifilm, so moved to Tier 2; KogiPet and Pinyork moved to Tier 3 (see Corrections Log C-v11). 5. EMAILS: all 270 plus ready to send emails rewritten to your title and signature (casper@astramed.sg), em and en dashes removed, dealer pricing offer removed, and Singapore clinic emails no longer promise direct supply. 6. Former dealers AJJ, Medical Plus, AMF and Smitch Tech added to the Reference tab as DO NOT APPOINT.</t>
        </is>
      </c>
    </row>
    <row r="5" ht="75" customHeight="1" s="114">
      <c r="B5" s="5" t="inlineStr">
        <is>
          <t>OUTREACH STATUS (29 Sep 2026)</t>
        </is>
      </c>
      <c r="C5" s="113" t="inlineStr">
        <is>
          <t>45 prospects emailed on 28 Sep 2026 from casper@astramed.sg with the CHISON VET introduction attached, checked against the Winmail Sent folder on 29 Sep: Korea 5 dealers (POSKOM, JPI Healthcare, VSI, BlueVet, VETON), Taiwan 8 dealers (OpenVet, AHOSS, GETECH, Guojien, KogiPet, Hungan, Meijin, Pinyork), Singapore 3 dealers (Sage Healthcare, Vedmed Agri, Singapore Veterinary Imaging) and 29 Singapore end user clinics. 4 bounced, 1 real reply (AAVC), 3 auto replies. Every send is on the Outreach Log tab, with a new Channel column (Dealer or End user), and the new Outreach Summary tab counts them by market. Follow up date 5 Oct 2026. Japan: no emails yet. Still to email in Taiwan: Shine Kochi, Tengpon, Vet Supply, Vetnostrum, YoChung, YUMAX, Best Digital, ISVD. Korea: clear new contacts with Jerry first.</t>
        </is>
      </c>
    </row>
    <row r="6" ht="75" customHeight="1" s="114">
      <c r="B6" s="5" t="inlineStr">
        <is>
          <t>WHAT v11 COULD NOT VERIFY</t>
        </is>
      </c>
      <c r="C6" s="113" t="inlineStr">
        <is>
          <t>a) The Korean government registry of 2,646 licensed veterinary device sellers (data.go.kr dataset 15045052) could not be downloaded from here; download it by hand, it is the best source for more Korean dealers. b) The QIA licensed importer list is blocked to automated readers. c) Singapore Vet show exhibitor list is not public; ask singaporevet@closerstillmedia.com. d) Several Japanese regional dealer sites (Nactol, Tech Mikasa, Goodwill Medical, Sanko, marukou11) would not load, so they are graded C. e) No named individual has been verified anywhere, except sales contacts published on a company's own page.</t>
        </is>
      </c>
    </row>
    <row r="7" ht="45.75" customHeight="1" s="114">
      <c r="B7" s="5" t="inlineStr">
        <is>
          <t>WHAT THIS WORKBOOK IS</t>
        </is>
      </c>
      <c r="C7" s="113" t="inlineStr">
        <is>
          <t>One consolidated target list for CHISON veterinary ultrasound across four markets, built by merging four earlier workbooks (TargetList v5, Workbook v2.0, Market Development Target List v2 and the Top 10 Engagement List) and then re-checking every row for whether it can actually buy. There are no duplicates: two rows that turned out to be one company have been merged, and the collapse of every source row is logged on the Merge Log tab. Every organisation on an outreach tab has a subject line and an email body written for that specific company, ready to copy and send.</t>
        </is>
      </c>
    </row>
    <row r="8" ht="34.5" customHeight="1" s="114">
      <c r="B8" s="5" t="inlineStr">
        <is>
          <t>HOW TO USE IT IN THE MORNING</t>
        </is>
      </c>
      <c r="C8" s="113" t="inlineStr">
        <is>
          <t>1. Open the tab for the market you are working. 2. Filter the BUYING POTENTIAL column to HIGH. 3. Read the two background and fit-note columns: that is your thirty seconds of preparation. 4. Check the CONTACT CONFIDENCE column: A means the phone or email came off the company's own page; D means confirm the company exists first. 5. Copy the last two columns into your mail client and send. Nothing needs editing except your own signature block if you prefer a different one.</t>
        </is>
      </c>
    </row>
    <row r="9" ht="57" customHeight="1" s="114">
      <c r="B9" s="5" t="inlineStr">
        <is>
          <t>WHAT CHANGED IN v9: RE-VERIFICATION OF THE MARKET DEVELOPMENT TARGET LIST v3</t>
        </is>
      </c>
      <c r="C9" s="113" t="inlineStr">
        <is>
          <t>The whole of CHISON_Market_Development_Target_List_v3 was re-checked against this workbook, row by row. 1. THE FOUR VETERINARY TABS ARE ALREADY HERE. All 205 rows on the v3 VET Taiwan / VET Korea / VET Japan / VET Singapore tabs were traced into this workbook: every one is already present on a target tab, on Channel Resources, or on Reference: Do Not Contact. Nothing was missing and nothing new was added from them. The full row-by-row trace is on the new 'v9 Reconciliation (MDv3)' tab. 2. THE HUMAN-DIAGNOSTIC TABS WERE MINED FOR VETERINARY CROSSOVER: this is where the value was. The v3 file also carries ~245 HUMAN diagnostic dealer rows that had never been read for veterinary relevance. Six companies on them turned out to have a real veterinary business, and every one has been live-checked and added: JPI Healthcare and Mediana (Korea), Best Digital (Taiwan), Inter Medical (Japan), Sage Healthcare (Singapore), plus DK Medical Systems carried with a correction. One more, the ASUS handheld distributor, went to Reference. 3. THREE STRUCTURAL DEFECTS IN v8 WERE REPAIRED: see the row below. 4. Six new organisations, each with a bespoke ready-to-send email.</t>
        </is>
      </c>
    </row>
    <row r="10" ht="91.5" customHeight="1" s="114">
      <c r="B10" s="5" t="inlineStr">
        <is>
          <t>DEFECTS IN v8 REPAIRED IN v9: READ THIS IF YOU USED THE v8 COUNTS</t>
        </is>
      </c>
      <c r="C10" s="113" t="inlineStr">
        <is>
          <t>a) EVERY TIER, PRIORITY, BUYING-POTENTIAL AND CONTACT-CONFIDENCE COUNT IN v8 WAS WRONG, and almost all of them read zero. When v8 inserted the four pipeline columns (Pipeline Stage, Owner, Next Action, Next Action Date) at column D, every column from D rightwards shifted four places: but the COUNTIF formulas under each table were not moved with them. They were still counting tiers in the contact-confidence column and priorities in the email column. All 66 of them have been repointed to the correct columns and now show real numbers. If you quoted any v8 count to anyone, re-check it here. b) COLUMN WIDTHS WERE STALE BY THE SAME FOUR COLUMNS. 'Email template', which holds a single letter, was 88 characters wide, while 'Email body': the column you actually copy from: was 13. Widths on all seven target tabs have been realigned to the headers they now sit under. c) FREEZE PANES WERE MISSING OR WRONG on three tabs. The v8 READ ME states that column D sits inside the frozen panes on every target tab; in fact Japan Dealers and Singapore End Users had no freeze at all, and Korea End Users &amp; KOL was frozen at R21. All seven are now frozen at H5, so # / company / stage / owner / next action stay on screen while you scroll right.</t>
        </is>
      </c>
    </row>
    <row r="11" ht="57" customHeight="1" s="114">
      <c r="B11" s="5" t="inlineStr">
        <is>
          <t>WHAT THE v9 PASS DID NOT DO</t>
        </is>
      </c>
      <c r="C11" s="113" t="inlineStr">
        <is>
          <t>It did not re-verify the rows already in v8: those still carry the confidence grades and source notes they were given in v6 and v7, and the open items on the 'WHAT IS STILL NOT VERIFIED' row below all still stand. It did not add the nine v3 rows that were research tasks rather than organisations (southern-Korea regional dealers, the Gyeonggi-North / Incheon veterinary associations, the 쿨펫/웰펫 franchise names, the Tokyo 24-hour cluster, 'ONE for Animals'-style consolidators, online CE platforms, prefectural veterinary associations and the Royal Canin / Hill's rep networks): they are listed on the reconciliation tab as open tasks, because a row with no confirmed entity behind it cannot carry an email. And no named individual has been verified at any company in this workbook: that is still true, and still the single biggest gap.</t>
        </is>
      </c>
    </row>
    <row r="12" ht="57" customHeight="1" s="114">
      <c r="B12" s="5" t="inlineStr">
        <is>
          <t>WHAT CHANGED IN v7</t>
        </is>
      </c>
      <c r="C12" s="113" t="inlineStr">
        <is>
          <t>1. NEW COLUMN: 'Company / Organisation background': what each company actually does, its scale and history, and one explicit sentence on why it is relevant to CHISON. Column D on every outreach tab. 2. NEW COLUMN: 'BUYING / DISTRIBUTION POTENTIAL': a plain verdict (HIGH / MEDIUM / LOW) with the reason and the regulatory timing, so you can sort the list by who can actually transact. 3. NON-BUYERS REMOVED FROM THE OUTREACH TABS: 13 organisations that cannot buy (competitors, brand subsidiaries, competitor distribution channels, one wound-down operation and one research task) moved to a new 'Reference: Do Not Contact' tab. Every remaining row on every outreach tab is sendable. 4. NEW TAB: 'Why These Contacts': the relevance logic for each type of row, and what would disqualify it. 5. FOUR RESEARCH CORRECTIONS applied: see the row below. 6. READ ME rewritten.</t>
        </is>
      </c>
    </row>
    <row r="13" ht="34.5" customHeight="1" s="114">
      <c r="B13" s="5" t="inlineStr">
        <is>
          <t>CORRECTIONS MADE DURING THE v7 RELEVANCE CHECK</t>
        </is>
      </c>
      <c r="C13" s="113" t="inlineStr">
        <is>
          <t>a) EASTECH (Taiwan) was carried as a Tier 3 dealer candidate. Opening eastech-medical.com showed it is 華鋒科技, the SOLE TAIWAN AGENT FOR ESAOTE, selling handheld, portable AND cart veterinary ultrasound plus veterinary MRI, majority-owned by BenQ Medical Technology within the Qisda group. It is a competitor channel, not a recruit. Moved to Reference. b) 'Animal Recovery Veterinary Referral Centre' and 'Pet Space Singapore' were TWO ROWS FOR ONE COMPANY: Animal Recovery Veterinary Centre Pte Ltd was formerly Pet Space (Singapore) Pte Ltd. Merged into one P1 row, and upgraded: the group runs 12 clinics across Hong Kong and Singapore and already offers both ultrasound and a HOUSE-CALL service, which is the strongest handheld argument there is. c) Singapore Turf Club Equine Hospital: horse racing in Singapore ended on 5 October 2024 and the Kranji site is being returned to the state. Not a realistic buyer. Moved to Reference. d) The AS-1 / ASCO duplicate flag raised in v6 is RESOLVED: ASCO Corporation is a Sala Group company in Toyohashi with 22 branches, so the two are different companies. ASCO was also upgraded: their own site states they sell instruments and machinery, not only drugs. e) SOAR Instrument-Tech (Taiwan) was downgraded from Tier 1 to Tier 2: uni-soar.com returned no content when fetched, so the 'no ultrasound in the catalogue' claim is unverified. It returns to Tier 1 the moment that is confirmed.</t>
        </is>
      </c>
    </row>
    <row r="14" ht="45.75" customHeight="1" s="114">
      <c r="B14" s="5" t="inlineStr">
        <is>
          <t>CHANNEL MODEL PER MARKET: READ BEFORE ANY EMAIL</t>
        </is>
      </c>
      <c r="C14" s="113" t="inlineStr">
        <is>
          <t>v11 UPDATE: as agreed with Jerry, all four markets are developed primarily through dealers. SINGAPORE: dealer led, with AstraMed (CHISON's own subsidiary) supporting installation, training and service; veterinary health products sit outside the Health Products Act device regime, confirm with AVS. JAPAN: dealers may be approached freely; MAFF foreign manufacturer registration, a Japanese MAH and NVAL notification are needed before any order. SOUTH KOREA: discuss each distributor with Jerry first; a Korean entity must hold a QIA veterinary device import licence. TAIWAN: no animal only device registration identified; the open question is customs import permission for Chinese origin goods. Former dealers AJJ, Medical Plus, AMF and Smitch Tech will not be reappointed.</t>
        </is>
      </c>
    </row>
    <row r="15" ht="22.5" customHeight="1" s="114">
      <c r="B15" s="5" t="inlineStr">
        <is>
          <t>WHY THESE CONTACTS ARE RELEVANT: THE SHORT VERSION</t>
        </is>
      </c>
      <c r="C15" s="113" t="inlineStr">
        <is>
          <t>Dealers were selected on one test: do they already sell into animal hospitals, and do they have NO competing ultrasound line? That produces four repeating profiles: the imaging dealer with X-ray or CT but no ultrasound, the clinic-opening trading house that writes the equipment list, the animal-drug wholesaler whose rep is in every clinic weekly, and the surgical dealer whose customer wants peri-operative imaging. Dealers who DO carry ultrasound are graded Tier 2 with one rule: pocket tier only, never a competing console. End users were selected on where a handheld actually gets used: emergency floors, house calls, feline and exotic practice, multi-site groups that decide once and repeat, and teaching hospitals that set habits for a decade. The full logic, profile by profile, is on the 'Why These Contacts' tab.</t>
        </is>
      </c>
    </row>
    <row r="16" ht="32.25" customHeight="1" s="114">
      <c r="B16" s="5" t="inlineStr">
        <is>
          <t>CONTACT CONFIDENCE: CHECK THIS BEFORE YOU SEND</t>
        </is>
      </c>
      <c r="C16" s="113" t="inlineStr">
        <is>
          <t>A: VERIFIED DIRECT: phone and/or email read off the company's own page, which we opened. B: VERIFIED PARTIAL: site open and live, enquiry form only. C: SITE LIVE, NOT OPENED, or from a published directory such as the TPVMA roster. D: NOT VERIFIED: no confirmed URL; confirm the company exists and trades before contacting. Rows carried from the older workbooks are mostly C or D because those files did not grade their contacts at all. That is a statement about the source file, not a judgement on the company.</t>
        </is>
      </c>
    </row>
    <row r="17" ht="42.75" customHeight="1" s="114">
      <c r="B17" s="5" t="inlineStr">
        <is>
          <t>WHAT IS STILL NOT VERIFIED</t>
        </is>
      </c>
      <c r="C17" s="113" t="inlineStr">
        <is>
          <t>1. NO named individual anywhere in this workbook has been verified. Three names appeared in the old Market Development list: 'Jane Cho', 'Jovi Peng', 'Yutaro Yasuda': none confirmed; all three are marked do-not-use. Use the LinkedIn outreach workflow to find real people. 2. SOAR Instrument-Tech's catalogue (site did not render). 3. AEON Pet's site count and corporate structure. 4. The Singapore phone numbers are from the May 2024 SVA register and should be refreshed. 5. Taiwan's customs position for Chinese-origin goods. 6. Singapore's regulatory position rests on the ABSENCE of a published rule, not on a written AVS confirmation: obtaining that confirmation is the single most important open action in this workbook.</t>
        </is>
      </c>
    </row>
    <row r="18" ht="21.75" customHeight="1" s="114">
      <c r="B18" s="5" t="inlineStr">
        <is>
          <t>PRODUCT CONSTRAINT: DECISION D-2</t>
        </is>
      </c>
      <c r="C18" s="113" t="inlineStr">
        <is>
          <t>Twelve veterinary SKUs exist at USD 5,299 to 21,200 US list, and there is NO veterinary-labelled cart. Referral hospitals and university teaching hospitals must be led with handheld and portable units. Do not promise a veterinary cart to any account before D-2 resolves.</t>
        </is>
      </c>
      <c r="D18" s="6" t="n"/>
    </row>
    <row r="19" ht="14.25" customHeight="1" s="114">
      <c r="B19" s="7" t="n"/>
      <c r="D19" s="6" t="n"/>
    </row>
    <row r="20" ht="14.25" customHeight="1" s="114">
      <c r="B20" s="7" t="inlineStr">
        <is>
          <t>COVERAGE</t>
        </is>
      </c>
      <c r="D20" s="8" t="n"/>
    </row>
    <row r="21" ht="14.25" customHeight="1" s="114">
      <c r="B21" s="9" t="inlineStr">
        <is>
          <t>Japan: dealer targets</t>
        </is>
      </c>
      <c r="D21" s="8">
        <f>COUNTA('Japan Dealers'!B5:B48)</f>
        <v/>
      </c>
    </row>
    <row r="22" ht="14.25" customHeight="1" s="114">
      <c r="B22" s="9" t="inlineStr">
        <is>
          <t>South Korea: dealer targets</t>
        </is>
      </c>
      <c r="D22" s="8">
        <f>COUNTA('Korea Dealers'!B5:B36)</f>
        <v/>
      </c>
    </row>
    <row r="23" ht="14.25" customHeight="1" s="114">
      <c r="B23" s="9" t="inlineStr">
        <is>
          <t>Taiwan: dealer targets</t>
        </is>
      </c>
      <c r="D23" s="8">
        <f>COUNTA('Taiwan Dealers'!B5:B30)</f>
        <v/>
      </c>
    </row>
    <row r="24">
      <c r="B24" s="9" t="inlineStr">
        <is>
          <t>Singapore: dealer targets (new in v11)</t>
        </is>
      </c>
      <c r="D24" s="8">
        <f>COUNTA('Singapore Dealers'!B5:B8)</f>
        <v/>
      </c>
    </row>
    <row r="25" ht="14.25" customHeight="1" s="114">
      <c r="B25" s="9" t="inlineStr">
        <is>
          <t>Singapore: end-user clinic accounts</t>
        </is>
      </c>
      <c r="D25" s="8">
        <f>COUNTA('Singapore End Users'!B5:B78)</f>
        <v/>
      </c>
    </row>
    <row r="26" ht="14.25" customHeight="1" s="114">
      <c r="B26" s="9" t="inlineStr">
        <is>
          <t>Japan: end-user and KOL accounts</t>
        </is>
      </c>
      <c r="D26" s="8">
        <f>COUNTA('Japan End Users &amp; KOL'!B5:B32)</f>
        <v/>
      </c>
    </row>
    <row r="27" ht="14.25" customHeight="1" s="114">
      <c r="B27" s="9" t="inlineStr">
        <is>
          <t>South Korea: end-user and KOL accounts</t>
        </is>
      </c>
      <c r="D27" s="8">
        <f>COUNTA('Korea End Users &amp; KOL'!B5:B30)</f>
        <v/>
      </c>
    </row>
    <row r="28" ht="14.25" customHeight="1" s="114">
      <c r="B28" s="9" t="inlineStr">
        <is>
          <t>Taiwan: end-user and KOL accounts</t>
        </is>
      </c>
      <c r="D28" s="8">
        <f>COUNTA('Taiwan End Users &amp; KOL'!B5:B51)</f>
        <v/>
      </c>
    </row>
    <row r="29" ht="14.25" customHeight="1" s="114">
      <c r="B29" s="9" t="inlineStr">
        <is>
          <t>TOTAL CONTACTABLE ORGANISATIONS, all with a ready to send email</t>
        </is>
      </c>
      <c r="C29" s="9" t="n"/>
      <c r="D29" s="8">
        <f>SUM(D21:D28)</f>
        <v/>
      </c>
    </row>
    <row r="30" ht="14.25" customHeight="1" s="114">
      <c r="B30" s="9" t="inlineStr">
        <is>
          <t>Dealer rows with a confirmed email address in column N (all four dealer tabs)</t>
        </is>
      </c>
      <c r="C30" s="9" t="n"/>
      <c r="D30" s="8">
        <f>COUNTIF('Japan Dealers'!N5:N48,"*@*")+COUNTIF('Korea Dealers'!N5:N36,"*@*")+COUNTIF('Taiwan Dealers'!N5:N30,"*@*")+COUNTIF('Singapore Dealers'!N5:N8,"*@*")</f>
        <v/>
      </c>
    </row>
    <row r="31" ht="14.25" customHeight="1" s="114">
      <c r="B31" s="9" t="inlineStr">
        <is>
          <t>Registries, associations and research tasks (Channel Resources)</t>
        </is>
      </c>
      <c r="C31" s="9" t="n"/>
      <c r="D31" s="8">
        <f>COUNTA('Channel Resources'!B5:B29)</f>
        <v/>
      </c>
    </row>
    <row r="32" ht="14.25" customHeight="1" s="114">
      <c r="B32" s="9" t="inlineStr">
        <is>
          <t>Competitors, non-buyers and former dealers (Reference, no email)</t>
        </is>
      </c>
      <c r="C32" s="9" t="n"/>
      <c r="D32" s="8">
        <f>COUNTA('Reference — Do Not Contact'!B5:B23)</f>
        <v/>
      </c>
    </row>
    <row r="33" ht="14.25" customHeight="1" s="114">
      <c r="B33" s="11" t="inlineStr">
        <is>
          <t>Search strings, registries and directories</t>
        </is>
      </c>
      <c r="C33" s="9" t="n"/>
      <c r="D33" s="10">
        <f>COUNTA('Search Terms'!C5:C50)</f>
        <v/>
      </c>
    </row>
    <row r="34" ht="14.25" customHeight="1" s="114">
      <c r="B34" s="12" t="inlineStr">
        <is>
          <t>Master email frames</t>
        </is>
      </c>
      <c r="C34" s="9" t="n"/>
      <c r="D34" s="10">
        <f>COUNTA('Email Templates'!A5:A18)</f>
        <v/>
      </c>
    </row>
    <row r="35" ht="14.25" customHeight="1" s="114">
      <c r="B35" s="115" t="n"/>
      <c r="C35" s="113" t="n"/>
    </row>
    <row r="36" ht="14.25" customHeight="1" s="114">
      <c r="B36" s="14" t="inlineStr">
        <is>
          <t>TIER AND PRIORITY KEY</t>
        </is>
      </c>
      <c r="C36" s="113" t="n"/>
    </row>
    <row r="37" ht="14.25" customHeight="1" s="114">
      <c r="B37" s="5" t="inlineStr">
        <is>
          <t>TIER 1 / P1</t>
        </is>
      </c>
      <c r="C37" s="113" t="inlineStr">
        <is>
          <t>Contact first: right segment, real capability, no competing ultrasound line.</t>
        </is>
      </c>
    </row>
    <row r="38" ht="14.25" customHeight="1" s="114">
      <c r="B38" s="5" t="inlineStr">
        <is>
          <t>TIER 2 / P2</t>
        </is>
      </c>
      <c r="C38" s="113" t="inlineStr">
        <is>
          <t>Qualify first: strong channel but a competing line, or fit unconfirmed.</t>
        </is>
      </c>
    </row>
    <row r="39" ht="14.25" customHeight="1" s="114">
      <c r="B39" s="5" t="inlineStr">
        <is>
          <t>TIER 3 / P3</t>
        </is>
      </c>
      <c r="C39" s="113" t="inlineStr">
        <is>
          <t>Long tail, niche or regional fill-in.</t>
        </is>
      </c>
    </row>
    <row r="40" ht="14.25" customHeight="1" s="114">
      <c r="B40" s="5" t="inlineStr">
        <is>
          <t>MFR</t>
        </is>
      </c>
      <c r="C40" s="113" t="inlineStr">
        <is>
          <t>Manufacturer or supplier selling INTO dealers. Complementary-line or OEM talk only: never a distribution appointment.</t>
        </is>
      </c>
    </row>
    <row r="41" ht="14.25" customHeight="1" s="114">
      <c r="B41" s="5" t="inlineStr">
        <is>
          <t>BUYING POTENTIAL: HIGH</t>
        </is>
      </c>
      <c r="C41" s="113" t="inlineStr">
        <is>
          <t>Real budget, right customer, and either can transact today (Singapore) or is appoint-grade the moment the market gate clears.</t>
        </is>
      </c>
    </row>
    <row r="42" ht="14.25" customHeight="1" s="114">
      <c r="B42" s="5" t="inlineStr">
        <is>
          <t>BUYING POTENTIAL: MEDIUM</t>
        </is>
      </c>
      <c r="C42" s="113" t="inlineStr">
        <is>
          <t>A genuine buyer or partner, but something needs qualifying first: a competing line, an unconfirmed entity, or a slow cycle.</t>
        </is>
      </c>
    </row>
    <row r="43" ht="14.25" customHeight="1" s="114">
      <c r="B43" s="5" t="inlineStr">
        <is>
          <t>BUYING POTENTIAL: LOW</t>
        </is>
      </c>
      <c r="C43" s="113" t="inlineStr">
        <is>
          <t>Long tail, niche, or a partnership rather than a purchase. Work only after everything above it.</t>
        </is>
      </c>
    </row>
    <row r="44" ht="14.25" customHeight="1" s="114">
      <c r="B44" s="5" t="inlineStr">
        <is>
          <t>VERIFY FIRST</t>
        </is>
      </c>
      <c r="C44" s="113" t="inlineStr">
        <is>
          <t>Entity or operating status not confirmed. Check before spending time.</t>
        </is>
      </c>
    </row>
    <row r="45" ht="14.25" customHeight="1" s="114">
      <c r="B45" s="115" t="n"/>
      <c r="C45" s="113" t="n"/>
    </row>
    <row r="46" ht="14.25" customHeight="1" s="114">
      <c r="B46" s="7" t="inlineStr">
        <is>
          <t>TAB GUIDE</t>
        </is>
      </c>
    </row>
    <row r="47" ht="14.25" customHeight="1" s="114">
      <c r="B47" s="5" t="inlineStr">
        <is>
          <t>Japan / Korea / Taiwan / Singapore Dealers</t>
        </is>
      </c>
      <c r="C47" s="113" t="inlineStr">
        <is>
          <t>Distributor and manufacturer targets. Relationship and evaluation now; no quotes until each market gate clears. Singapore Dealers is new in v11.</t>
        </is>
      </c>
    </row>
    <row r="48" ht="14.25" customHeight="1" s="114">
      <c r="B48" s="5" t="inlineStr">
        <is>
          <t>Singapore End Users</t>
        </is>
      </c>
      <c r="C48" s="113" t="inlineStr">
        <is>
          <t>Clinic accounts: demand, KOL and evaluation targets. v11: channel is dealer led; Sage Healthcare is worked from the Singapore Dealers tab.</t>
        </is>
      </c>
    </row>
    <row r="49" ht="14.25" customHeight="1" s="114">
      <c r="B49" s="5" t="inlineStr">
        <is>
          <t>Japan / Korea / Taiwan End Users &amp; KOL</t>
        </is>
      </c>
      <c r="C49" s="113" t="inlineStr">
        <is>
          <t>Hospitals, chains and university teaching hospitals. Relationship, evaluation and KOL work: not distribution targets.</t>
        </is>
      </c>
    </row>
    <row r="50" ht="14.25" customHeight="1" s="114">
      <c r="B50" s="5" t="inlineStr">
        <is>
          <t>Reference: Do Not Contact</t>
        </is>
      </c>
      <c r="C50" s="113" t="inlineStr">
        <is>
          <t>Competitors and non-buyers, kept as intelligence. No email on this tab, by design.</t>
        </is>
      </c>
    </row>
    <row r="51" ht="14.25" customHeight="1" s="114">
      <c r="B51" s="5" t="inlineStr">
        <is>
          <t>Why These Contacts</t>
        </is>
      </c>
      <c r="C51" s="113" t="inlineStr">
        <is>
          <t>The relevance logic for every type of row, and what would disqualify it. Read once.</t>
        </is>
      </c>
    </row>
    <row r="52" ht="14.25" customHeight="1" s="114">
      <c r="B52" s="5" t="inlineStr">
        <is>
          <t>Channel Resources</t>
        </is>
      </c>
      <c r="C52" s="113" t="inlineStr">
        <is>
          <t>Registries, regulators, associations, congresses and open research tasks, with an instruction for each.</t>
        </is>
      </c>
    </row>
    <row r="53" ht="14.25" customHeight="1" s="114">
      <c r="B53" s="5" t="inlineStr">
        <is>
          <t>Search Terms / Email Templates</t>
        </is>
      </c>
      <c r="C53" s="113" t="inlineStr">
        <is>
          <t>Local-language search strings and the master email frames the per-row emails were built from.</t>
        </is>
      </c>
    </row>
    <row r="54" ht="14.25" customHeight="1" s="114">
      <c r="B54" s="5" t="inlineStr">
        <is>
          <t>Top 10 Engage Now / Bench 11-20</t>
        </is>
      </c>
      <c r="C54" s="113" t="inlineStr">
        <is>
          <t>The prioritised call list. NOTE: bench rank 12 (Animal Recovery) and rank 20 (Pet Space) are the same company: now merged on the Singapore tab.</t>
        </is>
      </c>
    </row>
    <row r="55" ht="14.25" customHeight="1" s="114">
      <c r="B55" s="5" t="inlineStr">
        <is>
          <t>Engagement rules</t>
        </is>
      </c>
      <c r="C55" s="113" t="inlineStr">
        <is>
          <t>What you may and may not do in each market before the channel is in place. Read before the first call.</t>
        </is>
      </c>
    </row>
    <row r="56" ht="61.5" customHeight="1" s="114">
      <c r="B56" s="5" t="inlineStr">
        <is>
          <t>Verification / Merge Log / Corrections Log</t>
        </is>
      </c>
      <c r="C56" s="113" t="inlineStr">
        <is>
          <t>Where every claim came from, how the four source workbooks were reconciled, and what was corrected.</t>
        </is>
      </c>
    </row>
    <row r="57" ht="14.25" customHeight="1" s="114">
      <c r="B57" s="5" t="inlineStr">
        <is>
          <t>Product Registration / Reconciliation (v2.0)</t>
        </is>
      </c>
      <c r="C57" s="113" t="inlineStr">
        <is>
          <t>Preserved unchanged from Workbook v2.0.</t>
        </is>
      </c>
    </row>
    <row r="58"/>
    <row r="59" ht="42.75" customHeight="1" s="114">
      <c r="B59" s="15" t="inlineStr">
        <is>
          <t>PIPELINE STAGE TRACKING: NEW IN v8</t>
        </is>
      </c>
      <c r="C59" s="113" t="inlineStr">
        <is>
          <t>Column D of all seven target tabs is a 'Pipeline Stage' dropdown, pinned inside the frozen panes and colour-coded from grey (Not started) through amber (in conversation) to green (Won). Every existing row is pre-set to 'Not started'. The nine stages are the same nine that were already in use on the Top 10 Engage Now tab: nothing new to learn: and they are set out, with what each one means, on the 02_Pipeline_Stages tab. Click any cell in column D and the dropdown arrow appears on the right of the cell. Stage is part of each tab's AutoFilter, so you can work one stage at a time.</t>
        </is>
      </c>
    </row>
    <row r="60" ht="14.25" customHeight="1" s="114">
      <c r="B60" s="15" t="inlineStr">
        <is>
          <t>02_Pipeline_Stages</t>
        </is>
      </c>
      <c r="C60" s="113" t="inlineStr">
        <is>
          <t>The nine stage definitions and the colour key: what each stage means and when to move a row into it.</t>
        </is>
      </c>
    </row>
    <row r="61" ht="21.75" customHeight="1" s="114">
      <c r="B61" s="15" t="inlineStr">
        <is>
          <t>v9 Reconciliation (MDv3)</t>
        </is>
      </c>
      <c r="C61" s="113" t="inlineStr">
        <is>
          <t>The row-by-row trace of CHISON_Market_Development_Target_List_v3 into this workbook: what was already here, what was added, what was corrected, and the open tasks that were deliberately not turned into rows.</t>
        </is>
      </c>
    </row>
    <row r="62" ht="21.75" customHeight="1" s="114">
      <c r="B62" s="15" t="inlineStr">
        <is>
          <t>NAMED INDIVIDUALS: STILL NONE</t>
        </is>
      </c>
      <c r="C62" s="113" t="inlineStr">
        <is>
          <t>Unchanged in v9. No named contact at any company in this workbook has been verified, including the six new ones. Use the dealer-linkedin-outreach workflow to find real people before sending. The three names that appeared in the old Market Development list: 'Jane Cho', 'Jovi Peng', 'Yutaro Yasuda': remain do-not-use.</t>
        </is>
      </c>
    </row>
    <row r="64">
      <c r="A64" s="151" t="inlineStr">
        <is>
          <t>v18 change: new tab 'Japan VET_additional' with 259 new Japan veterinary leads, tiered V1 to V5, scored out of 35, with regional quota tracking.</t>
        </is>
      </c>
    </row>
    <row r="65">
      <c r="A65" s="152" t="inlineStr">
        <is>
          <t>The same list is also delivered as a standalone file Japan_Distributor_List_Vet_v2.xlsx (Master List, Distributor Shortlist, Hospital Groups, By Region, Summary, Sources).</t>
        </is>
      </c>
    </row>
    <row r="66">
      <c r="A66" s="152" t="inlineStr">
        <is>
          <t>v19 change (10 Oct 2026): Email column filled from published company addresses (46 rows; 31 Verified on own site, 15 Likely from third party listings). No personal email was guessed. Rows with no published email show the inquiry form URL or 'phone only'; 70 V4 qualify first rows were not searched yet.</t>
        </is>
      </c>
    </row>
    <row r="67">
      <c r="A67" s="152" t="inlineStr">
        <is>
          <t>v19 fixes: HQ prefecture corrected for 13 rows after recheck; Primo group operator corrected to 株式会社JPR. Closed, dissolved or acquired companies are flagged in Contact confidence (rows kept).</t>
        </is>
      </c>
    </row>
    <row r="68">
      <c r="A68" s="152" t="inlineStr">
        <is>
          <t>NOT VERIFIED: websites were not opened directly (network policy blocked page fetches); contact details were read through search results. No named person contact was found.</t>
        </is>
      </c>
    </row>
    <row r="69">
      <c r="A69" s="152" t="inlineStr">
        <is>
          <t>QUALIFY FIRST: 120 V4 rows are human medical dealers with no confirmed animal hospital business; the v9 Reconciliation tab had screened such dealers out. Use them only after a qualifying call.</t>
        </is>
      </c>
    </row>
    <row r="70">
      <c r="A70" s="152" t="inlineStr">
        <is>
          <t>All other tabs are unchanged from v17.</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A1:D18"/>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114" min="1" max="1"/>
    <col width="26" customWidth="1" style="114" min="2" max="2"/>
    <col width="104" customWidth="1" style="114" min="3" max="3"/>
    <col width="16" customWidth="1" style="114" min="4" max="4"/>
  </cols>
  <sheetData>
    <row r="1" ht="18" customHeight="1" s="114">
      <c r="A1" s="16" t="inlineStr">
        <is>
          <t>PIPELINE STAGES — THE SINGLE SOURCE FOR EVERY STAGE DROPDOWN</t>
        </is>
      </c>
    </row>
    <row r="2" ht="73.5" customHeight="1" s="114">
      <c r="A2" s="17" t="inlineStr">
        <is>
          <t>These nine stages are not new. They are the same nine already in use in the 'Response' dropdown on the Top 10 Engage Now tab, so the whole workbook tracks progress in one vocabulary. They now populate the 'Pipeline Stage' dropdown in column D of all seven target tabs — Japan / Korea / Taiwan Dealers, Singapore End Users, and the three End Users &amp; KOL tabs.  THIS SHEET IS THE REFERENCE: what each stage means and what colour it turns. The dropdowns themselves carry the nine names inline, the same way the Top 10 Engage Now dropdown always has, so they need nothing else in the workbook to resolve and work in any version of Excel. To change a stage name, edit it here and then update the validations: select column D, Data ▸ Data Validation, edit the Source line, and repeat on each tab — or ask Claude to regenerate the workbook, which is faster. Renaming a stage does not rewrite stages already chosen on the tabs; use Find &amp; Replace across the workbook if you rename one mid-campaign.</t>
        </is>
      </c>
    </row>
    <row r="3"/>
    <row r="4" ht="42" customHeight="1" s="114">
      <c r="A4" s="18" t="inlineStr">
        <is>
          <t>#</t>
        </is>
      </c>
      <c r="B4" s="18" t="inlineStr">
        <is>
          <t>Pipeline stage (this column IS the dropdown list)</t>
        </is>
      </c>
      <c r="C4" s="18" t="inlineStr">
        <is>
          <t>What it means — the test for moving a row into this stage</t>
        </is>
      </c>
      <c r="D4" s="18" t="inlineStr">
        <is>
          <t>Colour on the tabs</t>
        </is>
      </c>
    </row>
    <row r="5" ht="31.5" customHeight="1" s="114">
      <c r="A5" s="19" t="n">
        <v>1</v>
      </c>
      <c r="B5" s="20" t="inlineStr">
        <is>
          <t>Not started</t>
        </is>
      </c>
      <c r="C5" s="21" t="inlineStr">
        <is>
          <t>On the list, no approach made yet. Every row starts here.</t>
        </is>
      </c>
      <c r="D5" s="22" t="n"/>
    </row>
    <row r="6" ht="31.5" customHeight="1" s="114">
      <c r="A6" s="19" t="n">
        <v>2</v>
      </c>
      <c r="B6" s="23" t="inlineStr">
        <is>
          <t>Contacted</t>
        </is>
      </c>
      <c r="C6" s="21" t="inlineStr">
        <is>
          <t>First approach sent — the ready-to-send email on this row, or an equivalent call or LinkedIn touch. No reply yet.</t>
        </is>
      </c>
      <c r="D6" s="24" t="n"/>
    </row>
    <row r="7" ht="31.5" customHeight="1" s="114">
      <c r="A7" s="19" t="n">
        <v>3</v>
      </c>
      <c r="B7" s="25" t="inlineStr">
        <is>
          <t>Meeting booked</t>
        </is>
      </c>
      <c r="C7" s="21" t="inlineStr">
        <is>
          <t>They came back and a call or a visit is in the diary.</t>
        </is>
      </c>
      <c r="D7" s="26" t="n"/>
    </row>
    <row r="8" ht="31.5" customHeight="1" s="114">
      <c r="A8" s="19" t="n">
        <v>4</v>
      </c>
      <c r="B8" s="27" t="inlineStr">
        <is>
          <t>Meeting held</t>
        </is>
      </c>
      <c r="C8" s="21" t="inlineStr">
        <is>
          <t>Call or visit done. Segment fit, decision route and budget understood.</t>
        </is>
      </c>
      <c r="D8" s="28" t="n"/>
    </row>
    <row r="9" ht="31.5" customHeight="1" s="114">
      <c r="A9" s="19" t="n">
        <v>5</v>
      </c>
      <c r="B9" s="29" t="inlineStr">
        <is>
          <t>Evaluation placed</t>
        </is>
      </c>
      <c r="C9" s="21" t="inlineStr">
        <is>
          <t>A unit is with the dealer or the account for hands-on trial, clinical evaluation or a seminar demo. Check the Engagement rules tab first — outside Singapore there are things you may not yet ship or quote.</t>
        </is>
      </c>
      <c r="D9" s="30" t="n"/>
    </row>
    <row r="10" ht="31.5" customHeight="1" s="114">
      <c r="A10" s="19" t="n">
        <v>6</v>
      </c>
      <c r="B10" s="31" t="inlineStr">
        <is>
          <t>Quoted</t>
        </is>
      </c>
      <c r="C10" s="21" t="inlineStr">
        <is>
          <t>Formal pricing issued — unit price, dealer terms or an opening package.</t>
        </is>
      </c>
      <c r="D10" s="32" t="n"/>
    </row>
    <row r="11" ht="31.5" customHeight="1" s="114">
      <c r="A11" s="19" t="n">
        <v>7</v>
      </c>
      <c r="B11" s="33" t="inlineStr">
        <is>
          <t>Won</t>
        </is>
      </c>
      <c r="C11" s="21" t="inlineStr">
        <is>
          <t>Dealer appointed, or end-user purchase order received. Hand over to account management.</t>
        </is>
      </c>
      <c r="D11" s="34" t="n"/>
    </row>
    <row r="12" ht="31.5" customHeight="1" s="114">
      <c r="A12" s="19" t="n">
        <v>8</v>
      </c>
      <c r="B12" s="35" t="inlineStr">
        <is>
          <t>Declined</t>
        </is>
      </c>
      <c r="C12" s="21" t="inlineStr">
        <is>
          <t>Ruled out — competitor lock-in, wrong segment, no budget, entity unverifiable, or they said no.</t>
        </is>
      </c>
      <c r="D12" s="36" t="n"/>
    </row>
    <row r="13" ht="31.5" customHeight="1" s="114">
      <c r="A13" s="19" t="n">
        <v>9</v>
      </c>
      <c r="B13" s="37" t="inlineStr">
        <is>
          <t>Parked</t>
        </is>
      </c>
      <c r="C13" s="21" t="inlineStr">
        <is>
          <t>A real target at the wrong moment. Held with a review date — not the same as Declined.</t>
        </is>
      </c>
      <c r="D13" s="38" t="n"/>
    </row>
    <row r="14"/>
    <row r="15" ht="43.5" customHeight="1" s="114">
      <c r="B15" s="15" t="inlineStr">
        <is>
          <t>HOW THE TABS USE THIS</t>
        </is>
      </c>
      <c r="C15" s="113" t="inlineStr">
        <is>
          <t>Column D on each target tab is a dropdown, pre-set to 'Not started' on every existing row and colour-coded to the swatches above. Column D sits inside the frozen panes, so the stage stays on screen while you scroll right through contact details and the ready-to-send email columns. Stage is included in each tab's AutoFilter — filter column D to work one stage at a time.</t>
        </is>
      </c>
    </row>
    <row r="16" ht="43.5" customHeight="1" s="114">
      <c r="B16" s="15" t="inlineStr">
        <is>
          <t>BEFORE YOU MOVE ANYTHING TO 'QUOTED'</t>
        </is>
      </c>
      <c r="C16" s="113" t="inlineStr">
        <is>
          <t>Read the Engagement rules tab. Singapore is the only market where you may quote, invoice and install today. In Taiwan, South Korea and Japan there is a gating action outstanding, so 'Evaluation placed' and 'Quoted' carry conditions — do not move a row into them on autopilot.</t>
        </is>
      </c>
    </row>
    <row r="17"/>
    <row r="18" ht="43.5" customHeight="1" s="114">
      <c r="B18" s="39" t="inlineStr">
        <is>
          <t>OWNER, NEXT ACTION AND NEXT ACTION DATE</t>
        </is>
      </c>
      <c r="C18" s="40" t="inlineStr">
        <is>
          <t>Added directly after Pipeline Stage on every target tab, so the whole working record lives in this one workbook. The funnel dashboard reads them: a row past 'Not started' with no next action, no owner, or a date in the past is flagged as needing attention. All three are optional — leave them blank and the dashboard simply omits those fields.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14" customWidth="1" style="114" min="1" max="1"/>
    <col width="11" customWidth="1" style="114" min="2" max="2"/>
    <col width="10" customWidth="1" style="114" min="3" max="3"/>
    <col width="10" customWidth="1" style="114" min="4" max="4"/>
    <col width="10" customWidth="1" style="114" min="5" max="5"/>
    <col width="10" customWidth="1" style="114" min="6" max="6"/>
    <col width="10" customWidth="1" style="114" min="7" max="7"/>
    <col width="14" customWidth="1" style="114" min="8" max="8"/>
    <col width="13" customWidth="1" style="114" min="9" max="9"/>
    <col width="10" customWidth="1" style="114" min="10" max="10"/>
    <col width="11" customWidth="1" style="114" min="11" max="11"/>
    <col width="24" customWidth="1" style="114" min="12" max="12"/>
  </cols>
  <sheetData>
    <row r="1">
      <c r="A1" s="131" t="inlineStr">
        <is>
          <t>EMAIL OUTREACH SUMMARY BY MARKET: VETERINARY</t>
        </is>
      </c>
    </row>
    <row r="2" ht="30" customHeight="1" s="114">
      <c r="A2" s="132" t="inlineStr">
        <is>
          <t>Counts are live formulas on the Outreach Log and the target tabs. Source checked against the casper@astramed.sg Winmail Sent folder on 29 Sep 2026. Human diagnostics outreach is tracked in CHISON_Market_Development_Target_List_v6.xlsx.</t>
        </is>
      </c>
    </row>
    <row r="3"/>
    <row r="4" ht="32" customHeight="1" s="114">
      <c r="A4" s="133" t="inlineStr">
        <is>
          <t>Market</t>
        </is>
      </c>
      <c r="B4" s="133" t="inlineStr">
        <is>
          <t>Channel</t>
        </is>
      </c>
      <c r="C4" s="133" t="inlineStr">
        <is>
          <t>Targets on list</t>
        </is>
      </c>
      <c r="D4" s="133" t="inlineStr">
        <is>
          <t>Emails sent</t>
        </is>
      </c>
      <c r="E4" s="133" t="inlineStr">
        <is>
          <t>Delivered</t>
        </is>
      </c>
      <c r="F4" s="133" t="inlineStr">
        <is>
          <t>Bounced</t>
        </is>
      </c>
      <c r="G4" s="133" t="inlineStr">
        <is>
          <t>Replied</t>
        </is>
      </c>
      <c r="H4" s="133" t="inlineStr">
        <is>
          <t>Auto reply / no reply yet</t>
        </is>
      </c>
      <c r="I4" s="133" t="inlineStr">
        <is>
          <t>Follow up due by</t>
        </is>
      </c>
      <c r="J4" s="133" t="inlineStr">
        <is>
          <t>Still to email</t>
        </is>
      </c>
      <c r="K4" s="133" t="inlineStr">
        <is>
          <t>% of list emailed</t>
        </is>
      </c>
      <c r="L4" s="133" t="inlineStr">
        <is>
          <t>Target tab</t>
        </is>
      </c>
    </row>
    <row r="5">
      <c r="A5" s="134" t="inlineStr">
        <is>
          <t>Singapore</t>
        </is>
      </c>
      <c r="B5" s="134" t="inlineStr">
        <is>
          <t>Dealer</t>
        </is>
      </c>
      <c r="C5" s="135">
        <f>COUNTA('Singapore Dealers'!D5:D8)</f>
        <v/>
      </c>
      <c r="D5" s="135">
        <f>COUNTIFS('Outreach Log'!C:C,A5,'Outreach Log'!N:N,B5)</f>
        <v/>
      </c>
      <c r="E5" s="135">
        <f>D5-F5</f>
        <v/>
      </c>
      <c r="F5" s="135">
        <f>COUNTIFS('Outreach Log'!C:C,A5,'Outreach Log'!N:N,B5,'Outreach Log'!L:L,"Bounced")</f>
        <v/>
      </c>
      <c r="G5" s="135">
        <f>COUNTIFS('Outreach Log'!C:C,A5,'Outreach Log'!N:N,B5,'Outreach Log'!L:L,"Yes")</f>
        <v/>
      </c>
      <c r="H5" s="135">
        <f>COUNTIFS('Outreach Log'!C:C,A5,'Outreach Log'!N:N,B5,'Outreach Log'!L:L,"No")+COUNTIFS('Outreach Log'!C:C,A5,'Outreach Log'!N:N,B5,'Outreach Log'!L:L,"Out of office")</f>
        <v/>
      </c>
      <c r="I5" s="136">
        <f>IF(H5=0,"",_xlfn.MINIFS('Outreach Log'!K:K,'Outreach Log'!C:C,A5,'Outreach Log'!N:N,B5,'Outreach Log'!L:L,"No"))</f>
        <v/>
      </c>
      <c r="J5" s="135">
        <f>MAX(C5-D5,0)</f>
        <v/>
      </c>
      <c r="K5" s="137">
        <f>IF(C5=0,0,D5/C5)</f>
        <v/>
      </c>
      <c r="L5" s="134" t="inlineStr">
        <is>
          <t>Singapore Dealers</t>
        </is>
      </c>
    </row>
    <row r="6">
      <c r="A6" s="138" t="inlineStr">
        <is>
          <t>Singapore</t>
        </is>
      </c>
      <c r="B6" s="138" t="inlineStr">
        <is>
          <t>End user</t>
        </is>
      </c>
      <c r="C6" s="139">
        <f>COUNTA('Singapore End Users'!D5:D78)</f>
        <v/>
      </c>
      <c r="D6" s="139">
        <f>COUNTIFS('Outreach Log'!C:C,A6,'Outreach Log'!N:N,B6)</f>
        <v/>
      </c>
      <c r="E6" s="139">
        <f>D6-F6</f>
        <v/>
      </c>
      <c r="F6" s="139">
        <f>COUNTIFS('Outreach Log'!C:C,A6,'Outreach Log'!N:N,B6,'Outreach Log'!L:L,"Bounced")</f>
        <v/>
      </c>
      <c r="G6" s="139">
        <f>COUNTIFS('Outreach Log'!C:C,A6,'Outreach Log'!N:N,B6,'Outreach Log'!L:L,"Yes")</f>
        <v/>
      </c>
      <c r="H6" s="139">
        <f>COUNTIFS('Outreach Log'!C:C,A6,'Outreach Log'!N:N,B6,'Outreach Log'!L:L,"No")+COUNTIFS('Outreach Log'!C:C,A6,'Outreach Log'!N:N,B6,'Outreach Log'!L:L,"Out of office")</f>
        <v/>
      </c>
      <c r="I6" s="140">
        <f>IF(H6=0,"",_xlfn.MINIFS('Outreach Log'!K:K,'Outreach Log'!C:C,A6,'Outreach Log'!N:N,B6,'Outreach Log'!L:L,"No"))</f>
        <v/>
      </c>
      <c r="J6" s="139">
        <f>MAX(C6-D6,0)</f>
        <v/>
      </c>
      <c r="K6" s="141">
        <f>IF(C6=0,0,D6/C6)</f>
        <v/>
      </c>
      <c r="L6" s="138" t="inlineStr">
        <is>
          <t>Singapore End Users</t>
        </is>
      </c>
    </row>
    <row r="7">
      <c r="A7" s="134" t="inlineStr">
        <is>
          <t>Taiwan</t>
        </is>
      </c>
      <c r="B7" s="134" t="inlineStr">
        <is>
          <t>Dealer</t>
        </is>
      </c>
      <c r="C7" s="135">
        <f>COUNTA('Taiwan Dealers'!D5:D30)</f>
        <v/>
      </c>
      <c r="D7" s="135">
        <f>COUNTIFS('Outreach Log'!C:C,A7,'Outreach Log'!N:N,B7)</f>
        <v/>
      </c>
      <c r="E7" s="135">
        <f>D7-F7</f>
        <v/>
      </c>
      <c r="F7" s="135">
        <f>COUNTIFS('Outreach Log'!C:C,A7,'Outreach Log'!N:N,B7,'Outreach Log'!L:L,"Bounced")</f>
        <v/>
      </c>
      <c r="G7" s="135">
        <f>COUNTIFS('Outreach Log'!C:C,A7,'Outreach Log'!N:N,B7,'Outreach Log'!L:L,"Yes")</f>
        <v/>
      </c>
      <c r="H7" s="135">
        <f>COUNTIFS('Outreach Log'!C:C,A7,'Outreach Log'!N:N,B7,'Outreach Log'!L:L,"No")+COUNTIFS('Outreach Log'!C:C,A7,'Outreach Log'!N:N,B7,'Outreach Log'!L:L,"Out of office")</f>
        <v/>
      </c>
      <c r="I7" s="136">
        <f>IF(H7=0,"",_xlfn.MINIFS('Outreach Log'!K:K,'Outreach Log'!C:C,A7,'Outreach Log'!N:N,B7,'Outreach Log'!L:L,"No"))</f>
        <v/>
      </c>
      <c r="J7" s="135">
        <f>MAX(C7-D7,0)</f>
        <v/>
      </c>
      <c r="K7" s="137">
        <f>IF(C7=0,0,D7/C7)</f>
        <v/>
      </c>
      <c r="L7" s="134" t="inlineStr">
        <is>
          <t>Taiwan Dealers</t>
        </is>
      </c>
    </row>
    <row r="8">
      <c r="A8" s="138" t="inlineStr">
        <is>
          <t>Taiwan</t>
        </is>
      </c>
      <c r="B8" s="138" t="inlineStr">
        <is>
          <t>End user</t>
        </is>
      </c>
      <c r="C8" s="139">
        <f>COUNTA('Taiwan End Users &amp; KOL'!D5:D51)</f>
        <v/>
      </c>
      <c r="D8" s="139">
        <f>COUNTIFS('Outreach Log'!C:C,A8,'Outreach Log'!N:N,B8)</f>
        <v/>
      </c>
      <c r="E8" s="139">
        <f>D8-F8</f>
        <v/>
      </c>
      <c r="F8" s="139">
        <f>COUNTIFS('Outreach Log'!C:C,A8,'Outreach Log'!N:N,B8,'Outreach Log'!L:L,"Bounced")</f>
        <v/>
      </c>
      <c r="G8" s="139">
        <f>COUNTIFS('Outreach Log'!C:C,A8,'Outreach Log'!N:N,B8,'Outreach Log'!L:L,"Yes")</f>
        <v/>
      </c>
      <c r="H8" s="139">
        <f>COUNTIFS('Outreach Log'!C:C,A8,'Outreach Log'!N:N,B8,'Outreach Log'!L:L,"No")+COUNTIFS('Outreach Log'!C:C,A8,'Outreach Log'!N:N,B8,'Outreach Log'!L:L,"Out of office")</f>
        <v/>
      </c>
      <c r="I8" s="140">
        <f>IF(H8=0,"",_xlfn.MINIFS('Outreach Log'!K:K,'Outreach Log'!C:C,A8,'Outreach Log'!N:N,B8,'Outreach Log'!L:L,"No"))</f>
        <v/>
      </c>
      <c r="J8" s="139">
        <f>MAX(C8-D8,0)</f>
        <v/>
      </c>
      <c r="K8" s="141">
        <f>IF(C8=0,0,D8/C8)</f>
        <v/>
      </c>
      <c r="L8" s="138" t="inlineStr">
        <is>
          <t>Taiwan End Users &amp; KOL</t>
        </is>
      </c>
    </row>
    <row r="9">
      <c r="A9" s="134" t="inlineStr">
        <is>
          <t>South Korea</t>
        </is>
      </c>
      <c r="B9" s="134" t="inlineStr">
        <is>
          <t>Dealer</t>
        </is>
      </c>
      <c r="C9" s="135">
        <f>COUNTA('Korea Dealers'!D5:D36)</f>
        <v/>
      </c>
      <c r="D9" s="135">
        <f>COUNTIFS('Outreach Log'!C:C,A9,'Outreach Log'!N:N,B9)</f>
        <v/>
      </c>
      <c r="E9" s="135">
        <f>D9-F9</f>
        <v/>
      </c>
      <c r="F9" s="135">
        <f>COUNTIFS('Outreach Log'!C:C,A9,'Outreach Log'!N:N,B9,'Outreach Log'!L:L,"Bounced")</f>
        <v/>
      </c>
      <c r="G9" s="135">
        <f>COUNTIFS('Outreach Log'!C:C,A9,'Outreach Log'!N:N,B9,'Outreach Log'!L:L,"Yes")</f>
        <v/>
      </c>
      <c r="H9" s="135">
        <f>COUNTIFS('Outreach Log'!C:C,A9,'Outreach Log'!N:N,B9,'Outreach Log'!L:L,"No")+COUNTIFS('Outreach Log'!C:C,A9,'Outreach Log'!N:N,B9,'Outreach Log'!L:L,"Out of office")</f>
        <v/>
      </c>
      <c r="I9" s="136">
        <f>IF(H9=0,"",_xlfn.MINIFS('Outreach Log'!K:K,'Outreach Log'!C:C,A9,'Outreach Log'!N:N,B9,'Outreach Log'!L:L,"No"))</f>
        <v/>
      </c>
      <c r="J9" s="135">
        <f>MAX(C9-D9,0)</f>
        <v/>
      </c>
      <c r="K9" s="137">
        <f>IF(C9=0,0,D9/C9)</f>
        <v/>
      </c>
      <c r="L9" s="134" t="inlineStr">
        <is>
          <t>Korea Dealers</t>
        </is>
      </c>
    </row>
    <row r="10">
      <c r="A10" s="138" t="inlineStr">
        <is>
          <t>South Korea</t>
        </is>
      </c>
      <c r="B10" s="138" t="inlineStr">
        <is>
          <t>End user</t>
        </is>
      </c>
      <c r="C10" s="139">
        <f>COUNTA('Korea End Users &amp; KOL'!D5:D30)</f>
        <v/>
      </c>
      <c r="D10" s="139">
        <f>COUNTIFS('Outreach Log'!C:C,A10,'Outreach Log'!N:N,B10)</f>
        <v/>
      </c>
      <c r="E10" s="139">
        <f>D10-F10</f>
        <v/>
      </c>
      <c r="F10" s="139">
        <f>COUNTIFS('Outreach Log'!C:C,A10,'Outreach Log'!N:N,B10,'Outreach Log'!L:L,"Bounced")</f>
        <v/>
      </c>
      <c r="G10" s="139">
        <f>COUNTIFS('Outreach Log'!C:C,A10,'Outreach Log'!N:N,B10,'Outreach Log'!L:L,"Yes")</f>
        <v/>
      </c>
      <c r="H10" s="139">
        <f>COUNTIFS('Outreach Log'!C:C,A10,'Outreach Log'!N:N,B10,'Outreach Log'!L:L,"No")+COUNTIFS('Outreach Log'!C:C,A10,'Outreach Log'!N:N,B10,'Outreach Log'!L:L,"Out of office")</f>
        <v/>
      </c>
      <c r="I10" s="140">
        <f>IF(H10=0,"",_xlfn.MINIFS('Outreach Log'!K:K,'Outreach Log'!C:C,A10,'Outreach Log'!N:N,B10,'Outreach Log'!L:L,"No"))</f>
        <v/>
      </c>
      <c r="J10" s="139">
        <f>MAX(C10-D10,0)</f>
        <v/>
      </c>
      <c r="K10" s="141">
        <f>IF(C10=0,0,D10/C10)</f>
        <v/>
      </c>
      <c r="L10" s="138" t="inlineStr">
        <is>
          <t>Korea End Users &amp; KOL</t>
        </is>
      </c>
    </row>
    <row r="11">
      <c r="A11" s="134" t="inlineStr">
        <is>
          <t>Japan</t>
        </is>
      </c>
      <c r="B11" s="134" t="inlineStr">
        <is>
          <t>Dealer</t>
        </is>
      </c>
      <c r="C11" s="135">
        <f>COUNTA('Japan Dealers'!D5:D48)</f>
        <v/>
      </c>
      <c r="D11" s="135">
        <f>COUNTIFS('Outreach Log'!C:C,A11,'Outreach Log'!N:N,B11)</f>
        <v/>
      </c>
      <c r="E11" s="135">
        <f>D11-F11</f>
        <v/>
      </c>
      <c r="F11" s="135">
        <f>COUNTIFS('Outreach Log'!C:C,A11,'Outreach Log'!N:N,B11,'Outreach Log'!L:L,"Bounced")</f>
        <v/>
      </c>
      <c r="G11" s="135">
        <f>COUNTIFS('Outreach Log'!C:C,A11,'Outreach Log'!N:N,B11,'Outreach Log'!L:L,"Yes")</f>
        <v/>
      </c>
      <c r="H11" s="135">
        <f>COUNTIFS('Outreach Log'!C:C,A11,'Outreach Log'!N:N,B11,'Outreach Log'!L:L,"No")+COUNTIFS('Outreach Log'!C:C,A11,'Outreach Log'!N:N,B11,'Outreach Log'!L:L,"Out of office")</f>
        <v/>
      </c>
      <c r="I11" s="136">
        <f>IF(H11=0,"",_xlfn.MINIFS('Outreach Log'!K:K,'Outreach Log'!C:C,A11,'Outreach Log'!N:N,B11,'Outreach Log'!L:L,"No"))</f>
        <v/>
      </c>
      <c r="J11" s="135">
        <f>MAX(C11-D11,0)</f>
        <v/>
      </c>
      <c r="K11" s="137">
        <f>IF(C11=0,0,D11/C11)</f>
        <v/>
      </c>
      <c r="L11" s="134" t="inlineStr">
        <is>
          <t>Japan Dealers</t>
        </is>
      </c>
    </row>
    <row r="12">
      <c r="A12" s="138" t="inlineStr">
        <is>
          <t>Japan</t>
        </is>
      </c>
      <c r="B12" s="138" t="inlineStr">
        <is>
          <t>End user</t>
        </is>
      </c>
      <c r="C12" s="139">
        <f>COUNTA('Japan End Users &amp; KOL'!D5:D32)</f>
        <v/>
      </c>
      <c r="D12" s="139">
        <f>COUNTIFS('Outreach Log'!C:C,A12,'Outreach Log'!N:N,B12)</f>
        <v/>
      </c>
      <c r="E12" s="139">
        <f>D12-F12</f>
        <v/>
      </c>
      <c r="F12" s="139">
        <f>COUNTIFS('Outreach Log'!C:C,A12,'Outreach Log'!N:N,B12,'Outreach Log'!L:L,"Bounced")</f>
        <v/>
      </c>
      <c r="G12" s="139">
        <f>COUNTIFS('Outreach Log'!C:C,A12,'Outreach Log'!N:N,B12,'Outreach Log'!L:L,"Yes")</f>
        <v/>
      </c>
      <c r="H12" s="139">
        <f>COUNTIFS('Outreach Log'!C:C,A12,'Outreach Log'!N:N,B12,'Outreach Log'!L:L,"No")+COUNTIFS('Outreach Log'!C:C,A12,'Outreach Log'!N:N,B12,'Outreach Log'!L:L,"Out of office")</f>
        <v/>
      </c>
      <c r="I12" s="140">
        <f>IF(H12=0,"",_xlfn.MINIFS('Outreach Log'!K:K,'Outreach Log'!C:C,A12,'Outreach Log'!N:N,B12,'Outreach Log'!L:L,"No"))</f>
        <v/>
      </c>
      <c r="J12" s="139">
        <f>MAX(C12-D12,0)</f>
        <v/>
      </c>
      <c r="K12" s="141">
        <f>IF(C12=0,0,D12/C12)</f>
        <v/>
      </c>
      <c r="L12" s="138" t="inlineStr">
        <is>
          <t>Japan End Users &amp; KOL</t>
        </is>
      </c>
    </row>
    <row r="13">
      <c r="A13" s="142" t="inlineStr">
        <is>
          <t>TOTAL VET</t>
        </is>
      </c>
      <c r="B13" s="142" t="n"/>
      <c r="C13" s="143">
        <f>SUM(C5:C12)</f>
        <v/>
      </c>
      <c r="D13" s="143">
        <f>SUM(D5:D12)</f>
        <v/>
      </c>
      <c r="E13" s="143">
        <f>SUM(E5:E12)</f>
        <v/>
      </c>
      <c r="F13" s="143">
        <f>SUM(F5:F12)</f>
        <v/>
      </c>
      <c r="G13" s="143">
        <f>SUM(G5:G12)</f>
        <v/>
      </c>
      <c r="H13" s="143">
        <f>SUM(H5:H12)</f>
        <v/>
      </c>
      <c r="I13" s="144">
        <f>MIN(I5:I12)</f>
        <v/>
      </c>
      <c r="J13" s="143">
        <f>SUM(J5:J12)</f>
        <v/>
      </c>
      <c r="K13" s="145">
        <f>IF(C13=0,0,D13/C13)</f>
        <v/>
      </c>
      <c r="L13" s="142" t="n"/>
    </row>
    <row r="14"/>
    <row r="15">
      <c r="A15" s="146" t="inlineStr">
        <is>
          <t>BY MARKET, DEALERS AND END USERS COMBINED</t>
        </is>
      </c>
    </row>
    <row r="16">
      <c r="A16" s="133" t="inlineStr">
        <is>
          <t>Market</t>
        </is>
      </c>
      <c r="B16" s="133" t="inlineStr">
        <is>
          <t>Emails sent</t>
        </is>
      </c>
      <c r="C16" s="133" t="inlineStr">
        <is>
          <t>Bounced</t>
        </is>
      </c>
      <c r="D16" s="133" t="inlineStr">
        <is>
          <t>Replied</t>
        </is>
      </c>
      <c r="E16" s="133" t="inlineStr">
        <is>
          <t>Still to email</t>
        </is>
      </c>
    </row>
    <row r="17">
      <c r="A17" s="147" t="inlineStr">
        <is>
          <t>Singapore</t>
        </is>
      </c>
      <c r="B17" s="148">
        <f>SUMIF(A$5:A$12,A17,D$5:D$12)</f>
        <v/>
      </c>
      <c r="C17" s="148">
        <f>SUMIF(A$5:A$12,A17,F$5:F$12)</f>
        <v/>
      </c>
      <c r="D17" s="148">
        <f>SUMIF(A$5:A$12,A17,G$5:G$12)</f>
        <v/>
      </c>
      <c r="E17" s="148">
        <f>SUMIF(A$5:A$12,A17,J$5:J$12)</f>
        <v/>
      </c>
    </row>
    <row r="18">
      <c r="A18" s="147" t="inlineStr">
        <is>
          <t>Taiwan</t>
        </is>
      </c>
      <c r="B18" s="148">
        <f>SUMIF(A$5:A$12,A18,D$5:D$12)</f>
        <v/>
      </c>
      <c r="C18" s="148">
        <f>SUMIF(A$5:A$12,A18,F$5:F$12)</f>
        <v/>
      </c>
      <c r="D18" s="148">
        <f>SUMIF(A$5:A$12,A18,G$5:G$12)</f>
        <v/>
      </c>
      <c r="E18" s="148">
        <f>SUMIF(A$5:A$12,A18,J$5:J$12)</f>
        <v/>
      </c>
    </row>
    <row r="19">
      <c r="A19" s="147" t="inlineStr">
        <is>
          <t>South Korea</t>
        </is>
      </c>
      <c r="B19" s="148">
        <f>SUMIF(A$5:A$12,A19,D$5:D$12)</f>
        <v/>
      </c>
      <c r="C19" s="148">
        <f>SUMIF(A$5:A$12,A19,F$5:F$12)</f>
        <v/>
      </c>
      <c r="D19" s="148">
        <f>SUMIF(A$5:A$12,A19,G$5:G$12)</f>
        <v/>
      </c>
      <c r="E19" s="148">
        <f>SUMIF(A$5:A$12,A19,J$5:J$12)</f>
        <v/>
      </c>
    </row>
    <row r="20">
      <c r="A20" s="147" t="inlineStr">
        <is>
          <t>Japan</t>
        </is>
      </c>
      <c r="B20" s="148">
        <f>SUMIF(A$5:A$12,A20,D$5:D$12)</f>
        <v/>
      </c>
      <c r="C20" s="148">
        <f>SUMIF(A$5:A$12,A20,F$5:F$12)</f>
        <v/>
      </c>
      <c r="D20" s="148">
        <f>SUMIF(A$5:A$12,A20,G$5:G$12)</f>
        <v/>
      </c>
      <c r="E20" s="148">
        <f>SUMIF(A$5:A$12,A20,J$5:J$12)</f>
        <v/>
      </c>
    </row>
    <row r="21"/>
    <row r="22">
      <c r="A22" s="149" t="inlineStr">
        <is>
          <t>NOTES FROM THE SENT FOLDER CHECK (29 Sep 2026)</t>
        </is>
      </c>
    </row>
    <row r="23">
      <c r="A23" s="150" t="inlineStr">
        <is>
          <t>1. 45 prospects emailed, all on 28 Sep 2026: Korea 5 dealers, Taiwan 8 dealers, Singapore 3 dealers and 29 Singapore end user clinics. Japan: none yet.</t>
        </is>
      </c>
    </row>
    <row r="24">
      <c r="A24" s="150" t="inlineStr">
        <is>
          <t>2. Bounced (4): The Animal Doctors, The Veterinary Clinic, Animal World Veterinary Clinic, Spring Veterinary Care. Phone numbers for a working email are on the Singapore End Users tab.</t>
        </is>
      </c>
    </row>
    <row r="25">
      <c r="A25" s="150" t="inlineStr">
        <is>
          <t>3. Real reply (1): AAVC asked for price; you replied on 29 Sep proposing a meeting in Yishun.</t>
        </is>
      </c>
    </row>
    <row r="26">
      <c r="A26" s="150" t="inlineStr">
        <is>
          <t>4. Auto replies (3): Amber Vet, Vet Central, Pets Avenue. Pets Avenue has moved to hello@petsavenuevet.com.</t>
        </is>
      </c>
    </row>
    <row r="27">
      <c r="A27" s="150" t="inlineStr">
        <is>
          <t>5. Sent twice: JPI Healthcare (Korea) and Amber Vet (Singapore). Counted once here.</t>
        </is>
      </c>
    </row>
    <row r="28">
      <c r="A28" s="150" t="inlineStr">
        <is>
          <t>6. Corrected: Animal Practice Pte Ltd was marked Contacted but no email to it is in the Sent folder. Reset to Not started.</t>
        </is>
      </c>
    </row>
    <row r="29">
      <c r="A29" s="150" t="inlineStr">
        <is>
          <t>7. Human diagnostics: no dealer or end user emails sent yet.</t>
        </is>
      </c>
    </row>
  </sheetData>
  <mergeCells count="9">
    <mergeCell ref="A26:L26"/>
    <mergeCell ref="A24:L24"/>
    <mergeCell ref="A2:L2"/>
    <mergeCell ref="A29:L29"/>
    <mergeCell ref="A25:L25"/>
    <mergeCell ref="A28:L28"/>
    <mergeCell ref="A23:L23"/>
    <mergeCell ref="A22:L22"/>
    <mergeCell ref="A27:L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5"/>
  <sheetViews>
    <sheetView tabSelected="1" topLeftCell="U1" zoomScaleNormal="100" workbookViewId="0">
      <pane ySplit="4" topLeftCell="A5" activePane="bottomLeft" state="frozen"/>
      <selection pane="bottomLeft" activeCell="W5" sqref="W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JAPAN — VETERINARY DEALER / DISTRIBUTOR TARGETS</t>
        </is>
      </c>
    </row>
    <row r="2" ht="30" customHeight="1" s="114">
      <c r="A2" s="17" t="inlineStr">
        <is>
          <t>Dealer model. Two columns at the far right hold a ready-to-send email for each company. Japan requires CHISON foreign-manufacturer registration with MAFF, a Japanese marketing authorisation holder and an NVAL marketing notification before any quote or order — note that Arrow Medical, KIRIKAN and Medical Space all hold veterinary device marketing-authorisation licences of their own, which is why they rank where they do.</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v>
      </c>
      <c r="B5" s="41" t="inlineStr">
        <is>
          <t>アローメディカル株式会社</t>
        </is>
      </c>
      <c r="C5" s="113" t="inlineStr">
        <is>
          <t>Arrow Medical Co., Ltd.</t>
        </is>
      </c>
      <c r="D5" s="42" t="inlineStr">
        <is>
          <t>Not started</t>
        </is>
      </c>
      <c r="E5" s="43" t="n"/>
      <c r="F5" s="44" t="n"/>
      <c r="G5" s="45" t="n"/>
      <c r="H5" s="46" t="inlineStr">
        <is>
          <t>Yokohama-based veterinary trading house founded 1978, selling nationwide to small-animal clinics. Sole Japan agent for Welch Allyn veterinary diagnostic instruments — otoscopes, ophthalmoscopes, laryngoscopes, thermometers, stethoscopes, exam lighting — plus supplements. Runs the 'WAO' clinic-opening support programme and has been involved in over a thousand new-clinic and refurbishment projects, and exhibits at JSVAS. RELEVANCE: they write the equipment list at the exact moment a vet is deciding what to buy, and there is no ultrasound anywhere in their published range — so a handheld is pure additional margin with zero channel conflict.</t>
        </is>
      </c>
      <c r="I5" s="113" t="inlineStr">
        <is>
          <t>Veterinary total trading house. Sole Japan agent for Welch Allyn veterinary diagnostic instruments; otoscopes, ophthalmoscopes, laryngoscopes, thermometers, stethoscopes, exam lighting, supplements. Runs the 'WAO' clinic-opening support programme and Japan's first vet-dedicated showroom (AMCC).</t>
        </is>
      </c>
      <c r="J5" s="113" t="inlineStr">
        <is>
          <t>NO — none visible in the published product line</t>
        </is>
      </c>
      <c r="K5" s="46" t="inlineStr">
        <is>
          <t>Nationwide; founded 1978</t>
        </is>
      </c>
      <c r="L5" s="47" t="inlineStr">
        <is>
          <t>https://www.arrowmedical.co.jp</t>
        </is>
      </c>
      <c r="M5" s="113" t="inlineStr">
        <is>
          <t>TEL 045-481-7471 · FAX 045-481-7554</t>
        </is>
      </c>
      <c r="N5" s="113" t="inlineStr">
        <is>
          <t>mail@arrowmedical.co.jp</t>
        </is>
      </c>
      <c r="O5" s="41" t="inlineStr">
        <is>
          <t>〒221-0865 横浜市神奈川区片倉4-7-28 (CEO 矢野修二)</t>
        </is>
      </c>
      <c r="P5" s="113" t="inlineStr">
        <is>
          <t>A — VERIFIED DIRECT (phone + email off company profile page)</t>
        </is>
      </c>
      <c r="Q5" s="113" t="inlineStr">
        <is>
          <t>The single cleanest recruit in Japan. Deep small-animal clinic access, zero ultrasound conflict, and 1,000+ new-clinic / rebuild projects means they specify the whole equipment list at the moment a vet is deciding. A handheld is the natural first scanner in an opening package. Exhibits at JSVAS, so there is a neutral place to meet. DECISIVE NEW FACT: they hold a Class-3 veterinary device MARKETING AUTHORISATION licence (第三種動物用医療機器製造販売業), a veterinary device MANUFACTURING licence, a veterinary device REPAIR licence and a veterinary drug wholesale licence. That means they could plausibly act as the Japanese marketing authorisation holder rather than merely resell — which is the single biggest obstacle on the Japan gating list. They sell to roughly 3,000 practising vets plus Azabu University, Yamazaki Gakuen and the Yokohama, Kanazawa and Nogeyama zoos.</t>
        </is>
      </c>
      <c r="R5" s="113" t="inlineStr">
        <is>
          <t>SonoEye P3 VET (opening package) + EBit 50 VET</t>
        </is>
      </c>
      <c r="S5" s="48" t="inlineStr">
        <is>
          <t>TIER 1</t>
        </is>
      </c>
      <c r="T5" s="49" t="inlineStr">
        <is>
          <t>HIGH — appoint-grade. No competing ultrasound line, and they already specify full equipment lists.</t>
        </is>
      </c>
      <c r="U5" s="113" t="inlineStr">
        <is>
          <t>A</t>
        </is>
      </c>
      <c r="V5" s="113" t="inlineStr">
        <is>
          <t>Verified — company profile page fetched 4 Aug 2026</t>
        </is>
      </c>
      <c r="W5" s="50" t="inlineStr">
        <is>
          <t>Arrow Medical Co., Ltd.: a first scanner for the clinics you equip</t>
        </is>
      </c>
      <c r="X5" s="50" t="inlineStr">
        <is>
          <t>Dear アローメディカル株式会社 (Arrow Medical Co., Ltd.) team,
My name is Casper Tan, Senior Regional Sales Manager at AstraMed Healthcare, a subsidiary of CHISON Medical Technologies. I cover Japan, South Korea, Taiwan and Singapore for CHISON veterinary ultrasound. I am writing to Arrow Medical Co., Ltd. specifically, not to a list. You have supported more than a thousand clinic openings and rebuilds since 1978, you sell to around three thousand practising veterinarians, and, the part that made me write, you hold a Class-3 veterinary device marketing authorisation, a manufacturing licence and a repair licence. Very few companies in Japan could both carry our line and hold the authorisation for it.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Japan and would rather build one than sell around one.
The product I would put in front of you first is the SonoEye P3 VET (opening package) and EBit 50 VET.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6" ht="165" customHeight="1" s="114">
      <c r="A6" s="113" t="n">
        <v>2</v>
      </c>
      <c r="B6" s="41" t="inlineStr">
        <is>
          <t>ムナテックス株式会社</t>
        </is>
      </c>
      <c r="C6" s="113" t="inlineStr">
        <is>
          <t>MUNATEX Corporation</t>
        </is>
      </c>
      <c r="D6" s="42" t="inlineStr">
        <is>
          <t>Not started</t>
        </is>
      </c>
      <c r="E6" s="43" t="n"/>
      <c r="F6" s="44" t="n"/>
      <c r="G6" s="45" t="n"/>
      <c r="H6" s="46" t="inlineStr">
        <is>
          <t>Nationwide veterinary total trading company carrying everything from disposables and injection needles up to advanced imaging equipment, with an animal-hospital opening-support arm. RELEVANCE: the disposables business puts their rep inside every clinic on a weekly cycle, which is the cheapest demo route that exists for a pocket scanner, and the opening-support arm gives them first-fit influence. Confirm on the first call whether any ultrasound already sits in the imaging range.</t>
        </is>
      </c>
      <c r="I6" s="113" t="inlineStr">
        <is>
          <t>Veterinary total trading company: disposables and injection needles through to advanced imaging equipment; animal-hospital opening support service.</t>
        </is>
      </c>
      <c r="J6" s="113" t="inlineStr">
        <is>
          <t>NO · none in the 11 published categories (X-ray, CR and DR are listed)</t>
        </is>
      </c>
      <c r="K6" s="46" t="inlineStr">
        <is>
          <t>Japan, nationwide</t>
        </is>
      </c>
      <c r="L6" s="108" t="inlineStr">
        <is>
          <t>https://munatex.com/products/</t>
        </is>
      </c>
      <c r="M6" s="113" t="inlineStr">
        <is>
          <t>TEL 049-256-3611 · FAX 049-256-3612 · order FAX 0120-279717 (weekdays 09:00 to 17:30)</t>
        </is>
      </c>
      <c r="N6" s="113" t="inlineStr">
        <is>
          <t>Not published; enquiry via munatex.com</t>
        </is>
      </c>
      <c r="O6" s="113" t="inlineStr">
        <is>
          <t>〒356-0050 埼玉県ふじみ野市ふじみ野4-9-12</t>
        </is>
      </c>
      <c r="P6" s="113" t="inlineStr">
        <is>
          <t>A · VERIFIED DIRECT (phone and fax off the products page, opened 27 Sep 2026)</t>
        </is>
      </c>
      <c r="Q6" s="113" t="inlineStr">
        <is>
          <t>v11 CHECK: products page opened 27 Sep 2026 lists X-ray, CR and DR but no ultrasound, so archetype F applies. Full-range vet trading house with an opening-support arm — same structural fit as Arrow Medical and a good second horse in the same race. Their disposables business gives them weekly contact with every clinic, which is the cheapest possible demo route for a handheld.</t>
        </is>
      </c>
      <c r="R6" s="113" t="inlineStr">
        <is>
          <t>SonoGO VET + SonoEye P3 VET</t>
        </is>
      </c>
      <c r="S6" s="48" t="inlineStr">
        <is>
          <t>TIER 1</t>
        </is>
      </c>
      <c r="T6" s="49" t="inlineStr">
        <is>
          <t>HIGH — same structural fit as Arrow Medical; a sound second horse in the same race.</t>
        </is>
      </c>
      <c r="U6" s="113" t="inlineStr">
        <is>
          <t>A</t>
        </is>
      </c>
      <c r="V6" s="113" t="inlineStr">
        <is>
          <t>Verified 27 Sep 2026 · products page fetched</t>
        </is>
      </c>
      <c r="W6" s="50" t="inlineStr">
        <is>
          <t>MUNATEX Corporation: a first scanner for the clinics you equip</t>
        </is>
      </c>
      <c r="X6" s="50" t="inlineStr">
        <is>
          <t>Dear ムナテックス株式会社 (MUNATEX Corporation) team,
My name is Casper Tan, Senior Regional Sales Manager at AstraMed Healthcare, a subsidiary of CHISON Medical Technologies. I cover Japan, South Korea, Taiwan and Singapore for CHISON veterinary ultrasound. I am writing to MUNATEX Corporation specifically, not to a list. You cover animal hospitals from disposables right through to advanced imaging, and you run an opening-support arm alongside it. That combination, daily contact through consumables plus involvement at the moment a clinic specifies its equipment, is exactly where a first scanner gets chosen.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Japan and would rather build one than sell around one.
The product I would put in front of you first is the SonoGO VET and SonoEye P3 VET.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7" ht="165" customHeight="1" s="114">
      <c r="A7" s="113" t="n">
        <v>3</v>
      </c>
      <c r="B7" s="41" t="inlineStr">
        <is>
          <t>株式会社キリカン洋行</t>
        </is>
      </c>
      <c r="C7" s="113" t="inlineStr">
        <is>
          <t>KIRIKAN Ltd.</t>
        </is>
      </c>
      <c r="D7" s="42" t="inlineStr">
        <is>
          <t>Not started</t>
        </is>
      </c>
      <c r="E7" s="43" t="n"/>
      <c r="F7" s="44" t="n"/>
      <c r="G7" s="45" t="n"/>
      <c r="H7" s="46" t="inlineStr">
        <is>
          <t>Tokyo import trading house founded 1973 for small-animal pharmaceuticals, devices and materials. Line card includes ALSA (Italy) electrosurgery, Integra LifeSciences surgical instruments, and Ortho Medical (Germany) and INTRAUMA (Italy) orthopaedic implants. RELEVANCE: importing foreign medical brands is their core competence, so the manufacturer file and the regulatory legwork are routine for them. A handheld sells into a conversation they are already having — vascular access, nerve block, peri-operative FAST — rather than competing with anything on the shelf.</t>
        </is>
      </c>
      <c r="I7" s="113" t="inlineStr">
        <is>
          <t>Import trading house founded 1973 for small-animal pharmaceuticals, devices and materials. Line card: ALSA (Italy) electrosurgery ADC140/ADC200SP, Integra LifeSciences surgical instruments, Ortho Medical (Germany) and INTRAUMA (Italy) orthopaedic implants, Nolvasan, Malaseb.</t>
        </is>
      </c>
      <c r="J7" s="113" t="inlineStr">
        <is>
          <t>NO — surgical, orthopaedic and materials only</t>
        </is>
      </c>
      <c r="K7" s="46" t="inlineStr">
        <is>
          <t>Tokyo HQ; national</t>
        </is>
      </c>
      <c r="L7" s="47" t="inlineStr">
        <is>
          <t>https://www.kirikan.com · onlinestore.kirikan.com</t>
        </is>
      </c>
      <c r="M7" s="113" t="inlineStr">
        <is>
          <t>Not published on the site — call switchboard via site</t>
        </is>
      </c>
      <c r="N7" s="113" t="inlineStr">
        <is>
          <t>Not published — enquiry via onlinestore.kirikan.com</t>
        </is>
      </c>
      <c r="O7" s="41" t="inlineStr">
        <is>
          <t>〒108-0075 東京都港区港南5-4-12 横浜倉庫7F (CEO 村松慶一)</t>
        </is>
      </c>
      <c r="P7" s="113" t="inlineStr">
        <is>
          <t>B — VERIFIED PARTIAL (address confirmed; no phone/email published)</t>
        </is>
      </c>
      <c r="Q7" s="113" t="inlineStr">
        <is>
          <t>Surgical and orthopaedic depth with no imaging line at all. A handheld sells into their existing conversation — vascular access, nerve block, peri-operative FAST — rather than competing with anything they already carry. Import trading is their core competence, so a foreign manufacturer file is routine work for them. DECISIVE NEW FACT: they hold a Class-2 veterinary device marketing authorisation licence (第二種動物用医療機器製造販売業) plus veterinary device manufacturing, repair and wholesale licences — so they too could carry the Japanese MAH role. 50+ years importing veterinary product from the US, Italy, Australia, Germany and Austria (Zoetis, Dermcare, alsa, iM3, Integra, Sontec, Intrauma, IMEX, Burton, panno-med), and they sell not only to vets but to other veterinary device WHOLESALERS — a second layer of reach.</t>
        </is>
      </c>
      <c r="R7" s="113" t="inlineStr">
        <is>
          <t>SonoEye P3 VET (peri-op / nerve block) + SonoAir 30 VET</t>
        </is>
      </c>
      <c r="S7" s="48" t="inlineStr">
        <is>
          <t>TIER 1</t>
        </is>
      </c>
      <c r="T7" s="49" t="inlineStr">
        <is>
          <t>HIGH — surgical and orthopaedic depth with no imaging line to defend.</t>
        </is>
      </c>
      <c r="U7" s="113" t="inlineStr">
        <is>
          <t>C</t>
        </is>
      </c>
      <c r="V7" s="113" t="inlineStr">
        <is>
          <t>Verified — company profile page fetched 4 Aug 2026</t>
        </is>
      </c>
      <c r="W7" s="50" t="inlineStr">
        <is>
          <t>KIRIKAN Ltd.: ultrasound guidance for the surgery you already equip</t>
        </is>
      </c>
      <c r="X7" s="50" t="inlineStr">
        <is>
          <t>Dear 株式会社キリカン洋行 (KIRIKAN Ltd.) team,
My name is Casper Tan, Senior Regional Sales Manager at AstraMed Healthcare, a subsidiary of CHISON Medical Technologies. I cover Japan, South Korea, Taiwan and Singapore for CHISON veterinary ultrasound. I am writing to KIRIKAN Ltd. specifically, not to a list. You have spent fifty years importing veterinary product into Japan from Zoetis, Dermcare, alsa, iM3, Integra, Intrauma, IMEX and panno-med, you hold a Class-2 veterinary device marketing authorisation, and you sell not only to veterinarians but to other veterinary device wholesalers. You also have no ultrasound in the line card.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Japan and would rather build one than sell around one.
The product I would put in front of you first is the SonoEye P3 VET (peri-op / nerve block) and SonoAir 30 VET.
Are you open to a short call? I would rather show you the block and the vascular-access demo than describe them.
Best regards,
Casper Tan
Senior Regional Sales Manager
AstraMed Healthcare, a subsidiary of CHISON Medical Technologies
casper@astramed.sg | +65 8719 0121</t>
        </is>
      </c>
    </row>
    <row r="8" ht="165" customHeight="1" s="114">
      <c r="A8" s="113" t="n">
        <v>4</v>
      </c>
      <c r="B8" s="41" t="inlineStr">
        <is>
          <t>ミズホ株式会社（動物医療部門）</t>
        </is>
      </c>
      <c r="C8" s="113" t="inlineStr">
        <is>
          <t>MIZUHO Corporation — Animal Medical Division</t>
        </is>
      </c>
      <c r="D8" s="42" t="inlineStr">
        <is>
          <t>Not started</t>
        </is>
      </c>
      <c r="E8" s="43" t="n"/>
      <c r="F8" s="44" t="n"/>
      <c r="G8" s="45" t="n"/>
      <c r="H8" s="46" t="inlineStr">
        <is>
          <t>Established Japanese manufacturer of human operating-room equipment (OR tables, neurosurgical systems) that runs a dedicated animal medical division selling veterinary operating tables and surgical and orthopaedic instruments. RELEVANCE: the human-OR brand carries real weight with veterinary surgeons, and their customer is precisely the vet who wants peri-operative imaging. Attaching a pocket scanner to an operating-table sale is high-margin and conflicts with nothing they carry.</t>
        </is>
      </c>
      <c r="I8" s="113" t="inlineStr">
        <is>
          <t>Established human operating-room manufacturer (OR tables, neurosurgery) with a dedicated animal-hospital device division: vet operating tables, orthopaedic and general surgical instruments.</t>
        </is>
      </c>
      <c r="J8" s="113" t="inlineStr">
        <is>
          <t>NO</t>
        </is>
      </c>
      <c r="K8" s="46" t="inlineStr">
        <is>
          <t>Tokyo; national</t>
        </is>
      </c>
      <c r="L8" s="47" t="inlineStr">
        <is>
          <t>https://www.mizuho.co.jp/animal/</t>
        </is>
      </c>
      <c r="M8" s="113" t="inlineStr">
        <is>
          <t>TEL 0120-88-7554 (小動物課 / Small Animal Dept — freephone)</t>
        </is>
      </c>
      <c r="N8" s="113" t="inlineStr">
        <is>
          <t>Not published — catalogue request form on the animal page</t>
        </is>
      </c>
      <c r="O8" s="113" t="inlineStr">
        <is>
          <t>Japan (Tokyo HQ)</t>
        </is>
      </c>
      <c r="P8" s="113" t="inlineStr">
        <is>
          <t>A — VERIFIED DIRECT (dedicated small-animal department freephone)</t>
        </is>
      </c>
      <c r="Q8" s="113" t="inlineStr">
        <is>
          <t>Brand credibility from the human OR side, sold into vet operating rooms. Adding a pocket scanner to an OR-table sale is a high-margin attachment with no channel conflict, and their surgical customer is exactly the vet who wants peri-operative imaging.</t>
        </is>
      </c>
      <c r="R8" s="113" t="inlineStr">
        <is>
          <t>SonoEye P3 VET + SonoTouch VET</t>
        </is>
      </c>
      <c r="S8" s="48" t="inlineStr">
        <is>
          <t>TIER 1</t>
        </is>
      </c>
      <c r="T8" s="49" t="inlineStr">
        <is>
          <t>HIGH — operating-room credibility, no imaging conflict.</t>
        </is>
      </c>
      <c r="U8" s="113" t="inlineStr">
        <is>
          <t>C</t>
        </is>
      </c>
      <c r="V8" s="113" t="inlineStr">
        <is>
          <t>Re-verified 27 Sep 2026 · animal page confirms surgical tables and orthopaedics, no ultrasound</t>
        </is>
      </c>
      <c r="W8" s="50" t="inlineStr">
        <is>
          <t>MIZUHO Corporation: Animal Medical Division, ultrasound guidance for the surgery you already equip</t>
        </is>
      </c>
      <c r="X8" s="50" t="inlineStr">
        <is>
          <t>Dear ミズホ株式会社 (MIZUHO Corporation) team,
My name is Casper Tan, Senior Regional Sales Manager at AstraMed Healthcare, a subsidiary of CHISON Medical Technologies. I cover Japan, South Korea, Taiwan and Singapore for CHISON veterinary ultrasound. I am writing to MIZUHO Corporation specifically, not to a list. You bring operating-room credibility from the human side into veterinary theatres, and your animal division sells the tables and instruments that surgery runs on, but not imaging. A pocket scanner attaches to that sale rather than competing with it.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Japan and would rather build one than sell around one.
The product I would put in front of you first is the SonoEye P3 VET and SonoTouch VET.
Are you open to a short call? I would rather show you the block and the vascular-access demo than describe them.
Best regards,
Casper Tan
Senior Regional Sales Manager
AstraMed Healthcare, a subsidiary of CHISON Medical Technologies
casper@astramed.sg | +65 8719 0121</t>
        </is>
      </c>
    </row>
    <row r="9" ht="165" customHeight="1" s="114">
      <c r="A9" s="113" t="n">
        <v>5</v>
      </c>
      <c r="B9" s="41" t="inlineStr">
        <is>
          <t>日本全薬工業株式会社（ゼノアック）</t>
        </is>
      </c>
      <c r="C9" s="113" t="inlineStr">
        <is>
          <t>Nippon Zenyaku Kogyo Co., Ltd. (ZENOAQ)</t>
        </is>
      </c>
      <c r="D9" s="42" t="inlineStr">
        <is>
          <t>Not started</t>
        </is>
      </c>
      <c r="E9" s="43" t="n"/>
      <c r="F9" s="44" t="n"/>
      <c r="G9" s="45" t="n"/>
      <c r="H9" s="46" t="inlineStr">
        <is>
          <t>Major Fukushima-headquartered animal-health company doing R&amp;D, manufacture, import, export and sale of veterinary drugs AND veterinary medical devices, selling into small-animal hospitals, livestock clinics, livestock bodies and overseas distributors, and running Asia roadshows. RELEVANCE: the widest veterinary reach of any company on this tab, and — critically for Japan — an existing import/export function, which means they could carry the Japanese marketing authorisation holder role rather than merely reselling. The livestock arm makes bovine reproduction scanning a second revenue line for the same product.</t>
        </is>
      </c>
      <c r="I9" s="113" t="inlineStr">
        <is>
          <t>Major Japanese animal-health company: R&amp;D, manufacture, import/export and sale of veterinary drugs AND veterinary medical devices. Customers span small-animal hospitals, livestock clinics, livestock bodies and overseas distributors. Runs Asia roadshow seminars (seen running events in Taiwan via ivetmall).</t>
        </is>
      </c>
      <c r="J9" s="113" t="inlineStr">
        <is>
          <t>Not identified — confirm</t>
        </is>
      </c>
      <c r="K9" s="46" t="inlineStr">
        <is>
          <t>Fukushima HQ; nationwide + Asia</t>
        </is>
      </c>
      <c r="L9" s="47" t="inlineStr">
        <is>
          <t>https://www.zenoaq.com</t>
        </is>
      </c>
      <c r="M9" s="113" t="inlineStr">
        <is>
          <t>Not published (site suppresses telephone detection)</t>
        </is>
      </c>
      <c r="N9" s="113" t="inlineStr">
        <is>
          <t>PARTNERSHIP FORM — zenoaq.com/contact/business-development/ (new business, new products, business alliances). Companion animal: zenoaq.com/contact/ca/</t>
        </is>
      </c>
      <c r="O9" s="41" t="inlineStr">
        <is>
          <t>〒963-0196 福島県郡山市安積町笹川字平ノ上1番地の1 (CEO 福井寿一 · 706 staff · ¥46.6bn FY2025)</t>
        </is>
      </c>
      <c r="P9" s="113" t="inlineStr">
        <is>
          <t>A — VERIFIED DIRECT (dedicated business-development enquiry route)</t>
        </is>
      </c>
      <c r="Q9" s="113" t="inlineStr">
        <is>
          <t>The widest vet reach of any company on this list and an existing import/export function — meaning they can plausibly carry the Japanese marketing-authorisation-holder role, not just resell. Livestock arm makes bovine repro scanning a second revenue line for the same product.</t>
        </is>
      </c>
      <c r="R9" s="113" t="inlineStr">
        <is>
          <t>SonoEye P3 VET (companion) + EBit 50 VET (bovine repro)</t>
        </is>
      </c>
      <c r="S9" s="48" t="inlineStr">
        <is>
          <t>TIER 1</t>
        </is>
      </c>
      <c r="T9" s="49" t="inlineStr">
        <is>
          <t>HIGH — the one Japanese candidate that could plausibly hold the marketing-authorisation-holder role.</t>
        </is>
      </c>
      <c r="U9" s="113" t="inlineStr">
        <is>
          <t>E</t>
        </is>
      </c>
      <c r="V9" s="113" t="inlineStr">
        <is>
          <t>Verified site</t>
        </is>
      </c>
      <c r="W9" s="50" t="inlineStr">
        <is>
          <t>Nippon Zenyaku Kogyo Co., Ltd. (ZENOAQ): capital margin on the relationship you already pay for</t>
        </is>
      </c>
      <c r="X9" s="50" t="inlineStr">
        <is>
          <t>Dear 日本全薬工業株式会社 (Nippon Zenyaku Kogyo Co., Ltd.) team,
My name is Casper Tan, Senior Regional Sales Manager at AstraMed Healthcare, a subsidiary of CHISON Medical Technologies. I cover Japan, South Korea, Taiwan and Singapore for CHISON veterinary ultrasound. I am writing to Nippon Zenyaku Kogyo Co., Ltd. specifically, not to a list. You research, manufacture, import, export and sell both veterinary pharmaceuticals and veterinary devices, across companion animal and livestock, and you run seminar programmes across Asia. The import and export function is the reason I am writing: we need a Japanese partner who can carry a marketing authorisation, not only resell.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(companion) and EBit 50 VET (bovine repro).
Could we find twenty minutes?
Best regards,
Casper Tan
Senior Regional Sales Manager
AstraMed Healthcare, a subsidiary of CHISON Medical Technologies
casper@astramed.sg | +65 8719 0121</t>
        </is>
      </c>
    </row>
    <row r="10" ht="165" customHeight="1" s="114">
      <c r="A10" s="113" t="n">
        <v>6</v>
      </c>
      <c r="B10" s="41" t="inlineStr">
        <is>
          <t>株式会社アスコ</t>
        </is>
      </c>
      <c r="C10" s="113" t="inlineStr">
        <is>
          <t>ASCO Corporation</t>
        </is>
      </c>
      <c r="D10" s="42" t="inlineStr">
        <is>
          <t>Not started</t>
        </is>
      </c>
      <c r="E10" s="43" t="n"/>
      <c r="F10" s="44" t="n"/>
      <c r="G10" s="45" t="n"/>
      <c r="H10" s="46" t="inlineStr">
        <is>
          <t>Specialist animal-health trading company founded 1949, part of the Sala Group (Toyohashi). Sells veterinary pharmaceuticals, instruments and equipment (動物用医薬品・器具器材・機械設備) through 22 branches nationwide, across two divisions: production animals for livestock farmers, and small animals for veterinary hospitals. The name stands for Animal-health Service &amp; Consulting. RELEVANCE: this was previously assumed to be a drugs-and-consumables channel. Their own corporate site names equipment and machinery explicitly, which upgrades them considerably — 22 branches selling equipment to both livestock and companion-animal customers matches the whole CHISON VET range, handheld and EBit 50 alike.</t>
        </is>
      </c>
      <c r="I10" s="113" t="inlineStr">
        <is>
          <t>Specialist trading house for veterinary pharmaceuticals: drugs, therapeutic diets, reagents and medical devices supplied to animal hospitals, with total practice-operation support.</t>
        </is>
      </c>
      <c r="J10" s="113" t="inlineStr">
        <is>
          <t>Not identified — confirm</t>
        </is>
      </c>
      <c r="K10" s="46" t="inlineStr">
        <is>
          <t>Japan (Sala group)</t>
        </is>
      </c>
      <c r="L10" s="47" t="inlineStr">
        <is>
          <t>https://www.asco.sala.jp/companion-animal/</t>
        </is>
      </c>
      <c r="M10" s="113" t="inlineStr">
        <is>
          <t>Not published on the companion-animal page — check asco.sala.jp corporate contact</t>
        </is>
      </c>
      <c r="N10" s="113" t="inlineStr">
        <is>
          <t>Not published — enquiry via site</t>
        </is>
      </c>
      <c r="O10" s="113" t="inlineStr">
        <is>
          <t>Japan (Sala group)</t>
        </is>
      </c>
      <c r="P10" s="113" t="inlineStr">
        <is>
          <t>B — VERIFIED PARTIAL (page opened and live; no phone/email published there)</t>
        </is>
      </c>
      <c r="Q10" s="113" t="inlineStr">
        <is>
          <t>A pharma-and-consumables channel with a standing weekly order relationship at every clinic. Capital equipment is incremental margin on a relationship they already pay for. Low friction to place an evaluation unit because their rep is already in the building.</t>
        </is>
      </c>
      <c r="R10" s="113" t="inlineStr">
        <is>
          <t>SonoEye P3 VET (rep-carried demo unit)</t>
        </is>
      </c>
      <c r="S10" s="48" t="inlineStr">
        <is>
          <t>TIER 1</t>
        </is>
      </c>
      <c r="T10" s="49" t="inlineStr">
        <is>
          <t>HIGH — VERIFIED AUGUST 2026: their own site states they sell equipment and machinery, not only drugs. 22 branches.</t>
        </is>
      </c>
      <c r="U10" s="113" t="inlineStr">
        <is>
          <t>E</t>
        </is>
      </c>
      <c r="V10" s="113" t="inlineStr">
        <is>
          <t>Verified site (search-indexed)</t>
        </is>
      </c>
      <c r="W10" s="50" t="inlineStr">
        <is>
          <t>ASCO Corporation: capital margin on the relationship you already pay for</t>
        </is>
      </c>
      <c r="X10" s="50" t="inlineStr">
        <is>
          <t>Dear 株式会社アスコ (ASCO Corporation) team,
My name is Casper Tan, Senior Regional Sales Manager at AstraMed Healthcare, a subsidiary of CHISON Medical Technologies. I cover Japan, South Korea, Taiwan and Singapore for CHISON veterinary ultrasound. I am writing to ASCO Corporation specifically, not to a list. Your representatives are inside small-animal hospitals every week on drugs, therapeutic diets and reagents, and you already supply medical devices alongside them. That standing relationship is the cheapest demo route for a handheld that exists in Japan.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(rep-carried demo unit).
Could we find twenty minutes?
Best regards,
Casper Tan
Senior Regional Sales Manager
AstraMed Healthcare, a subsidiary of CHISON Medical Technologies
casper@astramed.sg | +65 8719 0121</t>
        </is>
      </c>
    </row>
    <row r="11" ht="165" customHeight="1" s="114">
      <c r="A11" s="113" t="n">
        <v>7</v>
      </c>
      <c r="B11" s="41" t="inlineStr">
        <is>
          <t>株式会社メディカルスペース</t>
        </is>
      </c>
      <c r="C11" s="113" t="inlineStr">
        <is>
          <t>Medical Space Inc.</t>
        </is>
      </c>
      <c r="D11" s="42" t="inlineStr">
        <is>
          <t>Not started</t>
        </is>
      </c>
      <c r="E11" s="43" t="n"/>
      <c r="F11" s="44" t="n"/>
      <c r="G11" s="45" t="n"/>
      <c r="H11" s="46" t="inlineStr">
        <is>
          <t>Veterinary equipment dealer that also plans, builds and refurbishes animal hospitals, with a showroom and a used-equipment trade. Line card includes GE HealthCare Japan, Canon Medtech Supply, Fujifilm and Fujifilm Medical, Konica Minolta and esaote veterinary — 56 ultrasound SKUs listed. RELEVANCE: do NOT pitch a competing console; four of their principals already sell one. What none of those four sells is a scanner at CHISON's price point, and Medical Space builds the equipment list for every clinic they open, so a cheap handheld raises their attach rate without touching their GE or Fujifilm margin. NOTE: their 'maker index' is a supplier list, not a peer-dealer list — several MFR rows on this tab came from correcting that mistake.</t>
        </is>
      </c>
      <c r="I11" s="113" t="inlineStr">
        <is>
          <t>Veterinary equipment dealer + animal-hospital opening, planning, construction and refurbishment; showroom; used-equipment trade. Line card includes GE HealthCare Japan, Canon Medtech Supply, Fujifilm/Fujifilm Medical, Konica Minolta, esaote veterinary, Nihon Kohden, Dräger, Olympus, IDEXX.</t>
        </is>
      </c>
      <c r="J11" s="113" t="inlineStr">
        <is>
          <t>YES — GE, Canon, Fujifilm and esaote veterinary; 56 ultrasound SKUs listed</t>
        </is>
      </c>
      <c r="K11" s="46" t="inlineStr">
        <is>
          <t>Nationwide; showroom</t>
        </is>
      </c>
      <c r="L11" s="47" t="inlineStr">
        <is>
          <t>https://medical-space.co.jp</t>
        </is>
      </c>
      <c r="M11" s="113" t="inlineStr">
        <is>
          <t>TEL 048-972-5890 · FAX 048-972-5891</t>
        </is>
      </c>
      <c r="N11" s="113" t="inlineStr">
        <is>
          <t>No public address — form: medical-space.co.jp/contact/</t>
        </is>
      </c>
      <c r="O11" s="41" t="inlineStr">
        <is>
          <t>〒343-0037 埼玉県越谷市恩間新田228-1 (CEO 長谷川博彦)</t>
        </is>
      </c>
      <c r="P11" s="113" t="inlineStr">
        <is>
          <t>A — VERIFIED DIRECT (phone off company profile page)</t>
        </is>
      </c>
      <c r="Q11" s="113" t="inlineStr">
        <is>
          <t>Heavy cart-tier conflict, so do NOT pitch a competing console. Pitch the pocket tier none of their four ultrasound principals sells at CHISON's price. They build the equipment list for every new clinic they open — a low-cost handheld raises their attach rate without touching their GE/Fujifilm margin. NEW FACT: they already hold a FOREIGN MANUFACTURER registration for veterinary devices (動物用医療機器外国製造業 24外製療第300号) plus a Class-2 marketing authorisation and a repair licence — so the regulatory route for a foreign brand is already built. That materially raises their value despite the ultrasound conflict.</t>
        </is>
      </c>
      <c r="R11" s="113" t="inlineStr">
        <is>
          <t>SonoEye P3 / P5 VET only (pocket tier wedge)</t>
        </is>
      </c>
      <c r="S11" s="51" t="inlineStr">
        <is>
          <t>TIER 2</t>
        </is>
      </c>
      <c r="T11" s="52" t="inlineStr">
        <is>
          <t>MEDIUM — heavy cart-tier conflict. Pocket tier only, but their new-clinic influence is real.</t>
        </is>
      </c>
      <c r="U11" s="113" t="inlineStr">
        <is>
          <t>B</t>
        </is>
      </c>
      <c r="V11" s="113" t="inlineStr">
        <is>
          <t>Verified — company profile page fetched 4 Aug 2026</t>
        </is>
      </c>
      <c r="W11" s="50" t="inlineStr">
        <is>
          <t>Medical Space Inc.: not a replacement for your ultrasound line, the tier below it</t>
        </is>
      </c>
      <c r="X11" s="50" t="inlineStr">
        <is>
          <t>Dear 株式会社メディカルスペース (Medical Space Inc.) team,
My name is Casper Tan, Senior Regional Sales Manager at AstraMed Healthcare, a subsidiary of CHISON Medical Technologies. I cover Japan, South Korea, Taiwan and Singapore for CHISON veterinary ultrasound. I am writing to Medical Space Inc. specifically, not to a list. You carry GE, Canon, Fujifilm and esaote veterinary, so I am not going to pretend I am writing about a console. I am writing because you also hold a foreign-manufacturer registration for veterinary devices and a Class-2 marketing authorisation, and because none of your four ultrasound principals builds the pocket tier.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 P5 VET only (pocket tier wedge).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2" ht="165" customHeight="1" s="114">
      <c r="A12" s="113" t="n">
        <v>8</v>
      </c>
      <c r="B12" s="41" t="inlineStr">
        <is>
          <t>株式会社メディカルタスクフォース</t>
        </is>
      </c>
      <c r="C12" s="113" t="inlineStr">
        <is>
          <t>Medical Task Force Inc. (MTF)</t>
        </is>
      </c>
      <c r="D12" s="42" t="inlineStr">
        <is>
          <t>Not started</t>
        </is>
      </c>
      <c r="E12" s="43" t="n"/>
      <c r="F12" s="44" t="n"/>
      <c r="G12" s="45" t="n"/>
      <c r="H12" s="113" t="inlineStr">
        <is>
          <t>Veterinary medical device company publishing an animal-device catalogue that covers ultrasound imaging and portable X-ray. RELEVANCE: they already understand the ultrasound sale and its service load, which shortens the learning curve — but it also means an incumbent line. The realistic opening is the sub-USD 10k handheld tier rather than a head-to-head console pitch.</t>
        </is>
      </c>
      <c r="I12" s="113" t="inlineStr">
        <is>
          <t>Veterinary medical devices; publishes an animal-device catalogue covering ultrasound imaging and portable X-ray.</t>
        </is>
      </c>
      <c r="J12" s="113" t="inlineStr">
        <is>
          <t>YES — carries ultrasound</t>
        </is>
      </c>
      <c r="K12" s="113" t="inlineStr">
        <is>
          <t>Japan</t>
        </is>
      </c>
      <c r="L12" s="113" t="inlineStr">
        <is>
          <t>medical-taskforce.com</t>
        </is>
      </c>
      <c r="M12" s="113" t="inlineStr">
        <is>
          <t>Corporate enquiry form</t>
        </is>
      </c>
      <c r="N12" s="113" t="inlineStr">
        <is>
          <t>NOT CONFIRMED</t>
        </is>
      </c>
      <c r="O12" s="113" t="inlineStr">
        <is>
          <t>Japan</t>
        </is>
      </c>
      <c r="P12" s="113" t="inlineStr">
        <is>
          <t>D — NOT VERIFIED (no contact record; confirm the company before contacting)</t>
        </is>
      </c>
      <c r="Q12" s="113" t="inlineStr">
        <is>
          <t>Already sells ultrasound into vet, so they understand the sale and the service load. Qualify which brand and at what price band before pitching; the opening is likely the sub-USD 10k handheld tier rather than their existing console line.</t>
        </is>
      </c>
      <c r="R12" s="113" t="inlineStr">
        <is>
          <t>SonoEye P3 VET; SonoAir 30 VET if their line is cart-only</t>
        </is>
      </c>
      <c r="S12" s="51" t="inlineStr">
        <is>
          <t>TIER 2</t>
        </is>
      </c>
      <c r="T12" s="52" t="inlineStr">
        <is>
          <t>MEDIUM — already sells ultrasound, so qualify the brand and price band first.</t>
        </is>
      </c>
      <c r="U12" s="113" t="inlineStr">
        <is>
          <t>B</t>
        </is>
      </c>
      <c r="V12" s="113" t="inlineStr">
        <is>
          <t>Verified site (search-indexed) · v11 CHECK 27 Sep 2026: medical-taskforce.com did not resolve in DNS; the site may have moved or closed, confirm before relying on it.</t>
        </is>
      </c>
      <c r="W12" s="50" t="inlineStr">
        <is>
          <t>Medical Task Force Inc. (MTF): not a replacement for your ultrasound line, the tier below it</t>
        </is>
      </c>
      <c r="X12" s="50" t="inlineStr">
        <is>
          <t>Dear 株式会社メディカルタスクフォース (Medical Task Force Inc.) team,
My name is Casper Tan, Senior Regional Sales Manager at AstraMed Healthcare, a subsidiary of CHISON Medical Technologies. I cover Japan, South Korea, Taiwan and Singapore for CHISON veterinary ultrasound. I am writing to Medical Task Force Inc. specifically, not to a list. You already publish an animal-device catalogue covering ultrasound imaging and portable X-ray, so you know how this product sells and what the service load looks like. The opening is the sub-console tier rather than anything you currently list.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VET; SonoAir 30 VET if their line is cart-only.
Would twenty minutes be worth it, to see whether this protects your top-tier margin rather than competing with it?
Best regards,
Casper Tan
Senior Regional Sales Manager
AstraMed Healthcare, a subsidiary of CHISON Medical Technologies
casper@astramed.sg | +65 8719 0121</t>
        </is>
      </c>
    </row>
    <row r="13" ht="165" customHeight="1" s="114">
      <c r="A13" s="113" t="n">
        <v>9</v>
      </c>
      <c r="B13" s="41" t="inlineStr">
        <is>
          <t>株式会社東京メニックス</t>
        </is>
      </c>
      <c r="C13" s="113" t="inlineStr">
        <is>
          <t>Tokyo Menix Co., Ltd.</t>
        </is>
      </c>
      <c r="D13" s="42" t="inlineStr">
        <is>
          <t>Not started</t>
        </is>
      </c>
      <c r="E13" s="43" t="n"/>
      <c r="F13" s="44" t="n"/>
      <c r="G13" s="45" t="n"/>
      <c r="H13" s="113" t="inlineStr">
        <is>
          <t>Long-standing manufacturer and supplier of small-animal medical devices, described in the trade as a leading company in the Japanese veterinary device field, with 65 SKUs moving through the Medical Space channel. RELEVANCE CORRECTION: confirmed on Medical Space's SUPPLIER list — they sell INTO dealers rather than alongside them. Real brand weight with Japanese vets, so worth a complementary-line or OEM conversation, but never treat this as a distribution appointment.</t>
        </is>
      </c>
      <c r="I13" s="113" t="inlineStr">
        <is>
          <t>Long-standing manufacturer/supplier of small-animal medical devices; described as a leading company in the Japanese vet device field. 65 SKUs listed through the Medical Space channel.</t>
        </is>
      </c>
      <c r="J13" s="113" t="inlineStr">
        <is>
          <t>Not identified</t>
        </is>
      </c>
      <c r="K13" s="113" t="inlineStr">
        <is>
          <t>Tokyo; national</t>
        </is>
      </c>
      <c r="L13" s="113" t="inlineStr">
        <is>
          <t>t-menix.com</t>
        </is>
      </c>
      <c r="M13" s="113" t="inlineStr">
        <is>
          <t>Corporate enquiry form</t>
        </is>
      </c>
      <c r="N13" s="113" t="inlineStr">
        <is>
          <t>NOT CONFIRMED</t>
        </is>
      </c>
      <c r="O13" s="113" t="inlineStr">
        <is>
          <t>Tokyo; national</t>
        </is>
      </c>
      <c r="P13" s="113" t="inlineStr">
        <is>
          <t>MFR — not a distribution target. Complementary-line / OEM talk only.</t>
        </is>
      </c>
      <c r="Q13" s="113" t="inlineStr">
        <is>
          <t>RELEVANCE CORRECTION (v3): Confirmed on the Medical Space supplier list — they SELL INTO dealers. Treat as a manufacturer, i.e. a possible complementary-line or OEM conversation, NOT a distributor to appoint. Manufacturer-plus-channel hybrid with genuine brand weight among Japanese vets. Best framed as a complementary-line agreement rather than pure distribution — their catalogue reaches clinics that a foreign brand cannot cold-call.</t>
        </is>
      </c>
      <c r="R13" s="113" t="inlineStr">
        <is>
          <t>SonoEye P3 VET + EBit 50 VET</t>
        </is>
      </c>
      <c r="S13" s="53" t="inlineStr">
        <is>
          <t>MFR</t>
        </is>
      </c>
      <c r="T13" s="52" t="inlineStr">
        <is>
          <t>MEDIUM — manufacturer, not a distributor. Complementary-line or OEM conversation only.</t>
        </is>
      </c>
      <c r="U13" s="113" t="inlineStr">
        <is>
          <t>MFR</t>
        </is>
      </c>
      <c r="V13" s="113" t="inlineStr">
        <is>
          <t>Verified site (search-indexed)</t>
        </is>
      </c>
      <c r="W13" s="50" t="inlineStr">
        <is>
          <t>Tokyo Menix Co., Ltd.: a complementary veterinary ultrasound line</t>
        </is>
      </c>
      <c r="X13" s="50" t="inlineStr">
        <is>
          <t>Dear 株式会社東京メニックス (Tokyo Menix Co., Ltd.) team,
My name is Casper Tan, Senior Regional Sales Manager at AstraMed Healthcare, a subsidiary of CHISON Medical Technologies. I cover Japan, South Korea, Taiwan and Singapore for CHISON veterinary ultrasound. I am writing to Tokyo Menix Co., Ltd. specifically, not to a list. You are one of the established names in Japanese small-animal medical devices, and you sell into the dealer network rather than competing with it.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and EBit 50 VET.
Would a short call be worthwhile?
Best regards,
Casper Tan
Senior Regional Sales Manager
AstraMed Healthcare, a subsidiary of CHISON Medical Technologies
casper@astramed.sg | +65 8719 0121</t>
        </is>
      </c>
    </row>
    <row r="14" ht="165" customHeight="1" s="114">
      <c r="A14" s="113" t="n">
        <v>10</v>
      </c>
      <c r="B14" s="41" t="inlineStr">
        <is>
          <t>株式会社メディアーク（Mediark-VET）</t>
        </is>
      </c>
      <c r="C14" s="113" t="inlineStr">
        <is>
          <t>Mediark Inc. — Mediark VET</t>
        </is>
      </c>
      <c r="D14" s="42" t="inlineStr">
        <is>
          <t>Not started</t>
        </is>
      </c>
      <c r="E14" s="43" t="n"/>
      <c r="F14" s="44" t="n"/>
      <c r="G14" s="45" t="n"/>
      <c r="H14" s="113" t="inlineStr">
        <is>
          <t>Veterinary advanced-imaging company selling animal MRI alongside a portable veterinary ultrasound line (VetEcho). RELEVANCE: positioned at the referral and advanced-imaging end of the market, which is exactly where a cheaper second scanner is bought as a ward or cage-side fleet item rather than as the hospital's primary machine. The conflict is real but narrow — pitch the fleet tier, not the flagship.</t>
        </is>
      </c>
      <c r="I14" s="113" t="inlineStr">
        <is>
          <t>Veterinary advanced imaging: animal MRI plus portable veterinary ultrasound (VetEcho line).</t>
        </is>
      </c>
      <c r="J14" s="113" t="inlineStr">
        <is>
          <t>YES — portable vet ultrasound (VetEcho)</t>
        </is>
      </c>
      <c r="K14" s="113" t="inlineStr">
        <is>
          <t>Japan</t>
        </is>
      </c>
      <c r="L14" s="113" t="inlineStr">
        <is>
          <t>vet.mediark.co.jp</t>
        </is>
      </c>
      <c r="M14" s="113" t="inlineStr">
        <is>
          <t>Site enquiry form</t>
        </is>
      </c>
      <c r="N14" s="113" t="inlineStr">
        <is>
          <t>NOT CONFIRMED</t>
        </is>
      </c>
      <c r="O14" s="113" t="inlineStr">
        <is>
          <t>Japan</t>
        </is>
      </c>
      <c r="P14" s="113" t="inlineStr">
        <is>
          <t>D — NOT VERIFIED (no contact record; confirm the company before contacting)</t>
        </is>
      </c>
      <c r="Q14" s="113" t="inlineStr">
        <is>
          <t>Positioned at the referral / advanced-imaging end, which is exactly where a second, cheaper cage-side scanner gets bought as a fleet item rather than as the hospital's main machine. Conflict is real but narrow.</t>
        </is>
      </c>
      <c r="R14" s="113" t="inlineStr">
        <is>
          <t>SonoEye P3 VET ward fleet (secondary to their console)</t>
        </is>
      </c>
      <c r="S14" s="51" t="inlineStr">
        <is>
          <t>TIER 2</t>
        </is>
      </c>
      <c r="T14" s="52" t="inlineStr">
        <is>
          <t>MEDIUM — narrow but real conflict; they sit where a second cage-side unit gets bought.</t>
        </is>
      </c>
      <c r="U14" s="113" t="inlineStr">
        <is>
          <t>B</t>
        </is>
      </c>
      <c r="V14" s="113" t="inlineStr">
        <is>
          <t>Verified site (search-indexed)</t>
        </is>
      </c>
      <c r="W14" s="50" t="inlineStr">
        <is>
          <t>Mediark Inc.: Mediark VET, not a replacement for your ultrasound line, the tier below it</t>
        </is>
      </c>
      <c r="X14" s="50" t="inlineStr">
        <is>
          <t>Dear 株式会社メディアーク (Mediark Inc.) team,
My name is Casper Tan, Senior Regional Sales Manager at AstraMed Healthcare, a subsidiary of CHISON Medical Technologies. I cover Japan, South Korea, Taiwan and Singapore for CHISON veterinary ultrasound. I am writing to Mediark Inc. specifically, not to a list. You sit at the advanced-imaging end of Japanese veterinary practice with animal MRI and portable ultrasound. That is precisely where a second, cheaper cage-side scanner gets bought as a ward fleet rather than as the hospital's main machine.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VET ward fleet (secondary to their console).
Would twenty minutes be worth it, to see whether this protects your top-tier margin rather than competing with it?
Best regards,
Casper Tan
Senior Regional Sales Manager
AstraMed Healthcare, a subsidiary of CHISON Medical Technologies
casper@astramed.sg | +65 8719 0121</t>
        </is>
      </c>
    </row>
    <row r="15" ht="165" customHeight="1" s="114">
      <c r="A15" s="113" t="n">
        <v>11</v>
      </c>
      <c r="B15" s="41" t="inlineStr">
        <is>
          <t>共立製薬株式会社</t>
        </is>
      </c>
      <c r="C15" s="113" t="inlineStr">
        <is>
          <t>Kyoritsu Seiyaku Corporation</t>
        </is>
      </c>
      <c r="D15" s="42" t="inlineStr">
        <is>
          <t>Not started</t>
        </is>
      </c>
      <c r="E15" s="43" t="n"/>
      <c r="F15" s="44" t="n"/>
      <c r="G15" s="45" t="n"/>
      <c r="H15" s="113" t="inlineStr">
        <is>
          <t>Major Japanese animal-health pharmaceutical company with nationwide small-animal and livestock coverage, which also sells its own CTS-800 'KS' portable veterinary ultrasound (800 g, companion and livestock). RELEVANCE: they have already decided that portable veterinary ultrasound is a business worth being in — they built one. The CTS-800 is an entry device; the CHISON handheld range sits above it on image quality and below the console tier on price, so this is a step-up SKU inside a portfolio they already sell, not a replacement fight.</t>
        </is>
      </c>
      <c r="I15" s="113" t="inlineStr">
        <is>
          <t>Major Japanese animal-health pharmaceutical company with nationwide small-animal and livestock coverage. Sells its own CTS-800 'KS' portable veterinary ultrasound (800 g, companion + livestock).</t>
        </is>
      </c>
      <c r="J15" s="113" t="inlineStr">
        <is>
          <t>YES — own-brand CTS-800 portable</t>
        </is>
      </c>
      <c r="K15" s="113" t="inlineStr">
        <is>
          <t>Nationwide</t>
        </is>
      </c>
      <c r="L15" s="113" t="inlineStr">
        <is>
          <t>kyoritsuseiyaku.co.jp</t>
        </is>
      </c>
      <c r="M15" s="113" t="inlineStr">
        <is>
          <t>Corporate enquiry form</t>
        </is>
      </c>
      <c r="N15" s="113" t="inlineStr">
        <is>
          <t>NOT CONFIRMED</t>
        </is>
      </c>
      <c r="O15" s="113" t="inlineStr">
        <is>
          <t>Nationwide</t>
        </is>
      </c>
      <c r="P15" s="113" t="inlineStr">
        <is>
          <t>D — NOT VERIFIED (no contact record; confirm the company before contacting)</t>
        </is>
      </c>
      <c r="Q15" s="113" t="inlineStr">
        <is>
          <t>They already believe in portable vet ultrasound — they built one. The CTS-800 is an entry device; CHISON's handheld range sits above it on image quality and below the console tier on price, so the pitch is a step-up SKU inside a portfolio they already sell, not a replacement.</t>
        </is>
      </c>
      <c r="R15" s="113" t="inlineStr">
        <is>
          <t>SonoEye P5 VET (high-frequency step-up) + SonoAir 30 VET</t>
        </is>
      </c>
      <c r="S15" s="51" t="inlineStr">
        <is>
          <t>TIER 2</t>
        </is>
      </c>
      <c r="T15" s="52" t="inlineStr">
        <is>
          <t>MEDIUM — they build their own portable scanner, but it is an entry device CHISON sits above.</t>
        </is>
      </c>
      <c r="U15" s="113" t="inlineStr">
        <is>
          <t>B</t>
        </is>
      </c>
      <c r="V15" s="113" t="inlineStr">
        <is>
          <t>Verified site (search-indexed)</t>
        </is>
      </c>
      <c r="W15" s="50" t="inlineStr">
        <is>
          <t>Kyoritsu Seiyaku Corporation: not a replacement for your ultrasound line, the tier below it</t>
        </is>
      </c>
      <c r="X15" s="50" t="inlineStr">
        <is>
          <t>Dear 共立製薬株式会社 (Kyoritsu Seiyaku Corporation) team,
My name is Casper Tan, Senior Regional Sales Manager at AstraMed Healthcare, a subsidiary of CHISON Medical Technologies. I cover Japan, South Korea, Taiwan and Singapore for CHISON veterinary ultrasound. I am writing to Kyoritsu Seiyaku Corporation specifically, not to a list. You built the CTS-800, so you already believe in portable veterinary ultrasound, I am not going to pretend otherwise. What I would like to discuss is the tier above it: higher-frequency handhelds for the same customers, inside a portfolio you already sell.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P5 VET (high-frequency step-up) and SonoAir 30 VET.
Would twenty minutes be worth it, to see whether this protects your top-tier margin rather than competing with it?
Best regards,
Casper Tan
Senior Regional Sales Manager
AstraMed Healthcare, a subsidiary of CHISON Medical Technologies
casper@astramed.sg | +65 8719 0121</t>
        </is>
      </c>
    </row>
    <row r="16" ht="165" customHeight="1" s="114">
      <c r="A16" s="113" t="n">
        <v>12</v>
      </c>
      <c r="B16" s="41" t="inlineStr">
        <is>
          <t>本郷いわしや</t>
        </is>
      </c>
      <c r="C16" s="113" t="inlineStr">
        <is>
          <t>Hongo Iwashiya</t>
        </is>
      </c>
      <c r="D16" s="42" t="inlineStr">
        <is>
          <t>Not started</t>
        </is>
      </c>
      <c r="E16" s="43" t="n"/>
      <c r="F16" s="44" t="n"/>
      <c r="G16" s="45" t="n"/>
      <c r="H16" s="113" t="inlineStr">
        <is>
          <t>Traditional Tokyo medical-instrument dealer lineage supplying animal hospitals, with 7 SKUs listed through the Medical Space channel. RELEVANCE CORRECTION: appears only in a supplier index, so it is not confirmed as a dealer with its own sales force. Old relationships in Kanto make it worth a call once the national houses are engaged, but as a regional sub-dealer rather than a national appointment.</t>
        </is>
      </c>
      <c r="I16" s="113" t="inlineStr">
        <is>
          <t>Traditional medical-instrument dealer lineage supplying animal hospitals; 7 SKUs listed through the Medical Space channel.</t>
        </is>
      </c>
      <c r="J16" s="113" t="inlineStr">
        <is>
          <t>Not identified</t>
        </is>
      </c>
      <c r="K16" s="113" t="inlineStr">
        <is>
          <t>Tokyo</t>
        </is>
      </c>
      <c r="L16" s="47" t="inlineStr">
        <is>
          <t>https://www.hongo-iwashiya.co.jp (animal-hospital section: /animals/ · used-equipment buy-back: /animals/secondhands/)</t>
        </is>
      </c>
      <c r="M16" s="113" t="inlineStr">
        <is>
          <t>TEL 03-5800-1848 · FAX 03-5800-2225 (weekdays 9:00–18:00)</t>
        </is>
      </c>
      <c r="N16" s="113" t="inlineStr">
        <is>
          <t>info@hongo-iwashiya.co.jp</t>
        </is>
      </c>
      <c r="O16" s="41" t="inlineStr">
        <is>
          <t>〒113-0001 東京都文京区白山1-21-13</t>
        </is>
      </c>
      <c r="P16" s="113" t="inlineStr">
        <is>
          <t>A — VERIFIED DIRECT (phone, fax, email and address read off the company's own animal-hospital pages, 8 Aug 2026). UPGRADED IN v9 from an unverified directory entry.</t>
        </is>
      </c>
      <c r="Q16" s="113" t="inlineStr">
        <is>
          <t>CORRECTED IN v9 — they have a clinic-facing business the v6 grading missed. Their own site carries a 動物病院関係者 section selling new AND used equipment to animal hospitals, plus a used-equipment buy-back service. A dealer who buys the old machine back is the easiest route for a clinic replacing an ageing scanner, and the buy-back gives you a trade-in structure without inventing one. Approach as a dealer conversation first and a complementary-line conversation second — but keep the MFR caution: they also supply into Medical Space, so ask openly which side of their business would own the line. || PREVIOUS NOTE: RELEVANCE CORRECTION (v3): Appears only in a supplier index. Not confirmed as a dealer with its own clinic sales force. Regional Tokyo dealer with old relationships. Worth a call once the two or three national houses are engaged; useful as a Kanto-only sub-dealer rather than a national appointment.</t>
        </is>
      </c>
      <c r="R16" s="113" t="inlineStr">
        <is>
          <t>SonoEye P3 VET</t>
        </is>
      </c>
      <c r="S16" s="53" t="inlineStr">
        <is>
          <t>MFR / DEALER — both</t>
        </is>
      </c>
      <c r="T16" s="54" t="inlineStr">
        <is>
          <t>MEDIUM — UPGRADED IN v9 from LOW. They are not only a supplier into Medical Space: their own site runs a direct animal-hospital business selling new and used equipment to clinics and buying used equipment back. That is a clinic-facing sales operation, which the v6 grading assumed they did not have. No invoice until CHISON holds MAFF foreign-manufacturer registration, a Japanese marketing authorisation holder is in place and NVAL is notified.</t>
        </is>
      </c>
      <c r="U16" s="113" t="inlineStr">
        <is>
          <t>MFR</t>
        </is>
      </c>
      <c r="V16" s="113" t="inlineStr">
        <is>
          <t>CORRECTED IN v9 — hongo-iwashiya.co.jp animal-hospital and used-equipment pages opened and read 8 Aug 2026. Supersedes the v6 classification, which came from the Medical Space maker index only.</t>
        </is>
      </c>
      <c r="W16" s="50" t="inlineStr">
        <is>
          <t>Hongo Iwashiya: a complementary veterinary ultrasound line</t>
        </is>
      </c>
      <c r="X16" s="50" t="inlineStr">
        <is>
          <t>Dear 本郷いわしや (Hongo Iwashiya) team,
My name is Casper Tan, Senior Regional Sales Manager at AstraMed Healthcare, a subsidiary of CHISON Medical Technologies. I cover Japan, South Korea, Taiwan and Singapore for CHISON veterinary ultrasound. I am writing to Hongo Iwashiya specifically, not to a list. You have long-standing relationships with animal hospitals in the Kanto region.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7" ht="165" customHeight="1" s="114">
      <c r="A17" s="113" t="n">
        <v>13</v>
      </c>
      <c r="B17" s="41" t="inlineStr">
        <is>
          <t>ドリーム産業株式会社</t>
        </is>
      </c>
      <c r="C17" s="113" t="inlineStr">
        <is>
          <t>Dream Sangyo Co., Ltd.</t>
        </is>
      </c>
      <c r="D17" s="42" t="inlineStr">
        <is>
          <t>Not started</t>
        </is>
      </c>
      <c r="E17" s="43" t="n"/>
      <c r="F17" s="44" t="n"/>
      <c r="G17" s="45" t="n"/>
      <c r="H17" s="113" t="inlineStr">
        <is>
          <t>Veterinary equipment supplier with 11 SKUs through the Medical Space channel. RELEVANCE CORRECTION: appears only in a supplier index and is not confirmed as a dealer. Shows up consistently in veterinary dealer line cards, which suggests a real product business, but nothing here supports an exclusive arrangement.</t>
        </is>
      </c>
      <c r="I17" s="113" t="inlineStr">
        <is>
          <t>Veterinary equipment supplier; 11 SKUs listed through the Medical Space channel.</t>
        </is>
      </c>
      <c r="J17" s="113" t="inlineStr">
        <is>
          <t>Not identified</t>
        </is>
      </c>
      <c r="K17" s="113" t="inlineStr">
        <is>
          <t>Japan</t>
        </is>
      </c>
      <c r="L17" s="113" t="inlineStr">
        <is>
          <t>Search ドリーム産業 動物病院</t>
        </is>
      </c>
      <c r="M17" s="113" t="inlineStr">
        <is>
          <t>To be identified</t>
        </is>
      </c>
      <c r="N17" s="113" t="inlineStr">
        <is>
          <t>NOT CONFIRMED</t>
        </is>
      </c>
      <c r="O17" s="113" t="inlineStr">
        <is>
          <t>Japan</t>
        </is>
      </c>
      <c r="P17" s="113" t="inlineStr">
        <is>
          <t>MFR — not a distribution target. Complementary-line / OEM talk only.</t>
        </is>
      </c>
      <c r="Q17" s="113" t="inlineStr">
        <is>
          <t>RELEVANCE CORRECTION (v3): Appears only in a supplier index. Not confirmed as a dealer. Second-tier supplier appearing consistently in vet dealer line cards. Qualify size and service capability before committing anything exclusive.</t>
        </is>
      </c>
      <c r="R17" s="113" t="inlineStr">
        <is>
          <t>SonoEye P3 VET</t>
        </is>
      </c>
      <c r="S17" s="53" t="inlineStr">
        <is>
          <t>MFR</t>
        </is>
      </c>
      <c r="T17" s="54" t="inlineStr">
        <is>
          <t>LOW — second-tier supplier; qualify size and service capability before committing anything.</t>
        </is>
      </c>
      <c r="U17" s="113" t="inlineStr">
        <is>
          <t>MFR</t>
        </is>
      </c>
      <c r="V17" s="113" t="inlineStr">
        <is>
          <t>Directory (Medical Space maker index) — verify</t>
        </is>
      </c>
      <c r="W17" s="50" t="inlineStr">
        <is>
          <t>Dream Sangyo Co., Ltd.: a complementary veterinary ultrasound line</t>
        </is>
      </c>
      <c r="X17" s="50" t="inlineStr">
        <is>
          <t>Dear ドリーム産業株式会社 (Dream Sangyo Co., Ltd.) team,
My name is Casper Tan, Senior Regional Sales Manager at AstraMed Healthcare, a subsidiary of CHISON Medical Technologies. I cover Japan, South Korea, Taiwan and Singapore for CHISON veterinary ultrasound. I am writing to Dream Sangyo Co., Ltd. specifically, not to a list. You appear consistently in Japanese veterinary equipment line cards.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8" ht="165" customHeight="1" s="114">
      <c r="A18" s="113" t="n">
        <v>14</v>
      </c>
      <c r="B18" s="41" t="inlineStr">
        <is>
          <t>クロス・メディカルサービス</t>
        </is>
      </c>
      <c r="C18" s="113" t="inlineStr">
        <is>
          <t>Cross Medical Service</t>
        </is>
      </c>
      <c r="D18" s="42" t="inlineStr">
        <is>
          <t>Not started</t>
        </is>
      </c>
      <c r="E18" s="43" t="n"/>
      <c r="F18" s="44" t="n"/>
      <c r="G18" s="45" t="n"/>
      <c r="H18" s="113" t="inlineStr">
        <is>
          <t>Veterinary equipment supplier (クロスメディカル) with 7 SKUs through the Medical Space channel. RELEVANCE CORRECTION: confirmed on the Medical Space supplier list, so they sell into dealers. Same profile as Dream Sangyo — a regional fill-in, not a national appointment.</t>
        </is>
      </c>
      <c r="I18" s="113" t="inlineStr">
        <is>
          <t>Veterinary equipment supplier; 7 SKUs listed through the Medical Space channel.</t>
        </is>
      </c>
      <c r="J18" s="113" t="inlineStr">
        <is>
          <t>Not identified</t>
        </is>
      </c>
      <c r="K18" s="113" t="inlineStr">
        <is>
          <t>Japan</t>
        </is>
      </c>
      <c r="L18" s="113" t="inlineStr">
        <is>
          <t>Search クロス・メディカルサービス 動物</t>
        </is>
      </c>
      <c r="M18" s="113" t="inlineStr">
        <is>
          <t>To be identified</t>
        </is>
      </c>
      <c r="N18" s="113" t="inlineStr">
        <is>
          <t>NOT CONFIRMED</t>
        </is>
      </c>
      <c r="O18" s="113" t="inlineStr">
        <is>
          <t>Japan</t>
        </is>
      </c>
      <c r="P18" s="113" t="inlineStr">
        <is>
          <t>MFR — not a distribution target. Complementary-line / OEM talk only.</t>
        </is>
      </c>
      <c r="Q18" s="113" t="inlineStr">
        <is>
          <t>RELEVANCE CORRECTION (v3): Confirmed on the Medical Space supplier list as 'クロスメディカル' — sells into dealers, not a dealer. Same profile as Dream Sangyo — a regional fill-in rather than a national appointment.</t>
        </is>
      </c>
      <c r="R18" s="113" t="inlineStr">
        <is>
          <t>SonoEye P3 VET</t>
        </is>
      </c>
      <c r="S18" s="53" t="inlineStr">
        <is>
          <t>MFR</t>
        </is>
      </c>
      <c r="T18" s="54" t="inlineStr">
        <is>
          <t>LOW — supplier, not a dealer. Regional fill-in only.</t>
        </is>
      </c>
      <c r="U18" s="113" t="inlineStr">
        <is>
          <t>MFR</t>
        </is>
      </c>
      <c r="V18" s="113" t="inlineStr">
        <is>
          <t>Directory (Medical Space maker index) — verify</t>
        </is>
      </c>
      <c r="W18" s="50" t="inlineStr">
        <is>
          <t>Cross Medical Service: a complementary veterinary ultrasound line</t>
        </is>
      </c>
      <c r="X18" s="50" t="inlineStr">
        <is>
          <t>Dear クロス・メディカルサービス (Cross Medical Service) team,
My name is Casper Tan, Senior Regional Sales Manager at AstraMed Healthcare, a subsidiary of CHISON Medical Technologies. I cover Japan, South Korea, Taiwan and Singapore for CHISON veterinary ultrasound. I am writing to Cross Medical Service specifically, not to a list. You supply veterinary equipment into the Japanese dealer network.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9" ht="165" customHeight="1" s="114">
      <c r="A19" s="113" t="n">
        <v>15</v>
      </c>
      <c r="B19" s="41" t="inlineStr">
        <is>
          <t>ベッツイメージング</t>
        </is>
      </c>
      <c r="C19" s="113" t="inlineStr">
        <is>
          <t>Vets Imaging</t>
        </is>
      </c>
      <c r="D19" s="42" t="inlineStr">
        <is>
          <t>Not started</t>
        </is>
      </c>
      <c r="E19" s="43" t="n"/>
      <c r="F19" s="44" t="n"/>
      <c r="G19" s="45" t="n"/>
      <c r="H19" s="113" t="inlineStr">
        <is>
          <t>Veterinary imaging specialist appearing in the Medical Space maker index. RELEVANCE CORRECTION: confirmed as a supplier of imaging product into dealers. The name implies a competing line, so assume conflict until they say otherwise — but an imaging-only house carries exactly the service-engineer capability a handheld fleet needs, which makes them worth qualifying properly.</t>
        </is>
      </c>
      <c r="I19" s="113" t="inlineStr">
        <is>
          <t>Veterinary imaging specialist appearing in the Medical Space maker index.</t>
        </is>
      </c>
      <c r="J19" s="113" t="inlineStr">
        <is>
          <t>Likely YES (imaging specialist) — confirm</t>
        </is>
      </c>
      <c r="K19" s="113" t="inlineStr">
        <is>
          <t>Japan</t>
        </is>
      </c>
      <c r="L19" s="113" t="inlineStr">
        <is>
          <t>Search ベッツイメージング 動物</t>
        </is>
      </c>
      <c r="M19" s="113" t="inlineStr">
        <is>
          <t>To be identified</t>
        </is>
      </c>
      <c r="N19" s="113" t="inlineStr">
        <is>
          <t>NOT CONFIRMED</t>
        </is>
      </c>
      <c r="O19" s="113" t="inlineStr">
        <is>
          <t>Japan</t>
        </is>
      </c>
      <c r="P19" s="113" t="inlineStr">
        <is>
          <t>MFR — not a distribution target. Complementary-line / OEM talk only.</t>
        </is>
      </c>
      <c r="Q19" s="113" t="inlineStr">
        <is>
          <t>RELEVANCE CORRECTION (v3): Confirmed on the Medical Space supplier list — a supplier of imaging product into dealers. Name says imaging, so assume a competing line until proven otherwise. Still worth qualifying: an imaging-only house has the service engineers a handheld fleet needs.</t>
        </is>
      </c>
      <c r="R19" s="113" t="inlineStr">
        <is>
          <t>SonoEye P3 VET (if their line is cart-only)</t>
        </is>
      </c>
      <c r="S19" s="53" t="inlineStr">
        <is>
          <t>MFR</t>
        </is>
      </c>
      <c r="T19" s="52" t="inlineStr">
        <is>
          <t>MEDIUM — assume a competing line until proven otherwise, but the service engineers are valuable.</t>
        </is>
      </c>
      <c r="U19" s="113" t="inlineStr">
        <is>
          <t>MFR</t>
        </is>
      </c>
      <c r="V19" s="113" t="inlineStr">
        <is>
          <t>Directory (Medical Space maker index) — verify</t>
        </is>
      </c>
      <c r="W19" s="50" t="inlineStr">
        <is>
          <t>Vets Imaging: a complementary veterinary ultrasound line</t>
        </is>
      </c>
      <c r="X19" s="50" t="inlineStr">
        <is>
          <t>Dear ベッツイメージング (Vets Imaging) team,
My name is Casper Tan, Senior Regional Sales Manager at AstraMed Healthcare, a subsidiary of CHISON Medical Technologies. I cover Japan, South Korea, Taiwan and Singapore for CHISON veterinary ultrasound. I am writing to Vets Imaging specifically, not to a list. You specialise in veterinary imaging product for the Japanese market.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(if their line is cart-only).
Would a short call be worthwhile?
Best regards,
Casper Tan
Senior Regional Sales Manager
AstraMed Healthcare, a subsidiary of CHISON Medical Technologies
casper@astramed.sg | +65 8719 0121</t>
        </is>
      </c>
    </row>
    <row r="20" ht="165" customHeight="1" s="114">
      <c r="A20" s="113" t="n">
        <v>16</v>
      </c>
      <c r="B20" s="41" t="inlineStr">
        <is>
          <t>ヒューベス</t>
        </is>
      </c>
      <c r="C20" s="113" t="inlineStr">
        <is>
          <t>Hyubes</t>
        </is>
      </c>
      <c r="D20" s="42" t="inlineStr">
        <is>
          <t>Not started</t>
        </is>
      </c>
      <c r="E20" s="43" t="n"/>
      <c r="F20" s="44" t="n"/>
      <c r="G20" s="45" t="n"/>
      <c r="H20" s="113" t="inlineStr">
        <is>
          <t>Veterinary equipment supplier with 43 SKUs through the Medical Space channel, one of the larger line cards there. RELEVANCE CORRECTION: confirmed as a supplier rather than a dealer. The SKU count implies a genuine in-clinic instrument business, so this is the MFR row most likely to be reclassified upward once someone actually speaks to them.</t>
        </is>
      </c>
      <c r="I20" s="113" t="inlineStr">
        <is>
          <t>Veterinary equipment supplier; 43 SKUs through the Medical Space channel — one of the larger line cards there.</t>
        </is>
      </c>
      <c r="J20" s="113" t="inlineStr">
        <is>
          <t>Not identified</t>
        </is>
      </c>
      <c r="K20" s="113" t="inlineStr">
        <is>
          <t>Japan</t>
        </is>
      </c>
      <c r="L20" s="113" t="inlineStr">
        <is>
          <t>Search ヒューベス 動物病院</t>
        </is>
      </c>
      <c r="M20" s="113" t="inlineStr">
        <is>
          <t>To be identified</t>
        </is>
      </c>
      <c r="N20" s="113" t="inlineStr">
        <is>
          <t>NOT CONFIRMED</t>
        </is>
      </c>
      <c r="O20" s="113" t="inlineStr">
        <is>
          <t>Japan</t>
        </is>
      </c>
      <c r="P20" s="113" t="inlineStr">
        <is>
          <t>MFR — not a distribution target. Complementary-line / OEM talk only.</t>
        </is>
      </c>
      <c r="Q20" s="113" t="inlineStr">
        <is>
          <t>RELEVANCE CORRECTION (v3): Confirmed on the Medical Space supplier list — a supplier, not a dealer. Large SKU count suggests a real in-clinic instrument business. Qualify — this could move up to Tier 2 quickly.</t>
        </is>
      </c>
      <c r="R20" s="113" t="inlineStr">
        <is>
          <t>SonoEye P3 VET + EBit 50 VET</t>
        </is>
      </c>
      <c r="S20" s="53" t="inlineStr">
        <is>
          <t>MFR</t>
        </is>
      </c>
      <c r="T20" s="52" t="inlineStr">
        <is>
          <t>MEDIUM — the largest supplier line card in this group; could move up quickly.</t>
        </is>
      </c>
      <c r="U20" s="113" t="inlineStr">
        <is>
          <t>MFR</t>
        </is>
      </c>
      <c r="V20" s="113" t="inlineStr">
        <is>
          <t>Directory (Medical Space maker index) — verify</t>
        </is>
      </c>
      <c r="W20" s="50" t="inlineStr">
        <is>
          <t>Hyubes: a complementary veterinary ultrasound line</t>
        </is>
      </c>
      <c r="X20" s="50" t="inlineStr">
        <is>
          <t>Dear ヒューベス (Hyubes) team,
My name is Casper Tan, Senior Regional Sales Manager at AstraMed Healthcare, a subsidiary of CHISON Medical Technologies. I cover Japan, South Korea, Taiwan and Singapore for CHISON veterinary ultrasound. I am writing to Hyubes specifically, not to a list. You carry one of the larger veterinary equipment ranges moving through the Japanese dealer network.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and EBit 50 VET.
Would a short call be worthwhile?
Best regards,
Casper Tan
Senior Regional Sales Manager
AstraMed Healthcare, a subsidiary of CHISON Medical Technologies
casper@astramed.sg | +65 8719 0121</t>
        </is>
      </c>
    </row>
    <row r="21" ht="165" customHeight="1" s="114">
      <c r="A21" s="113" t="n">
        <v>17</v>
      </c>
      <c r="B21" s="41" t="inlineStr">
        <is>
          <t>株式会社メニワン</t>
        </is>
      </c>
      <c r="C21" s="113" t="inlineStr">
        <is>
          <t>Meniwan Co., Ltd.</t>
        </is>
      </c>
      <c r="D21" s="42" t="inlineStr">
        <is>
          <t>Not started</t>
        </is>
      </c>
      <c r="E21" s="43" t="n"/>
      <c r="F21" s="44" t="n"/>
      <c r="G21" s="45" t="n"/>
      <c r="H21" s="113" t="inlineStr">
        <is>
          <t>Veterinary products company in rehabilitation, supplements and devices. RELEVANCE: rehabilitation is a genuine musculoskeletal ultrasound use case and the SonoEye P5's high-frequency linear probe suits it — but the company is small relative to everything else on this tab and it manufactures rather than distributes. Long tail.</t>
        </is>
      </c>
      <c r="I21" s="113" t="inlineStr">
        <is>
          <t>Veterinary products — rehabilitation, supplements and devices.</t>
        </is>
      </c>
      <c r="J21" s="113" t="inlineStr">
        <is>
          <t>NO</t>
        </is>
      </c>
      <c r="K21" s="113" t="inlineStr">
        <is>
          <t>Japan</t>
        </is>
      </c>
      <c r="L21" s="113" t="inlineStr">
        <is>
          <t>Search 株式会社メニワン</t>
        </is>
      </c>
      <c r="M21" s="113" t="inlineStr">
        <is>
          <t>To be identified</t>
        </is>
      </c>
      <c r="N21" s="113" t="inlineStr">
        <is>
          <t>NOT CONFIRMED</t>
        </is>
      </c>
      <c r="O21" s="113" t="inlineStr">
        <is>
          <t>Japan</t>
        </is>
      </c>
      <c r="P21" s="113" t="inlineStr">
        <is>
          <t>MFR — not a distribution target. Complementary-line / OEM talk only.</t>
        </is>
      </c>
      <c r="Q21" s="113" t="inlineStr">
        <is>
          <t>RELEVANCE CORRECTION (v3): Product manufacturer (rehabilitation and supplements). Not a distributor. Rehabilitation angle is a genuine niche use case for musculoskeletal ultrasound, but the company is small relative to the others. Long tail.</t>
        </is>
      </c>
      <c r="R21" s="113" t="inlineStr">
        <is>
          <t>SonoEye P5 VET (musculoskeletal, high-frequency)</t>
        </is>
      </c>
      <c r="S21" s="53" t="inlineStr">
        <is>
          <t>MFR</t>
        </is>
      </c>
      <c r="T21" s="54" t="inlineStr">
        <is>
          <t>LOW — small rehabilitation and supplement maker. Niche interest only.</t>
        </is>
      </c>
      <c r="U21" s="113" t="inlineStr">
        <is>
          <t>MFR</t>
        </is>
      </c>
      <c r="V21" s="113" t="inlineStr">
        <is>
          <t>Directory — verify</t>
        </is>
      </c>
      <c r="W21" s="50" t="inlineStr">
        <is>
          <t>Meniwan Co., Ltd.: a complementary veterinary ultrasound line</t>
        </is>
      </c>
      <c r="X21" s="50" t="inlineStr">
        <is>
          <t>Dear 株式会社メニワン (Meniwan Co., Ltd.) team,
My name is Casper Tan, Senior Regional Sales Manager at AstraMed Healthcare, a subsidiary of CHISON Medical Technologies. I cover Japan, South Korea, Taiwan and Singapore for CHISON veterinary ultrasound. I am writing to Meniwan Co., Ltd. specifically, not to a list. You work in veterinary rehabilitation, where musculoskeletal ultrasound, tendon, muscle and joint, is a real and under-served imaging application.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P5 VET (musculoskeletal, high-frequency).
Would a short call be worthwhile?
Best regards,
Casper Tan
Senior Regional Sales Manager
AstraMed Healthcare, a subsidiary of CHISON Medical Technologies
casper@astramed.sg | +65 8719 0121</t>
        </is>
      </c>
    </row>
    <row r="22" ht="165" customHeight="1" s="114">
      <c r="A22" s="113" t="n">
        <v>18</v>
      </c>
      <c r="B22" s="41" t="inlineStr">
        <is>
          <t>有限会社徳島医療器</t>
        </is>
      </c>
      <c r="C22" s="113" t="inlineStr">
        <is>
          <t>Tokushima Iryoki Co., Ltd.</t>
        </is>
      </c>
      <c r="D22" s="42" t="inlineStr">
        <is>
          <t>Not started</t>
        </is>
      </c>
      <c r="E22" s="43" t="n"/>
      <c r="F22" s="44" t="n"/>
      <c r="G22" s="45" t="n"/>
      <c r="H22" s="46" t="inlineStr">
        <is>
          <t>Fukuoka-headquartered veterinary device company covering all of Kyushu, trading 30+ years, sourcing from 150+ manufacturers across a 20,000+ item range. Sells veterinary otoscopes, blood-pressure monitors, surgical equipment and in-clinic fit-out — and, unusually, MAINTAINS what it sells, alongside a clinic-opening service. RELEVANCE: every other serious Japanese candidate is Kanto or Kansai based, leaving Kyushu and western Honshu uncovered. This firm owns that territory with three decades of hospital relationships, and the maintenance capability matters more for a handheld fleet than for a single console.</t>
        </is>
      </c>
      <c r="I22" s="113" t="inlineStr">
        <is>
          <t>Veterinary medical device sales, MAINTENANCE and clinic-opening support. Sells vet otoscopes, blood-pressure monitors, surgical equipment and in-clinic fit-out. 30+ years of trading; sources from 150+ manufacturers across a 20,000+ item range. Opening support covers planning, site selection, permits, equipment selection and installation works.</t>
        </is>
      </c>
      <c r="J22" s="113" t="inlineStr">
        <is>
          <t>YES · represents 50 plus makers including Hitachi Aloka, Konica Minolta, Canon and Fujifilm (corrected 27 Sep 2026)</t>
        </is>
      </c>
      <c r="K22" s="46" t="inlineStr">
        <is>
          <t>HQ Fukuoka; covers ALL Kyushu (Fukuoka, Saga, Oita, Nagasaki, Kumamoto, Miyazaki, Kagoshima) plus parts of Chugoku (Yamaguchi, Okayama, Hiroshima)</t>
        </is>
      </c>
      <c r="L22" s="47" t="inlineStr">
        <is>
          <t>https://www.tokushima-iryoki.co.jp</t>
        </is>
      </c>
      <c r="M22" s="113" t="inlineStr">
        <is>
          <t>TEL 092-596-6562 · FAX 092-596-8525</t>
        </is>
      </c>
      <c r="N22" s="113" t="inlineStr">
        <is>
          <t>Not published — form: tokushima-iryoki.co.jp/contact/</t>
        </is>
      </c>
      <c r="O22" s="41" t="inlineStr">
        <is>
          <t>福岡県大野城市上大利4-11-20</t>
        </is>
      </c>
      <c r="P22" s="113" t="inlineStr">
        <is>
          <t>A — VERIFIED DIRECT (phone + fax off company pages)</t>
        </is>
      </c>
      <c r="Q22" s="113" t="inlineStr">
        <is>
          <t>v11 CORRECTION: the company page lists Hitachi Aloka, Konica Minolta, Canon and Fujifilm among 50 plus makers, so this is not a clean Tier 1. Pitch the handheld tier only. The Kyushu answer. Every other serious candidate is Kanto or Kansai based, so Kyushu and western Honshu are uncovered — and this firm owns that territory with 30 years of hospital relationships. They sell AND maintain, which matters for a handheld fleet, and they do clinic openings, which is when the first scanner gets specified. A regional appointment here costs nothing against a national partner elsewhere.</t>
        </is>
      </c>
      <c r="R22" s="113" t="inlineStr">
        <is>
          <t>SonoEye P3 VET (pocket tier only, never a console)</t>
        </is>
      </c>
      <c r="S22" s="109" t="inlineStr">
        <is>
          <t>TIER 2</t>
        </is>
      </c>
      <c r="T22" s="49" t="inlineStr">
        <is>
          <t>MEDIUM · competing ultrasound brands in the bag</t>
        </is>
      </c>
      <c r="U22" s="113" t="inlineStr">
        <is>
          <t>B</t>
        </is>
      </c>
      <c r="V22" s="113" t="inlineStr">
        <is>
          <t>Re-verified 27 Sep 2026 · company page fetched</t>
        </is>
      </c>
      <c r="W22" s="50" t="inlineStr">
        <is>
          <t>Tokushima Iryoki Co., Ltd.: a handheld tier beside the consoles you sell</t>
        </is>
      </c>
      <c r="X22" s="50" t="inlineStr">
        <is>
          <t>Dear 有限会社徳島医療器 (Tokushima Iryoki Co., Ltd.) team,
My name is Casper Tan, Senior Regional Sales Manager at AstraMed Healthcare, a subsidiary of CHISON Medical Technologies. I cover Japan, South Korea, Taiwan and Singapore for CHISON veterinary ultrasound. I am writing to Tokushima Iryoki Co., Ltd. specifically, not to a list. You have supported veterinary practice across Kyushu for more than thirty years and represent over fifty makers, including established ultrasound brands.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(pocket tier only, never a console).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23" ht="165" customHeight="1" s="114">
      <c r="A23" s="113" t="n">
        <v>19</v>
      </c>
      <c r="B23" s="113" t="inlineStr">
        <is>
          <t>MPアグロ株式会社</t>
        </is>
      </c>
      <c r="C23" s="113" t="inlineStr">
        <is>
          <t>MP AGRO Co., Ltd.</t>
        </is>
      </c>
      <c r="D23" s="42" t="inlineStr">
        <is>
          <t>Not started</t>
        </is>
      </c>
      <c r="E23" s="43" t="n"/>
      <c r="F23" s="44" t="n"/>
      <c r="G23" s="45" t="n"/>
      <c r="H23" s="46" t="inlineStr">
        <is>
          <t>Japan's largest animal-drug wholesaler by revenue, part of Medipal Holdings. Founded 1956 in Asahikawa as Maruzen Pharmaceutical, HQ in Sapporo since 1976. Wholesales veterinary pharmaceuticals nationwide across companion animal and livestock. RELEVANCE: if the goal is distribution reach rather than a boutique partner, this is the top of the list — their reps are inside clinics constantly on the drug order, so a rep-carried handheld demo costs them nothing. The trade-off is a slow, committee-driven decision inside a listed group.</t>
        </is>
      </c>
      <c r="I23" s="113" t="inlineStr">
        <is>
          <t>Japan's LARGEST animal-drug wholesaler by revenue. Part of the Medipal Holdings group. Founded 1956 in Asahikawa as Maruzen Pharmaceutical; HQ moved to Sapporo in 1976. Wholesales veterinary pharmaceuticals and related products nationwide across companion animal and livestock.</t>
        </is>
      </c>
      <c r="J23" s="113" t="inlineStr">
        <is>
          <t>Not identified — confirm</t>
        </is>
      </c>
      <c r="K23" s="46" t="inlineStr">
        <is>
          <t>Sapporo HQ; nationwide</t>
        </is>
      </c>
      <c r="L23" s="47" t="inlineStr">
        <is>
          <t>https://www.mpagro.co.jp</t>
        </is>
      </c>
      <c r="M23" s="113" t="inlineStr">
        <is>
          <t>TEL 03-6666-3300 · FAX 03-6666-1265 (Tokyo HQ — Sales &amp; Development HQ, the right door) · HQ 011-376-3860</t>
        </is>
      </c>
      <c r="N23" s="113" t="inlineStr">
        <is>
          <t>Not published — form: mpagro.co.jp/contact/</t>
        </is>
      </c>
      <c r="O23" s="41" t="inlineStr">
        <is>
          <t>東京本社 〒135-0016 東京都江東区東陽5丁目29-15 · 本社 〒061-1274 北海道北広島市大曲工業団地6-2-13 (CEO 一柳吉孝 · 487 staff · 33 branches + 5 logistics centres)</t>
        </is>
      </c>
      <c r="P23" s="113" t="inlineStr">
        <is>
          <t>A — VERIFIED DIRECT (sales HQ phone off company profile page)</t>
        </is>
      </c>
      <c r="Q23" s="113" t="inlineStr">
        <is>
          <t>The number-one animal-health wholesaler in Japan, inside the Medipal group. If CHISON wants distribution reach rather than a boutique partner, this is the top of the list. Their reps are inside clinics constantly on the drug order, so a rep-carried handheld demo costs them nothing. Expect a slow, corporate process — start it early and in parallel with the smaller houses.</t>
        </is>
      </c>
      <c r="R23" s="113" t="inlineStr">
        <is>
          <t>SonoEye P3 VET (rep-carried) + EBit 50 VET (livestock repro)</t>
        </is>
      </c>
      <c r="S23" s="48" t="inlineStr">
        <is>
          <t>TIER 1</t>
        </is>
      </c>
      <c r="T23" s="49" t="inlineStr">
        <is>
          <t>MEDIUM-HIGH — number one by reach, but expect a slow corporate process.</t>
        </is>
      </c>
      <c r="U23" s="113" t="inlineStr">
        <is>
          <t>E</t>
        </is>
      </c>
      <c r="V23" s="113" t="inlineStr">
        <is>
          <t>Verified — AHHD wholesaler ranking + corporate site</t>
        </is>
      </c>
      <c r="W23" s="50" t="inlineStr">
        <is>
          <t>MP AGRO Co., Ltd.: capital margin on the relationship you already pay for</t>
        </is>
      </c>
      <c r="X23" s="50" t="inlineStr">
        <is>
          <t>Dear MPアグロ株式会社 (MP AGRO Co., Ltd.) team,
My name is Casper Tan, Senior Regional Sales Manager at AstraMed Healthcare, a subsidiary of CHISON Medical Technologies. I cover Japan, South Korea, Taiwan and Singapore for CHISON veterinary ultrasound. I am writing to MP AGRO Co., Ltd. specifically, not to a list. You are the largest animal-health wholesaler in Japan and part of the Medipal group, which means your representatives are inside clinics on a rhythm no equipment company can match. A pocket scanner is the rare piece of capital equipment that a drug representative can actually carry and demonstrate.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(rep-carried) and EBit 50 VET (livestock repro).
Could we find twenty minutes?
Best regards,
Casper Tan
Senior Regional Sales Manager
AstraMed Healthcare, a subsidiary of CHISON Medical Technologies
casper@astramed.sg | +65 8719 0121</t>
        </is>
      </c>
    </row>
    <row r="24" ht="165" customHeight="1" s="114">
      <c r="A24" s="113" t="n">
        <v>20</v>
      </c>
      <c r="B24" s="41" t="inlineStr">
        <is>
          <t>株式会社ファイネス</t>
        </is>
      </c>
      <c r="C24" s="113" t="inlineStr">
        <is>
          <t>Fines Co., Ltd.</t>
        </is>
      </c>
      <c r="D24" s="42" t="inlineStr">
        <is>
          <t>Not started</t>
        </is>
      </c>
      <c r="E24" s="43" t="n"/>
      <c r="F24" s="44" t="n"/>
      <c r="G24" s="45" t="n"/>
      <c r="H24" s="113" t="inlineStr">
        <is>
          <t>Japan's number-two animal-drug wholesaler by revenue. Total wholesale of prescription pharmaceuticals, clinical laboratory reagents, veterinary pharmaceuticals AND medical devices. RELEVANCE: the device licence and the logistics to move equipment — not just consumables — are already in place, which is the specific combination that makes a wholesaler usable for capital equipment. Second only to MP Agro in scale.</t>
        </is>
      </c>
      <c r="I24" s="113" t="inlineStr">
        <is>
          <t>No.2 Japanese animal-drug wholesaler by revenue. Total wholesale of prescription pharmaceuticals, clinical laboratory reagents, VETERINARY pharmaceuticals AND MEDICAL DEVICES.</t>
        </is>
      </c>
      <c r="J24" s="113" t="inlineStr">
        <is>
          <t>Not identified — confirm</t>
        </is>
      </c>
      <c r="K24" s="113" t="inlineStr">
        <is>
          <t>Japan; nationwide</t>
        </is>
      </c>
      <c r="L24" s="113" t="inlineStr">
        <is>
          <t>NOT CONFIRMED — search 株式会社ファイネス 動物用医薬品</t>
        </is>
      </c>
      <c r="M24" s="113" t="inlineStr">
        <is>
          <t>NOT CONFIRMED</t>
        </is>
      </c>
      <c r="N24" s="113" t="inlineStr">
        <is>
          <t>NOT CONFIRMED</t>
        </is>
      </c>
      <c r="O24" s="113" t="inlineStr">
        <is>
          <t>Japan</t>
        </is>
      </c>
      <c r="P24" s="113" t="inlineStr">
        <is>
          <t>D — NOT VERIFIED (company confirmed only via the AHHD wholesaler revenue ranking)</t>
        </is>
      </c>
      <c r="Q24" s="113" t="inlineStr">
        <is>
          <t>Explicitly a device wholesaler as well as a drug wholesaler, which is the combination that matters — they already have the licences and the logistics to move equipment, not just consumables. Second in scale only to MP Agro.</t>
        </is>
      </c>
      <c r="R24" s="113" t="inlineStr">
        <is>
          <t>SonoEye P3 VET + SonoAir 30 VET</t>
        </is>
      </c>
      <c r="S24" s="48" t="inlineStr">
        <is>
          <t>TIER 1</t>
        </is>
      </c>
      <c r="T24" s="49" t="inlineStr">
        <is>
          <t>HIGH — explicitly a device wholesaler, not only a drug wholesaler.</t>
        </is>
      </c>
      <c r="U24" s="113" t="inlineStr">
        <is>
          <t>E</t>
        </is>
      </c>
      <c r="V24" s="113" t="inlineStr">
        <is>
          <t>Verified — AHHD wholesaler ranking; site to confirm</t>
        </is>
      </c>
      <c r="W24" s="50" t="inlineStr">
        <is>
          <t>Fines Co., Ltd.: capital margin on the relationship you already pay for</t>
        </is>
      </c>
      <c r="X24" s="50" t="inlineStr">
        <is>
          <t>Dear 株式会社ファイネス (Fines Co., Ltd.) team,
My name is Casper Tan, Senior Regional Sales Manager at AstraMed Healthcare, a subsidiary of CHISON Medical Technologies. I cover Japan, South Korea, Taiwan and Singapore for CHISON veterinary ultrasound. I am writing to Fines Co., Ltd. specifically, not to a list. You wholesale veterinary pharmaceuticals AND medical devices, which is an unusual combination, most of your peers stop at drugs and reagents. You already have the licences and the logistics to move equipment.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and SonoAir 30 VET.
Could we find twenty minutes?
Best regards,
Casper Tan
Senior Regional Sales Manager
AstraMed Healthcare, a subsidiary of CHISON Medical Technologies
casper@astramed.sg | +65 8719 0121</t>
        </is>
      </c>
    </row>
    <row r="25" ht="165" customHeight="1" s="114">
      <c r="A25" s="113" t="n">
        <v>21</v>
      </c>
      <c r="B25" s="41" t="inlineStr">
        <is>
          <t>株式会社アグロジャパン</t>
        </is>
      </c>
      <c r="C25" s="113" t="inlineStr">
        <is>
          <t>Agro Japan Co., Ltd.</t>
        </is>
      </c>
      <c r="D25" s="42" t="inlineStr">
        <is>
          <t>Not started</t>
        </is>
      </c>
      <c r="E25" s="43" t="n"/>
      <c r="F25" s="44" t="n"/>
      <c r="G25" s="45" t="n"/>
      <c r="H25" s="46" t="inlineStr">
        <is>
          <t>Japan's number-three animal-drug wholesaler by revenue, supplying veterinary pharmaceuticals nationwide. RELEVANCE: large enough to matter nationally, small enough that a new capital line is interesting rather than a rounding error. The open question is whether they carry equipment at all — qualify that before investing time.</t>
        </is>
      </c>
      <c r="I25" s="113" t="inlineStr">
        <is>
          <t>No.3 Japanese animal-drug wholesaler by revenue. Supplies veterinary pharmaceuticals to treat disease in animals and pets; publishes a products page covering the range it carries.</t>
        </is>
      </c>
      <c r="J25" s="113" t="inlineStr">
        <is>
          <t>Not identified — confirm</t>
        </is>
      </c>
      <c r="K25" s="46" t="inlineStr">
        <is>
          <t>Japan; nationwide</t>
        </is>
      </c>
      <c r="L25" s="47" t="inlineStr">
        <is>
          <t>https://www.agrojapan.jp</t>
        </is>
      </c>
      <c r="M25" s="113" t="inlineStr">
        <is>
          <t>NOT CONFIRMED</t>
        </is>
      </c>
      <c r="N25" s="113" t="inlineStr">
        <is>
          <t>NOT CONFIRMED</t>
        </is>
      </c>
      <c r="O25" s="113" t="inlineStr">
        <is>
          <t>Japan</t>
        </is>
      </c>
      <c r="P25" s="113" t="inlineStr">
        <is>
          <t>C — SITE LIVE, NOT OPENED (products page returned by search; contact details unconfirmed)</t>
        </is>
      </c>
      <c r="Q25" s="113" t="inlineStr">
        <is>
          <t>Third-largest animal-health wholesaler and a realistic target — large enough to matter nationally, small enough that a new capital line is interesting rather than a rounding error. Qualify whether they carry equipment at all before investing.</t>
        </is>
      </c>
      <c r="R25" s="113" t="inlineStr">
        <is>
          <t>SonoEye P3 VET</t>
        </is>
      </c>
      <c r="S25" s="51" t="inlineStr">
        <is>
          <t>TIER 2</t>
        </is>
      </c>
      <c r="T25" s="52" t="inlineStr">
        <is>
          <t>MEDIUM — right size to care about a new capital line, but confirm they handle equipment at all.</t>
        </is>
      </c>
      <c r="U25" s="113" t="inlineStr">
        <is>
          <t>E</t>
        </is>
      </c>
      <c r="V25" s="113" t="inlineStr">
        <is>
          <t>Verified — AHHD wholesaler ranking + corporate site</t>
        </is>
      </c>
      <c r="W25" s="50" t="inlineStr">
        <is>
          <t>Agro Japan Co., Ltd.: capital margin on the relationship you already pay for</t>
        </is>
      </c>
      <c r="X25" s="50" t="inlineStr">
        <is>
          <t>Dear 株式会社アグロジャパン (Agro Japan Co., Ltd.) team,
My name is Casper Tan, Senior Regional Sales Manager at AstraMed Healthcare, a subsidiary of CHISON Medical Technologies. I cover Japan, South Korea, Taiwan and Singapore for CHISON veterinary ultrasound. I am writing to Agro Japan Co., Ltd. specifically, not to a list. You are among the largest veterinary pharmaceutical wholesalers in Japan, and large enough to matter nationally while still being a company for whom a new capital line is interesting rather than a rounding error.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Could we find twenty minutes?
Best regards,
Casper Tan
Senior Regional Sales Manager
AstraMed Healthcare, a subsidiary of CHISON Medical Technologies
casper@astramed.sg | +65 8719 0121</t>
        </is>
      </c>
    </row>
    <row r="26" ht="165" customHeight="1" s="114">
      <c r="A26" s="113" t="n">
        <v>22</v>
      </c>
      <c r="B26" s="41" t="inlineStr">
        <is>
          <t>森久保薬品株式会社</t>
        </is>
      </c>
      <c r="C26" s="113" t="inlineStr">
        <is>
          <t>Morikubo Pharmaceutical Co., Ltd.</t>
        </is>
      </c>
      <c r="D26" s="42" t="inlineStr">
        <is>
          <t>Not started</t>
        </is>
      </c>
      <c r="E26" s="43" t="n"/>
      <c r="F26" s="44" t="n"/>
      <c r="G26" s="45" t="n"/>
      <c r="H26" s="113" t="inlineStr">
        <is>
          <t>Japan's number-five animal-drug wholesaler, a specialist veterinary trading company handling animal pharmaceuticals, feed AND medical equipment. RELEVANCE: because equipment is already in their own description of themselves, the capital-goods conversation is not a stretch. Good mid-size target sitting between the giants and the boutiques.</t>
        </is>
      </c>
      <c r="I26" s="113" t="inlineStr">
        <is>
          <t>No.5 Japanese animal-drug wholesaler. Specialist veterinary trading company handling animal pharmaceuticals, FEED and MEDICAL EQUIPMENT.</t>
        </is>
      </c>
      <c r="J26" s="113" t="inlineStr">
        <is>
          <t>Not identified — confirm</t>
        </is>
      </c>
      <c r="K26" s="113" t="inlineStr">
        <is>
          <t>Japan; nationwide</t>
        </is>
      </c>
      <c r="L26" s="113" t="inlineStr">
        <is>
          <t>NOT CONFIRMED — search 森久保薬品</t>
        </is>
      </c>
      <c r="M26" s="113" t="inlineStr">
        <is>
          <t>NOT CONFIRMED</t>
        </is>
      </c>
      <c r="N26" s="113" t="inlineStr">
        <is>
          <t>NOT CONFIRMED</t>
        </is>
      </c>
      <c r="O26" s="113" t="inlineStr">
        <is>
          <t>Japan</t>
        </is>
      </c>
      <c r="P26" s="113" t="inlineStr">
        <is>
          <t>D — NOT VERIFIED (company confirmed only via the AHHD wholesaler revenue ranking)</t>
        </is>
      </c>
      <c r="Q26" s="113" t="inlineStr">
        <is>
          <t>One of the few wholesalers whose own description names medical equipment alongside drugs and feed — so the equipment conversation is not a stretch for them. Good mid-size target between the giants and the boutiques.</t>
        </is>
      </c>
      <c r="R26" s="113" t="inlineStr">
        <is>
          <t>SonoEye P3 VET + EBit 50 VET</t>
        </is>
      </c>
      <c r="S26" s="48" t="inlineStr">
        <is>
          <t>TIER 1</t>
        </is>
      </c>
      <c r="T26" s="49" t="inlineStr">
        <is>
          <t>HIGH — one of the few wholesalers whose own description names medical equipment.</t>
        </is>
      </c>
      <c r="U26" s="113" t="inlineStr">
        <is>
          <t>E</t>
        </is>
      </c>
      <c r="V26" s="113" t="inlineStr">
        <is>
          <t>Verified — AHHD wholesaler ranking; site to confirm</t>
        </is>
      </c>
      <c r="W26" s="50" t="inlineStr">
        <is>
          <t>Morikubo Pharmaceutical Co., Ltd.: capital margin on the relationship you already pay for</t>
        </is>
      </c>
      <c r="X26" s="50" t="inlineStr">
        <is>
          <t>Dear 森久保薬品株式会社 (Morikubo Pharmaceutical Co., Ltd.) team,
My name is Casper Tan, Senior Regional Sales Manager at AstraMed Healthcare, a subsidiary of CHISON Medical Technologies. I cover Japan, South Korea, Taiwan and Singapore for CHISON veterinary ultrasound. I am writing to Morikubo Pharmaceutical Co., Ltd. specifically, not to a list. Your own description names medical equipment alongside pharmaceuticals and feed, which puts you in a small group of Japanese veterinary wholesalers for whom an equipment conversation is not a stretch.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and EBit 50 VET.
Could we find twenty minutes?
Best regards,
Casper Tan
Senior Regional Sales Manager
AstraMed Healthcare, a subsidiary of CHISON Medical Technologies
casper@astramed.sg | +65 8719 0121</t>
        </is>
      </c>
    </row>
    <row r="27" ht="165" customHeight="1" s="114">
      <c r="A27" s="113" t="n">
        <v>23</v>
      </c>
      <c r="B27" s="41" t="inlineStr">
        <is>
          <t>株式会社サン・ダイコー</t>
        </is>
      </c>
      <c r="C27" s="113" t="inlineStr">
        <is>
          <t>Sun Daiko Co., Ltd.</t>
        </is>
      </c>
      <c r="D27" s="42" t="inlineStr">
        <is>
          <t>Not started</t>
        </is>
      </c>
      <c r="E27" s="43" t="n"/>
      <c r="F27" s="44" t="n"/>
      <c r="G27" s="45" t="n"/>
      <c r="H27" s="113" t="inlineStr">
        <is>
          <t>Japan's number-four animal-drug wholesaler by revenue, positioned on 'food and health' and weighted towards livestock. RELEVANCE: the wrong company for a companion-animal handheld pitch and the right one for bovine and swine reproductive scanning. Lead on pregnancy-diagnosis throughput per technician, not on clinic diagnostics.</t>
        </is>
      </c>
      <c r="I27" s="113" t="inlineStr">
        <is>
          <t>No.4 Japanese animal-drug wholesaler by revenue. Positions on 'food and health', supplying safe products and contributing to community health; livestock-weighted.</t>
        </is>
      </c>
      <c r="J27" s="113" t="inlineStr">
        <is>
          <t>Not identified — confirm</t>
        </is>
      </c>
      <c r="K27" s="113" t="inlineStr">
        <is>
          <t>Japan</t>
        </is>
      </c>
      <c r="L27" s="113" t="inlineStr">
        <is>
          <t>NOT CONFIRMED — search サン・ダイコー 動物用医薬品</t>
        </is>
      </c>
      <c r="M27" s="113" t="inlineStr">
        <is>
          <t>NOT CONFIRMED</t>
        </is>
      </c>
      <c r="N27" s="113" t="inlineStr">
        <is>
          <t>NOT CONFIRMED</t>
        </is>
      </c>
      <c r="O27" s="113" t="inlineStr">
        <is>
          <t>Japan</t>
        </is>
      </c>
      <c r="P27" s="113" t="inlineStr">
        <is>
          <t>D — NOT VERIFIED (company confirmed only via the AHHD wholesaler revenue ranking)</t>
        </is>
      </c>
      <c r="Q27" s="113" t="inlineStr">
        <is>
          <t>Livestock-weighted positioning makes them the best fit for the bovine and swine reproductive-scanning case rather than companion animal. Different pitch from the rest of this tab — lead with pregnancy diagnosis throughput, not with clinic diagnostics.</t>
        </is>
      </c>
      <c r="R27" s="113" t="inlineStr">
        <is>
          <t>EBit 50 VET (bovine/swine repro) + SonoEye P3 VET</t>
        </is>
      </c>
      <c r="S27" s="51" t="inlineStr">
        <is>
          <t>TIER 2</t>
        </is>
      </c>
      <c r="T27" s="52" t="inlineStr">
        <is>
          <t>MEDIUM — livestock-weighted, so a different pitch entirely: EBit 50, not clinic diagnostics.</t>
        </is>
      </c>
      <c r="U27" s="113" t="inlineStr">
        <is>
          <t>E</t>
        </is>
      </c>
      <c r="V27" s="113" t="inlineStr">
        <is>
          <t>Verified — AHHD wholesaler ranking; site to confirm</t>
        </is>
      </c>
      <c r="W27" s="50" t="inlineStr">
        <is>
          <t>Sun Daiko Co., Ltd.: capital margin on the relationship you already pay for</t>
        </is>
      </c>
      <c r="X27" s="50" t="inlineStr">
        <is>
          <t>Dear 株式会社サン・ダイコー (Sun Daiko Co., Ltd.) team,
My name is Casper Tan, Senior Regional Sales Manager at AstraMed Healthcare, a subsidiary of CHISON Medical Technologies. I cover Japan, South Korea, Taiwan and Singapore for CHISON veterinary ultrasound. I am writing to Sun Daiko Co., Ltd. specifically, not to a list. Your livestock weighting is the reason I am writing, and it makes this a different conversation from the companion-animal one: bovine and swine reproductive scanning, where throughput per technician is the number that matters.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EBit 50 VET (bovine/swine repro) and SonoEye P3 VET.
Could we find twenty minutes?
Best regards,
Casper Tan
Senior Regional Sales Manager
AstraMed Healthcare, a subsidiary of CHISON Medical Technologies
casper@astramed.sg | +65 8719 0121</t>
        </is>
      </c>
    </row>
    <row r="28" ht="165" customHeight="1" s="114">
      <c r="A28" s="113" t="n">
        <v>24</v>
      </c>
      <c r="B28" s="41" t="inlineStr">
        <is>
          <t>富士平工業株式会社</t>
        </is>
      </c>
      <c r="C28" s="113" t="inlineStr">
        <is>
          <t>Fujihira Industry Co., Ltd.</t>
        </is>
      </c>
      <c r="D28" s="42" t="inlineStr">
        <is>
          <t>Not started</t>
        </is>
      </c>
      <c r="E28" s="43" t="n"/>
      <c r="F28" s="44" t="n"/>
      <c r="G28" s="45" t="n"/>
      <c r="H28" s="46" t="inlineStr">
        <is>
          <t>Historic veterinary instrument manufacturer and distributor in Tokyo: surgical instruments, large-animal obstetric and reproduction equipment, laboratory apparatus. Appears on Medical Space's supplier index. RELEVANCE: their large-animal reproduction range sits directly beside EBit 50 VET with no overlap at all, which makes a complementary-line or OEM conversation genuinely sensible — but they sell INTO the dealers you are recruiting, so never treat this as a distribution appointment.</t>
        </is>
      </c>
      <c r="I28" s="113" t="inlineStr">
        <is>
          <t>Historic veterinary instrument manufacturer and distributor. Surgical instruments, large-animal obstetric and reproduction equipment, laboratory apparatus. Appears on Medical Space's supplier index.</t>
        </is>
      </c>
      <c r="J28" s="113" t="inlineStr">
        <is>
          <t>Not identified in the published catalogue</t>
        </is>
      </c>
      <c r="K28" s="46" t="inlineStr">
        <is>
          <t>Tokyo; nationwide</t>
        </is>
      </c>
      <c r="L28" s="47" t="inlineStr">
        <is>
          <t>https://www.fujihira.co.jp</t>
        </is>
      </c>
      <c r="M28" s="113" t="inlineStr">
        <is>
          <t>NOT CONFIRMED — via company site</t>
        </is>
      </c>
      <c r="N28" s="113" t="inlineStr">
        <is>
          <t>NOT CONFIRMED — via company site</t>
        </is>
      </c>
      <c r="O28" s="113" t="inlineStr">
        <is>
          <t>Tokyo, Japan</t>
        </is>
      </c>
      <c r="P28" s="113" t="inlineStr">
        <is>
          <t>D — NOT VERIFIED (company confirmed via the Medical Space supplier index and trade listings; site not opened by us)</t>
        </is>
      </c>
      <c r="Q28" s="113" t="inlineStr">
        <is>
          <t>Sells INTO Japanese veterinary dealers rather than alongside them, so this is a complementary-line or OEM conversation, not a distribution appointment. Their large-animal reproduction range sits directly next to EBit 50 VET with no overlap. Carried from workbook v2.0, where it was already graded MFR.</t>
        </is>
      </c>
      <c r="R28" s="113" t="inlineStr">
        <is>
          <t>EBit 50 VET (bovine/swine reproduction) — complementary line</t>
        </is>
      </c>
      <c r="S28" s="53" t="inlineStr">
        <is>
          <t>MFR</t>
        </is>
      </c>
      <c r="T28" s="54" t="inlineStr">
        <is>
          <t>LOW-MEDIUM — manufacturer. Complementary-line or OEM only, never a distribution appointment.</t>
        </is>
      </c>
      <c r="U28" s="113" t="inlineStr">
        <is>
          <t>MFR</t>
        </is>
      </c>
      <c r="V28" s="113" t="inlineStr">
        <is>
          <t>Carried from CHISON_VET_Dealer_and_EndUser_Workbook_v2.0 (merged into v6, 6 Aug 2026)</t>
        </is>
      </c>
      <c r="W28" s="50" t="inlineStr">
        <is>
          <t>Fujihira Industry Co., Ltd.: CHISON veterinary ultrasound, an introduction</t>
        </is>
      </c>
      <c r="X28" s="50" t="inlineStr">
        <is>
          <t>Dear 富士平工業株式会社 (Fujihira Industry Co., Ltd.) team,
My name is Casper Tan, Senior Regional Sales Manager at AstraMed Healthcare, a subsidiary of CHISON Medical Technologies. I cover Singapore, Japan, South Korea and Taiwan for CHISON veterinary ultrasound.
Fujihira has built veterinary surgical and large-animal reproduction instruments for decades, and your range reaches the same dealers we are talking to. I am not writing to ask you to distribute for us.
To be simple about where we are: CHISON is completing the MAFF foreign-manufacturer route and a Japanese marketing authorisation holder, so this note is about the relationship and an evaluation, not an order.
The product I would lead with for you is EBit 50 VET (bovine/swine reproduction), complementary line.
Would you be open to a short call about whether a veterinary ultrasound line sits usefully alongside your reproduction range, either as a complementary product or on an OEM basis?
Kind regards,
Casper Tan
Senior Regional Sales Manager, AstraMed Healthcare
CHISON veterinary ultrasound (Singapore · Japan · South Korea · Taiwan)
casper@astramed.sg</t>
        </is>
      </c>
    </row>
    <row r="29" ht="165" customHeight="1" s="114">
      <c r="A29" s="113" t="n">
        <v>25</v>
      </c>
      <c r="B29" s="41" t="inlineStr">
        <is>
          <t>フクダエム・イー工業株式会社</t>
        </is>
      </c>
      <c r="C29" s="113" t="inlineStr">
        <is>
          <t>Fukuda M-E Kogyo Co., Ltd.</t>
        </is>
      </c>
      <c r="D29" s="42" t="inlineStr">
        <is>
          <t>Not started</t>
        </is>
      </c>
      <c r="E29" s="43" t="n"/>
      <c r="F29" s="44" t="n"/>
      <c r="G29" s="45" t="n"/>
      <c r="H29" s="46" t="inlineStr">
        <is>
          <t>Veterinary patient-monitoring specialist in Tokyo — anaesthesia monitors, ECG and vital-sign equipment for animal hospitals. RELEVANCE: their equipment sits in the theatres and wards where a handheld gets used, and monitoring and point-of-care imaging are bought by the same person from the same budget. No imaging line to defend. They manufacture, so the honest first conversation is complementary-line rather than distribution.</t>
        </is>
      </c>
      <c r="I29" s="113" t="inlineStr">
        <is>
          <t>Veterinary patient-monitoring specialist — anaesthesia monitors, ECG, vital-sign equipment for animal hospitals.</t>
        </is>
      </c>
      <c r="J29" s="113" t="inlineStr">
        <is>
          <t>Not identified — monitoring, not imaging</t>
        </is>
      </c>
      <c r="K29" s="46" t="inlineStr">
        <is>
          <t>Tokyo; nationwide</t>
        </is>
      </c>
      <c r="L29" s="47" t="inlineStr">
        <is>
          <t>https://www.fukuda-me.co.jp</t>
        </is>
      </c>
      <c r="M29" s="113" t="inlineStr">
        <is>
          <t>NOT CONFIRMED — via company site</t>
        </is>
      </c>
      <c r="N29" s="113" t="inlineStr">
        <is>
          <t>NOT CONFIRMED — via company site</t>
        </is>
      </c>
      <c r="O29" s="113" t="inlineStr">
        <is>
          <t>Tokyo, Japan</t>
        </is>
      </c>
      <c r="P29" s="113" t="inlineStr">
        <is>
          <t>D — NOT VERIFIED (company known from the veterinary monitoring segment; site not opened by us)</t>
        </is>
      </c>
      <c r="Q29" s="113" t="inlineStr">
        <is>
          <t>A monitoring house with theatre and ward access but no imaging line — the classic attach-rate second line. Graded MFR in workbook v2.0 because they manufacture; the complementary-line conversation is the honest one to have first.</t>
        </is>
      </c>
      <c r="R29" s="113" t="inlineStr">
        <is>
          <t>SonoEye P3 VET (peri-operative and vascular access)</t>
        </is>
      </c>
      <c r="S29" s="53" t="inlineStr">
        <is>
          <t>MFR</t>
        </is>
      </c>
      <c r="T29" s="54" t="inlineStr">
        <is>
          <t>LOW-MEDIUM — monitoring house with theatre access; classic attach-rate second line.</t>
        </is>
      </c>
      <c r="U29" s="113" t="inlineStr">
        <is>
          <t>D</t>
        </is>
      </c>
      <c r="V29" s="113" t="inlineStr">
        <is>
          <t>Carried from CHISON_VET_Dealer_and_EndUser_Workbook_v2.0 (merged into v6, 6 Aug 2026)</t>
        </is>
      </c>
      <c r="W29" s="50" t="inlineStr">
        <is>
          <t>Fukuda M-E Kogyo Co., Ltd.: CHISON veterinary ultrasound, an introduction</t>
        </is>
      </c>
      <c r="X29" s="50" t="inlineStr">
        <is>
          <t>Dear フクダエム・イー工業株式会社 (Fukuda M-E Kogyo Co., Ltd.) team,
My name is Casper Tan, Senior Regional Sales Manager at AstraMed Healthcare, a subsidiary of CHISON Medical Technologies. I cover Singapore, Japan, South Korea and Taiwan for CHISON veterinary ultrasound.
Fukuda M-E monitors sit in the theatres and wards we would want a handheld scanner in, and monitoring and point-of-care imaging are bought by the same person on the same day.
To be simple about where we are: CHISON is completing the MAFF foreign-manufacturer route and a Japanese marketing authorisation holder, so this note is about the relationship and an evaluation, not an order.
The product I would lead with for you is SonoEye P3 VET (peri-operative and vascular access).
Could we have a short call about whether a handheld veterinary scanner is a sensible complementary line next to your monitoring range?
Kind regards,
Casper Tan
Senior Regional Sales Manager, AstraMed Healthcare
CHISON veterinary ultrasound (Singapore · Japan · South Korea · Taiwan)
casper@astramed.sg</t>
        </is>
      </c>
    </row>
    <row r="30" ht="165" customHeight="1" s="114">
      <c r="A30" s="113" t="n">
        <v>26</v>
      </c>
      <c r="B30" s="41" t="inlineStr">
        <is>
          <t>株式会社ペットメディックプロ (PETMEDIC PRO)</t>
        </is>
      </c>
      <c r="C30" s="113" t="inlineStr">
        <is>
          <t>PETMEDIC PRO</t>
        </is>
      </c>
      <c r="D30" s="42" t="inlineStr">
        <is>
          <t>Not started</t>
        </is>
      </c>
      <c r="E30" s="43" t="n"/>
      <c r="F30" s="44" t="n"/>
      <c r="G30" s="45" t="n"/>
      <c r="H30" s="46" t="inlineStr">
        <is>
          <t>Veterinary e-commerce platform selling equipment and supplies to Japanese animal hospitals. RELEVANCE: no field sales force, so it will never carry a console — but probes, gel, accessories and a pocket-format scanner suit the format, and it reaches small clinics that no dealer rep visits regularly. Low effort, low priority, real incremental reach.</t>
        </is>
      </c>
      <c r="I30" s="113" t="inlineStr">
        <is>
          <t>Veterinary e-commerce platform selling equipment and supplies to animal hospitals.</t>
        </is>
      </c>
      <c r="J30" s="113" t="inlineStr">
        <is>
          <t>Not identified in the published catalogue</t>
        </is>
      </c>
      <c r="K30" s="46" t="inlineStr">
        <is>
          <t>Online; nationwide</t>
        </is>
      </c>
      <c r="L30" s="47" t="inlineStr">
        <is>
          <t>https://petmedic-pro.com</t>
        </is>
      </c>
      <c r="M30" s="113" t="inlineStr">
        <is>
          <t>NOT CONFIRMED — enquiry via site</t>
        </is>
      </c>
      <c r="N30" s="113" t="inlineStr">
        <is>
          <t>NOT CONFIRMED — enquiry via site</t>
        </is>
      </c>
      <c r="O30" s="113" t="inlineStr">
        <is>
          <t>Japan (online)</t>
        </is>
      </c>
      <c r="P30" s="113" t="inlineStr">
        <is>
          <t>D — NOT VERIFIED (platform found by search; store pages not opened by us)</t>
        </is>
      </c>
      <c r="Q30" s="113" t="inlineStr">
        <is>
          <t>An online shelf rather than a field sales force, so it will not carry a console — but probes, gel, accessories and the pocket tier suit the format. Low effort, low priority, real reach into small clinics.</t>
        </is>
      </c>
      <c r="R30" s="113" t="inlineStr">
        <is>
          <t>SonoEye P3 VET pocket tier and accessories</t>
        </is>
      </c>
      <c r="S30" s="55" t="inlineStr">
        <is>
          <t>TIER 3</t>
        </is>
      </c>
      <c r="T30" s="54" t="inlineStr">
        <is>
          <t>LOW — an online shelf, not a sales force. Accessories and pocket tier only.</t>
        </is>
      </c>
      <c r="U30" s="113" t="inlineStr">
        <is>
          <t>A</t>
        </is>
      </c>
      <c r="V30" s="113" t="inlineStr">
        <is>
          <t>Carried from CHISON_VET_Dealer_and_EndUser_Workbook_v2.0 (merged into v6, 6 Aug 2026)</t>
        </is>
      </c>
      <c r="W30" s="50" t="inlineStr">
        <is>
          <t>PETMEDIC PRO: CHISON veterinary ultrasound, an introduction</t>
        </is>
      </c>
      <c r="X30" s="50" t="inlineStr">
        <is>
          <t>Dear 株式会社ペットメディックプロ (PETMEDIC PRO) team,
My name is Casper Tan, Senior Regional Sales Manager at AstraMed Healthcare, a subsidiary of CHISON Medical Technologies. I cover Singapore, Japan, South Korea and Taiwan for CHISON veterinary ultrasound.
PETMEDIC PRO reaches small animal hospitals that no field dealer calls on regularly, and a pocket-format scanner is one of the few imaging products that actually sells through an online shelf.
To be simple about where we are: CHISON is completing the MAFF foreign-manufacturer route and a Japanese marketing authorisation holder, so this note is about the relationship and an evaluation, not an order.
The product I would lead with for you is SonoEye P3 VET pocket tier and accessories.
Would you consider listing a veterinary handheld scanner, and could we talk about what your listing process requires?
Kind regards,
Casper Tan
Senior Regional Sales Manager, AstraMed Healthcare
CHISON veterinary ultrasound (Singapore · Japan · South Korea · Taiwan)
casper@astramed.sg</t>
        </is>
      </c>
    </row>
    <row r="31" ht="165" customHeight="1" s="114">
      <c r="A31" s="113" t="n">
        <v>27</v>
      </c>
      <c r="B31" s="41" t="inlineStr">
        <is>
          <t>エーエスワン（AS-1／大阪）</t>
        </is>
      </c>
      <c r="C31" s="113" t="inlineStr">
        <is>
          <t>AS-1 Co. (Osaka)</t>
        </is>
      </c>
      <c r="D31" s="42" t="inlineStr">
        <is>
          <t>Not started</t>
        </is>
      </c>
      <c r="E31" s="43" t="n"/>
      <c r="F31" s="44" t="n"/>
      <c r="G31" s="45" t="n"/>
      <c r="H31" s="113" t="inlineStr">
        <is>
          <t>Listed in the older file only as 'AS-1 / エーエスワン, Osaka Nishi-ku'. FOLLOW-UP: ASCO Corporation has now been confirmed as a Sala Group company based in Toyohashi with 22 branches, so the two are NOT the same company and the duplicate flag is cleared. The Osaka Nishi-ku address points strongly to AS ONE Corporation (アズワン), the large laboratory, medical and industrial catalogue distributor headquartered there. RELEVANCE: if that identification is right, this is a catalogue business rather than a veterinary clinical channel — useful for reach and for accessories, weak for a consultative capital sale. Confirm the entity on first contact before investing further.</t>
        </is>
      </c>
      <c r="I31" s="113" t="inlineStr">
        <is>
          <t>Veterinary equipment distributor, Osaka Nishi-ku. POSSIBLE DUPLICATE of 株式会社アスコ (ASCO Corporation) on row 6 of this tab — the two appeared in different source files under similar romanisations and have not been reconciled.</t>
        </is>
      </c>
      <c r="J31" s="113" t="inlineStr">
        <is>
          <t>Not identified — confirm on first contact</t>
        </is>
      </c>
      <c r="K31" s="113" t="inlineStr">
        <is>
          <t>Osaka (Nishi-ku)</t>
        </is>
      </c>
      <c r="L31" s="113" t="inlineStr">
        <is>
          <t>NOT CONFIRMED — search AS-1 動物用医療機器 大阪</t>
        </is>
      </c>
      <c r="M31" s="113" t="inlineStr">
        <is>
          <t>NOT CONFIRMED</t>
        </is>
      </c>
      <c r="N31" s="113" t="inlineStr">
        <is>
          <t>NOT CONFIRMED</t>
        </is>
      </c>
      <c r="O31" s="113" t="inlineStr">
        <is>
          <t>Osaka, Japan</t>
        </is>
      </c>
      <c r="P31" s="113" t="inlineStr">
        <is>
          <t>D — NOT VERIFIED (name and city only, from the Market Development list; no confirmed URL)</t>
        </is>
      </c>
      <c r="Q31" s="113" t="inlineStr">
        <is>
          <t>CORRECTION FLAG: verify whether this is the same company as ASCO Corporation (row 6) before contacting either. Do not email both doors blind. If distinct, it is a Kansai-region distributor and a reasonable Tier 3 fill-in for western Japan.</t>
        </is>
      </c>
      <c r="R31" s="113" t="inlineStr">
        <is>
          <t>SonoEye P3 VET</t>
        </is>
      </c>
      <c r="S31" s="55" t="inlineStr">
        <is>
          <t>TIER 3</t>
        </is>
      </c>
      <c r="T31" s="54" t="inlineStr">
        <is>
          <t>LOW-MEDIUM — RESOLVED AUGUST 2026: NOT a duplicate of ASCO. Very likely AS ONE Corporation, a catalogue distributor.</t>
        </is>
      </c>
      <c r="U31" s="113" t="inlineStr">
        <is>
          <t>A</t>
        </is>
      </c>
      <c r="V31" s="113" t="inlineStr">
        <is>
          <t>Carried from CHISON_Market_Development_Target_List_v2 (merged into v6, 6 Aug 2026) — POSSIBLE DUPLICATE OF ROW 6, verify first</t>
        </is>
      </c>
      <c r="W31" s="50" t="inlineStr">
        <is>
          <t>AS-1 Co. (Osaka): CHISON veterinary ultrasound, an introduction</t>
        </is>
      </c>
      <c r="X31" s="50" t="inlineStr">
        <is>
          <t>Dear エーエスワン (AS-1 Co.) team,
My name is Casper Tan, Senior Regional Sales Manager at AstraMed Healthcare, a subsidiary of CHISON Medical Technologies. I cover Singapore, Japan, South Korea and Taiwan for CHISON veterinary ultrasound.
AS-1 covers the Kansai animal hospitals that a Tokyo-based dealer reaches last, and western Japan is where our coverage is thinnest.
To be simple about where we are: CHISON is completing the MAFF foreign-manufacturer route and a Japanese marketing authorisation holder, so this note is about the relationship and an evaluation, not an order.
The product I would lead with for you is SonoEye P3 VET.
Before anything else, could you confirm your legal company name and whether you are the same entity as ASCO, I would rather ask than write to two doors of the same company. If we are talking to the right office, I would welcome a short introductory call.
Kind regards,
Casper Tan
Senior Regional Sales Manager, AstraMed Healthcare
CHISON veterinary ultrasound (Singapore · Japan · South Korea · Taiwan)
casper@astramed.sg</t>
        </is>
      </c>
    </row>
    <row r="32" ht="165" customHeight="1" s="114">
      <c r="A32" s="113" t="n">
        <v>28</v>
      </c>
      <c r="B32" s="41" t="inlineStr">
        <is>
          <t>株式会社インターメディカル</t>
        </is>
      </c>
      <c r="C32" s="113" t="inlineStr">
        <is>
          <t>Inter Medical Co., Ltd. (intermedical.jp)</t>
        </is>
      </c>
      <c r="D32" s="42" t="inlineStr">
        <is>
          <t>Not started</t>
        </is>
      </c>
      <c r="E32" s="43" t="n"/>
      <c r="F32" s="44" t="n"/>
      <c r="G32" s="45" t="n"/>
      <c r="H32" s="113" t="inlineStr">
        <is>
          <t>Tokyo used-and-new medical equipment house, founded roughly 40 years ago and describing itself as a pioneer of the Japanese used-medical-equipment trade; JAHID member. Sells, buys back and disposes of equipment across the whole life of a practice, from opening to closure. RELEVANCE: it publishes a dedicated 動物病院関連機器 (animal-hospital equipment) category, AND states it holds a 動物用高度管理医療機器等販売・賃貸業許可 — the Japanese licence to SELL AND LEASE animal high-grade medical devices. Very few companies on this tab are already licensed on the animal side. NEW IN v9 — carried across from the human-diagnostic Market Development list v3 (Japan row 10), where the veterinary side was not identified.</t>
        </is>
      </c>
      <c r="I32" s="113" t="inlineStr">
        <is>
          <t>Used and new medical equipment sales, purchase and disposal. Dedicated animal-hospital equipment category. Holds 動物用高度管理医療機器等販売・賃貸業許可 (animal high-grade device sales and lease licence).</t>
        </is>
      </c>
      <c r="J32" s="113" t="inlineStr">
        <is>
          <t>YES — but as USED STOCK, not a brand agency. Their veterinary listings show used GE Versana Active, GE Venue Go and Hitachi ARIETTA Prologue LE, and they mark veterinary ultrasound 中古希少 (scarce in the used market). No new-equipment ultrasound agency identified — confirm on the first call.</t>
        </is>
      </c>
      <c r="K32" s="113" t="inlineStr">
        <is>
          <t>Tokyo (head office, Bunkyo-ku); nationwide trade; founded c.1985</t>
        </is>
      </c>
      <c r="L32" s="47" t="inlineStr">
        <is>
          <t>https://www.intermedical.jp</t>
        </is>
      </c>
      <c r="M32" s="113" t="inlineStr">
        <is>
          <t>NOT CONFIRMED — company pages returned 404/403 on 8 Aug 2026; enquiry via the site</t>
        </is>
      </c>
      <c r="N32" s="113" t="inlineStr">
        <is>
          <t>NOT CONFIRMED — enquiry form on intermedical.jp</t>
        </is>
      </c>
      <c r="O32" s="41" t="inlineStr">
        <is>
          <t>〒113-0034 東京都文京区湯島2丁目27番2号 (head office). Business hours 9:00–17:30, closed weekends and holidays.</t>
        </is>
      </c>
      <c r="P32" s="113" t="inlineStr">
        <is>
          <t>C — SITE LIVE, NOT OPENED for contact. Product pages and the licence statement WERE opened and read (8 Aug 2026); the company-outline and branch pages returned 404/403, so no phone or email is confirmed.</t>
        </is>
      </c>
      <c r="Q32" s="113" t="inlineStr">
        <is>
          <t>Two things make this a real Japan opening, and neither was visible in the older list. First, the licence: this workbook already records that the Japanese marketing-authorisation obstacle may be solvable through the distributor, and a company already licensed to sell AND LEASE animal high-grade devices sits on the right side of that gate. Second, their own veterinary listings mark ultrasound 中古希少 — scarce in used stock. That is demand they cannot reliably fill, and a new value-tier veterinary line fills it without competing against any agency they hold. They also run a buy-back business, so a trade-in structure is available to a clinic replacing an ageing console. UPGRADE TO TIER 1 the moment they confirm they hold no new-equipment ultrasound agency.</t>
        </is>
      </c>
      <c r="R32" s="113" t="inlineStr">
        <is>
          <t>EBit 50 VET + SonoEye P3 VET — value tier, positioned against used stock rather than above it</t>
        </is>
      </c>
      <c r="S32" s="55" t="inlineStr">
        <is>
          <t>TIER 2</t>
        </is>
      </c>
      <c r="T32" s="54" t="inlineStr">
        <is>
          <t>HIGH — licensed on the animal side already, and their own listings show unmet veterinary ultrasound demand. Graded TIER 2 only because they carry used competing consoles; no invoice until CHISON holds MAFF foreign-manufacturer registration, a Japanese marketing authorisation holder is in place and NVAL is notified.</t>
        </is>
      </c>
      <c r="U32" s="113" t="inlineStr">
        <is>
          <t>B/F</t>
        </is>
      </c>
      <c r="V32" s="113" t="inlineStr">
        <is>
          <t>NEW IN v9 — intermedical.jp product category 動物病院関連機器 and the licence statement opened and read 8 Aug 2026. Traced from Market Development Target List v3, Japan Dealers row 10 (listed there as a human refurb dealer only).</t>
        </is>
      </c>
      <c r="W32" s="56" t="inlineStr">
        <is>
          <t>株式会社インターメディカル: the veterinary ultrasound your own listings call 中古希少</t>
        </is>
      </c>
      <c r="X32" s="50" t="inlineStr">
        <is>
          <t>Dear 株式会社インターメディカル (Inter Medical Co., Ltd.) team,
My name is Casper Tan, Senior Regional Sales Manager at AstraMed Healthcare, a subsidiary of CHISON Medical Technologies. I cover Japan, South Korea, Taiwan and Singapore for CHISON veterinary ultrasound.
Two things on your site brought me to you. The first is that you hold a 動物用高度管理医療機器等販売・賃貸業許可, very few of the companies we look at in Japan are already licensed on the animal side. The second is your own 動物病院関連機器 listings, where veterinary ultrasound is marked 中古希少. That is demand you cannot reliably fill from used stock.
CHISON manufactures a dedicated veterinary range, pocket units through portables, with animal presets rather than relabelled human systems, at a price point that sits beside refurbished equipment rather than above it. For a clinic weighing a used console against nothing at all, a new value-tier scanner with a full warranty is often the easier decision, and it competes with no agency you hold.
Japan still requires CHISON's MAFF foreign-manufacturer registration, a marketing authorisation holder and NVAL notification, so this is a structural conversation rather than an offer.
Could we arrange a short call?
Casper Tan
Senior Regional Sales Manager
AstraMed Healthcare, a subsidiary of CHISON Medical Technologies
casper@astramed.sg | +65 8719 0121</t>
        </is>
      </c>
    </row>
    <row r="33" ht="165" customHeight="1" s="114">
      <c r="A33" s="113" t="n">
        <v>29</v>
      </c>
      <c r="B33" s="41" t="inlineStr">
        <is>
          <t>小田島商事株式会社</t>
        </is>
      </c>
      <c r="C33" s="113" t="inlineStr">
        <is>
          <t>Odashima Shoji Co., Ltd.</t>
        </is>
      </c>
      <c r="D33" s="42" t="inlineStr">
        <is>
          <t>Not started</t>
        </is>
      </c>
      <c r="E33" s="43" t="inlineStr">
        <is>
          <t>Casper</t>
        </is>
      </c>
      <c r="F33" s="44" t="inlineStr">
        <is>
          <t>Send intro email</t>
        </is>
      </c>
      <c r="G33" s="45" t="n"/>
      <c r="H33" s="46" t="inlineStr">
        <is>
          <t>Trading house in Hanamaki, Iwate, serving Tohoku. Runs an animal pharmaceutical business and a dedicated small animal division that supplies drugs, vaccines, therapeutic diets and clinical instruments and equipment, and handles clinic opening support. Named by X-ray maker Mikasa as its Tohoku opening support partner. Why it matters: the strongest Tohoku player found, with both a routine call cycle and a say in opening equipment lists.</t>
        </is>
      </c>
      <c r="I33" s="113" t="inlineStr">
        <is>
          <t>Animal pharmaceutical wholesale plus small animal equipment and clinic opening support</t>
        </is>
      </c>
      <c r="J33" s="113" t="inlineStr">
        <is>
          <t>Not identified on the published pages; confirm on first call</t>
        </is>
      </c>
      <c r="K33" s="46" t="inlineStr">
        <is>
          <t>Tohoku region (HQ Hanamaki, Iwate)</t>
        </is>
      </c>
      <c r="L33" s="108" t="inlineStr">
        <is>
          <t>https://odashima-shouji.co.jp/introduction/s-animals/index.html</t>
        </is>
      </c>
      <c r="M33" s="113" t="inlineStr">
        <is>
          <t>TEL 0198-26-4151 · FAX 0198-30-2421</t>
        </is>
      </c>
      <c r="N33" s="113" t="inlineStr">
        <is>
          <t>Not published; form: https://odashima-shouji.co.jp/inquery/index.php</t>
        </is>
      </c>
      <c r="O33" s="41" t="inlineStr">
        <is>
          <t>〒025-0311 岩手県花巻市卸町66番地</t>
        </is>
      </c>
      <c r="P33" s="113" t="inlineStr">
        <is>
          <t>A · VERIFIED DIRECT (phone and fax off the company's small animal page, opened 27 Sep 2026)</t>
        </is>
      </c>
      <c r="Q33" s="113" t="inlineStr">
        <is>
          <t>Regional recruit for Tohoku, where none of the national houses on this tab is strong. Drug wholesale gives them a call cycle into every clinic, and the opening support role puts them in the room when the equipment list is written.</t>
        </is>
      </c>
      <c r="R33" s="113" t="inlineStr">
        <is>
          <t>SonoEye P3 VET (opening package) and SonoGO VET portable</t>
        </is>
      </c>
      <c r="S33" s="110" t="inlineStr">
        <is>
          <t>TIER 1</t>
        </is>
      </c>
      <c r="T33" s="49" t="inlineStr">
        <is>
          <t>HIGH · regional appoint grade for Tohoku, no competing ultrasound identified</t>
        </is>
      </c>
      <c r="U33" s="113" t="inlineStr">
        <is>
          <t>A</t>
        </is>
      </c>
      <c r="V33" s="113" t="inlineStr">
        <is>
          <t>New in v11 · company page fetched 27 Sep 2026; also listed on Mikasa's opening support dealer map (ec-mikasa.com)</t>
        </is>
      </c>
      <c r="W33" s="50" t="inlineStr">
        <is>
          <t>Odashima Shoji Co., Ltd.: a first scanner for the Tohoku clinics you equip</t>
        </is>
      </c>
      <c r="X33" s="50" t="inlineStr">
        <is>
          <t>Dear 小田島商事株式会社 (Odashima Shoji Co., Ltd.) team,
My name is Casper Tan, Senior Regional Sales Manager at AstraMed Healthcare, a subsidiary of CHISON Medical Technologies. I cover Japan, South Korea, Taiwan and Singapore for CHISON veterinary ultrasound. I am writing to Odashima Shoji Co., Ltd. specifically, not to a list. Your small animal division already supplies Tohoku practices with drugs, diets and instruments, and helps new clinics open, which puts you at the exact moment a practice decides whether it can afford ultrasound.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and SonoGO VET portable.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4" ht="165" customHeight="1" s="114">
      <c r="A34" s="113" t="n">
        <v>30</v>
      </c>
      <c r="B34" s="41" t="inlineStr">
        <is>
          <t>ミカサ関東商会</t>
        </is>
      </c>
      <c r="C34" s="113" t="inlineStr">
        <is>
          <t>Mikasa Kanto Shokai</t>
        </is>
      </c>
      <c r="D34" s="42" t="inlineStr">
        <is>
          <t>Not started</t>
        </is>
      </c>
      <c r="E34" s="43" t="inlineStr">
        <is>
          <t>Casper</t>
        </is>
      </c>
      <c r="F34" s="44" t="inlineStr">
        <is>
          <t>Send intro email</t>
        </is>
      </c>
      <c r="G34" s="45" t="n"/>
      <c r="H34" s="46" t="inlineStr">
        <is>
          <t>Kawaguchi, Saitama based sales company tied to Mikasa, the Japanese portable X-ray maker, combining maker and trading functions to support veterinary clinic openings. Publishes the national map of Mikasa's opening support dealers. Why it matters: an X-ray house with no ultrasound, and a gateway to a ready made regional dealer network.</t>
        </is>
      </c>
      <c r="I34" s="113" t="inlineStr">
        <is>
          <t>Veterinary X-ray (Mikasa) and clinic opening support; hub of Mikasa's regional dealer network</t>
        </is>
      </c>
      <c r="J34" s="113" t="inlineStr">
        <is>
          <t>Not identified; X-ray led</t>
        </is>
      </c>
      <c r="K34" s="46" t="inlineStr">
        <is>
          <t>Kanto and Koshin; network nationwide</t>
        </is>
      </c>
      <c r="L34" s="108" t="inlineStr">
        <is>
          <t>http://ec-mikasa.com/veterinary/support/dealer/</t>
        </is>
      </c>
      <c r="M34" s="113" t="inlineStr">
        <is>
          <t>TEL 048-294-2210 (weekdays 09:00 to 17:00)</t>
        </is>
      </c>
      <c r="N34" s="113" t="inlineStr">
        <is>
          <t>Not published; enquiry via ec-mikasa.com</t>
        </is>
      </c>
      <c r="O34" s="41" t="inlineStr">
        <is>
          <t>〒333-0801 埼玉県川口市東川口6-20-12</t>
        </is>
      </c>
      <c r="P34" s="113" t="inlineStr">
        <is>
          <t>A · VERIFIED DIRECT (phone off the company's own dealer page, opened 27 Sep 2026)</t>
        </is>
      </c>
      <c r="Q34" s="113" t="inlineStr">
        <is>
          <t>Archetype F: an imaging house with X-ray and no ultrasound. Ultrasound completes the imaging room they already sell. If Mikasa sees value, eleven regional opening support dealers could follow.</t>
        </is>
      </c>
      <c r="R34" s="113" t="inlineStr">
        <is>
          <t>SonoAir 70 VET portable and SonoEye P3 VET</t>
        </is>
      </c>
      <c r="S34" s="110" t="inlineStr">
        <is>
          <t>TIER 1</t>
        </is>
      </c>
      <c r="T34" s="49" t="inlineStr">
        <is>
          <t>HIGH · no ultrasound conflict, and access to a national dealer network</t>
        </is>
      </c>
      <c r="U34" s="113" t="inlineStr">
        <is>
          <t>F</t>
        </is>
      </c>
      <c r="V34" s="113" t="inlineStr">
        <is>
          <t>New in v11 · dealer page fetched 27 Sep 2026</t>
        </is>
      </c>
      <c r="W34" s="50" t="inlineStr">
        <is>
          <t>Mikasa Kanto Shokai: ultrasound beside the X-ray room you already sell</t>
        </is>
      </c>
      <c r="X34" s="50" t="inlineStr">
        <is>
          <t>Dear ミカサ関東商会 (Mikasa Kanto Shokai) team,
My name is Casper Tan, Senior Regional Sales Manager at AstraMed Healthcare, a subsidiary of CHISON Medical Technologies. I cover Japan, South Korea, Taiwan and Singapore for CHISON veterinary ultrasound. I am writing to Mikasa Kanto Shokai specifically, not to a list. Your opening support page maps Mikasa's partner dealers from Hokkaido to Okinawa, which tells me you think about the whole imaging room, not only the X-ray unit.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and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5" ht="165" customHeight="1" s="114">
      <c r="A35" s="113" t="n">
        <v>31</v>
      </c>
      <c r="B35" s="41" t="inlineStr">
        <is>
          <t>有限会社メディカル技研</t>
        </is>
      </c>
      <c r="C35" s="113" t="inlineStr">
        <is>
          <t>Medical Giken Co., Ltd.</t>
        </is>
      </c>
      <c r="D35" s="42" t="inlineStr">
        <is>
          <t>Not started</t>
        </is>
      </c>
      <c r="E35" s="43" t="inlineStr">
        <is>
          <t>Casper</t>
        </is>
      </c>
      <c r="F35" s="44" t="inlineStr">
        <is>
          <t>Send intro email</t>
        </is>
      </c>
      <c r="G35" s="45" t="n"/>
      <c r="H35" s="46" t="inlineStr">
        <is>
          <t>Kasugai, Aichi based veterinary equipment dealer covering Aichi, Gifu, Mie and Shizuoka. Sells new and used animal medical equipment, supports clinic openings and maintains equipment after opening. Listed by Mikasa as a Tokai opening support partner. Why it matters: a service minded regional house that owns the Tokai relationship after the sale.</t>
        </is>
      </c>
      <c r="I35" s="113" t="inlineStr">
        <is>
          <t>Animal medical equipment sales, clinic opening support, maintenance, used equipment</t>
        </is>
      </c>
      <c r="J35" s="113" t="inlineStr">
        <is>
          <t>Not identified on the published pages; confirm</t>
        </is>
      </c>
      <c r="K35" s="46" t="inlineStr">
        <is>
          <t>Tokai: Aichi, Gifu, Mie, Shizuoka</t>
        </is>
      </c>
      <c r="L35" s="108" t="inlineStr">
        <is>
          <t>https://www.medical-giken.com</t>
        </is>
      </c>
      <c r="M35" s="113" t="inlineStr">
        <is>
          <t>TEL 0568-52-0138 (09:00 to 17:00)</t>
        </is>
      </c>
      <c r="N35" s="113" t="inlineStr">
        <is>
          <t>Not published; form: https://www.medical-giken.com/contact/</t>
        </is>
      </c>
      <c r="O35" s="41" t="inlineStr">
        <is>
          <t>〒487-0034 愛知県春日井市白山町3丁目19番地の15</t>
        </is>
      </c>
      <c r="P35" s="113" t="inlineStr">
        <is>
          <t>A · VERIFIED DIRECT (phone and address off the company contact page, opened 27 Sep 2026)</t>
        </is>
      </c>
      <c r="Q35" s="113" t="inlineStr">
        <is>
          <t>Archetype A. Opening support plus in house maintenance is exactly the service capability a new ultrasound line needs in Tokai.</t>
        </is>
      </c>
      <c r="R35" s="113" t="inlineStr">
        <is>
          <t>SonoEye P3 VET (opening package) and SonoGO VET portable</t>
        </is>
      </c>
      <c r="S35" s="110" t="inlineStr">
        <is>
          <t>TIER 1</t>
        </is>
      </c>
      <c r="T35" s="49" t="inlineStr">
        <is>
          <t>HIGH · regional appoint grade for Tokai</t>
        </is>
      </c>
      <c r="U35" s="113" t="inlineStr">
        <is>
          <t>A</t>
        </is>
      </c>
      <c r="V35" s="113" t="inlineStr">
        <is>
          <t>New in v11 · contact page fetched 27 Sep 2026</t>
        </is>
      </c>
      <c r="W35" s="50" t="inlineStr">
        <is>
          <t>Medical Giken Co., Ltd.: an ultrasound line you can support across Tokai</t>
        </is>
      </c>
      <c r="X35" s="50" t="inlineStr">
        <is>
          <t>Dear 有限会社メディカル技研 (Medical Giken Co., Ltd.) team,
My name is Casper Tan, Senior Regional Sales Manager at AstraMed Healthcare, a subsidiary of CHISON Medical Technologies. I cover Japan, South Korea, Taiwan and Singapore for CHISON veterinary ultrasound. I am writing to Medical Giken Co., Ltd. specifically, not to a list. You look after Tokai clinics from opening through maintenance, which is the service backbone any imaging line needs to succeed in the region.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and SonoGO VET portable.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6" ht="165" customHeight="1" s="114">
      <c r="A36" s="113" t="n">
        <v>32</v>
      </c>
      <c r="B36" s="41" t="inlineStr">
        <is>
          <t>有限会社ランタック</t>
        </is>
      </c>
      <c r="C36" s="113" t="inlineStr">
        <is>
          <t>Rantac Co., Ltd.</t>
        </is>
      </c>
      <c r="D36" s="42" t="inlineStr">
        <is>
          <t>Not started</t>
        </is>
      </c>
      <c r="E36" s="43" t="inlineStr">
        <is>
          <t>Casper</t>
        </is>
      </c>
      <c r="F36" s="44" t="inlineStr">
        <is>
          <t>Send intro email</t>
        </is>
      </c>
      <c r="G36" s="45" t="n"/>
      <c r="H36" s="46" t="inlineStr">
        <is>
          <t>Ichinomiya, Aichi based total medical service company selling new and used equipment to hospitals and veterinary clinics, with installation and veterinary clinic opening support covering diagnostic, surgical, X-ray and ward rooms. Listed by Mikasa as a Tokai opening support partner.</t>
        </is>
      </c>
      <c r="I36" s="113" t="inlineStr">
        <is>
          <t>New and used equipment for human and veterinary clinics; installation; opening support</t>
        </is>
      </c>
      <c r="J36" s="113" t="inlineStr">
        <is>
          <t>Not identified; confirm</t>
        </is>
      </c>
      <c r="K36" s="46" t="inlineStr">
        <is>
          <t>Tokai (Ichinomiya, Aichi)</t>
        </is>
      </c>
      <c r="L36" s="108" t="inlineStr">
        <is>
          <t>http://rantac.jp/</t>
        </is>
      </c>
      <c r="M36" s="113" t="inlineStr">
        <is>
          <t>TEL 0586-76-7046</t>
        </is>
      </c>
      <c r="N36" s="113" t="inlineStr">
        <is>
          <t>Not published; enquiry form on rantac.jp</t>
        </is>
      </c>
      <c r="O36" s="41" t="inlineStr">
        <is>
          <t>Ichinomiya, Aichi (street address not shown on the home page)</t>
        </is>
      </c>
      <c r="P36" s="113" t="inlineStr">
        <is>
          <t>A · VERIFIED DIRECT (phone off the company home page, opened 27 Sep 2026)</t>
        </is>
      </c>
      <c r="Q36" s="113" t="inlineStr">
        <is>
          <t>Smaller, mixed human and veterinary house. Worth a call as a second Tokai option behind Medical Giken.</t>
        </is>
      </c>
      <c r="R36" s="113" t="inlineStr">
        <is>
          <t>SonoEye P3 VET</t>
        </is>
      </c>
      <c r="S36" s="109" t="inlineStr">
        <is>
          <t>TIER 2</t>
        </is>
      </c>
      <c r="T36" s="52" t="inlineStr">
        <is>
          <t>MEDIUM · mixed human and vet, scale unknown</t>
        </is>
      </c>
      <c r="U36" s="113" t="inlineStr">
        <is>
          <t>A</t>
        </is>
      </c>
      <c r="V36" s="113" t="inlineStr">
        <is>
          <t>New in v11 · home page fetched 27 Sep 2026</t>
        </is>
      </c>
      <c r="W36" s="50" t="inlineStr">
        <is>
          <t>Rantac Co., Ltd.: a first scanner for the clinics you set up</t>
        </is>
      </c>
      <c r="X36" s="50" t="inlineStr">
        <is>
          <t>Dear 有限会社ランタック (Rantac Co., Ltd.) team,
My name is Casper Tan, Senior Regional Sales Manager at AstraMed Healthcare, a subsidiary of CHISON Medical Technologies. I cover Japan, South Korea, Taiwan and Singapore for CHISON veterinary ultrasound. I am writing to Rantac Co., Ltd. specifically, not to a list. You equip veterinary clinics room by room, from diagnostics to the ward, which means you see the ultrasound decision in every project.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7" ht="165" customHeight="1" s="114">
      <c r="A37" s="113" t="n">
        <v>33</v>
      </c>
      <c r="B37" s="41" t="inlineStr">
        <is>
          <t>株式会社ナクトル</t>
        </is>
      </c>
      <c r="C37" s="113" t="inlineStr">
        <is>
          <t>Nactol Co., Ltd.</t>
        </is>
      </c>
      <c r="D37" s="42" t="inlineStr">
        <is>
          <t>Not started</t>
        </is>
      </c>
      <c r="E37" s="43" t="inlineStr">
        <is>
          <t>Casper</t>
        </is>
      </c>
      <c r="F37" s="44" t="inlineStr">
        <is>
          <t>Confirm phone and email, then send</t>
        </is>
      </c>
      <c r="G37" s="45" t="n"/>
      <c r="H37" s="46" t="inlineStr">
        <is>
          <t>Hokkaido company working across electronics and medical fields, described by Mikasa as a specialist in veterinary clinic opening support. Why it matters: Hokkaido has a large mixed and production animal sector, and no house on this tab covers it.</t>
        </is>
      </c>
      <c r="I37" s="113" t="inlineStr">
        <is>
          <t>Electronics and medical equipment; veterinary clinic opening support</t>
        </is>
      </c>
      <c r="J37" s="113" t="inlineStr">
        <is>
          <t>Not identified; confirm</t>
        </is>
      </c>
      <c r="K37" s="46" t="inlineStr">
        <is>
          <t>Hokkaido</t>
        </is>
      </c>
      <c r="L37" s="108" t="inlineStr">
        <is>
          <t>http://www.nctl.co.jp/</t>
        </is>
      </c>
      <c r="M37" s="113" t="inlineStr">
        <is>
          <t>NOT CONFIRMED (site refused a secure connection on 27 Sep 2026)</t>
        </is>
      </c>
      <c r="N37" s="113" t="inlineStr">
        <is>
          <t>NOT CONFIRMED</t>
        </is>
      </c>
      <c r="O37" s="41" t="inlineStr">
        <is>
          <t>Hokkaido (address not confirmed)</t>
        </is>
      </c>
      <c r="P37" s="113" t="inlineStr">
        <is>
          <t>C · SITE LISTED, NOT OPENED (named on Mikasa's dealer page; nctl.co.jp failed to load)</t>
        </is>
      </c>
      <c r="Q37" s="113" t="inlineStr">
        <is>
          <t>Only Hokkaido lead found. Confirm the company and phone before emailing; lead with EBit 50 VET if they serve dairy and equine as well as small animal.</t>
        </is>
      </c>
      <c r="R37" s="113" t="inlineStr">
        <is>
          <t>SonoEye P3 VET and EBit 50 VET (livestock and equine)</t>
        </is>
      </c>
      <c r="S37" s="109" t="inlineStr">
        <is>
          <t>TIER 2</t>
        </is>
      </c>
      <c r="T37" s="52" t="inlineStr">
        <is>
          <t>MEDIUM · entity and lines unconfirmed</t>
        </is>
      </c>
      <c r="U37" s="113" t="inlineStr">
        <is>
          <t>A</t>
        </is>
      </c>
      <c r="V37" s="113" t="inlineStr">
        <is>
          <t>New in v11 · from Mikasa dealer map, site not opened</t>
        </is>
      </c>
      <c r="W37" s="50" t="inlineStr">
        <is>
          <t>Nactol Co., Ltd.: ultrasound for Hokkaido clinics and farms</t>
        </is>
      </c>
      <c r="X37" s="50" t="inlineStr">
        <is>
          <t>Dear 株式会社ナクトル (Nactol Co., Ltd.) team,
My name is Casper Tan, Senior Regional Sales Manager at AstraMed Healthcare, a subsidiary of CHISON Medical Technologies. I cover Japan, South Korea, Taiwan and Singapore for CHISON veterinary ultrasound. I am writing to Nactol Co., Ltd. specifically, not to a list. Mikasa names you as its veterinary opening support partner in Hokkaido, a region where many practices work across companion, dairy and equine patients.
CHISON makes veterinary ultrasound from handhelds for companion practice to rugged portables with rectal probes for livestock and equine work.
For context: we have no appointed veterinary distributor in Japan yet and would rather build one than sell around one.
The product I would put in front of you first is the SonoEye P3 VET and EBit 50 VET (livestock and equine).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8" ht="165" customHeight="1" s="114">
      <c r="A38" s="113" t="n">
        <v>34</v>
      </c>
      <c r="B38" s="41" t="inlineStr">
        <is>
          <t>ミカサ販売西日本 (丸光)</t>
        </is>
      </c>
      <c r="C38" s="113" t="inlineStr">
        <is>
          <t>Mikasa Hanbai Nishi Nihon (marukou11.co.jp)</t>
        </is>
      </c>
      <c r="D38" s="42" t="inlineStr">
        <is>
          <t>Not started</t>
        </is>
      </c>
      <c r="E38" s="43" t="inlineStr">
        <is>
          <t>Casper</t>
        </is>
      </c>
      <c r="F38" s="44" t="inlineStr">
        <is>
          <t>Confirm legal name and contact</t>
        </is>
      </c>
      <c r="G38" s="45" t="n"/>
      <c r="H38" s="46" t="inlineStr">
        <is>
          <t>Shiga based authorised Mikasa dealer for western Japan that also offers veterinary clinic opening consultation with maintenance. Why it matters: Kansai coverage with an X-ray only veterinary line.</t>
        </is>
      </c>
      <c r="I38" s="113" t="inlineStr">
        <is>
          <t>Authorised Mikasa X-ray dealer; opening consultation and maintenance</t>
        </is>
      </c>
      <c r="J38" s="113" t="inlineStr">
        <is>
          <t>Not identified; X-ray led</t>
        </is>
      </c>
      <c r="K38" s="46" t="inlineStr">
        <is>
          <t>Kansai (Shiga)</t>
        </is>
      </c>
      <c r="L38" s="108" t="inlineStr">
        <is>
          <t>http://www.marukou11.co.jp/index.html</t>
        </is>
      </c>
      <c r="M38" s="113" t="inlineStr">
        <is>
          <t>NOT CONFIRMED</t>
        </is>
      </c>
      <c r="N38" s="113" t="inlineStr">
        <is>
          <t>NOT CONFIRMED</t>
        </is>
      </c>
      <c r="O38" s="41" t="inlineStr">
        <is>
          <t>Shiga (address not confirmed)</t>
        </is>
      </c>
      <c r="P38" s="113" t="inlineStr">
        <is>
          <t>C · SITE LISTED, NOT OPENED (named on Mikasa's dealer page)</t>
        </is>
      </c>
      <c r="Q38" s="113" t="inlineStr">
        <is>
          <t>Archetype F in Kansai. Confirm legal name and contact first; the site name suggests the trading company is 丸光.</t>
        </is>
      </c>
      <c r="R38" s="113" t="inlineStr">
        <is>
          <t>SonoAir 70 VET portable</t>
        </is>
      </c>
      <c r="S38" s="109" t="inlineStr">
        <is>
          <t>TIER 2</t>
        </is>
      </c>
      <c r="T38" s="52" t="inlineStr">
        <is>
          <t>MEDIUM · regional, unconfirmed</t>
        </is>
      </c>
      <c r="U38" s="113" t="inlineStr">
        <is>
          <t>F</t>
        </is>
      </c>
      <c r="V38" s="113" t="inlineStr">
        <is>
          <t>New in v11 · from Mikasa dealer map · v11 CHECK 27 Sep 2026: marukou11.co.jp did not resolve in DNS; the site may have moved or closed, confirm before relying on it.</t>
        </is>
      </c>
      <c r="W38" s="50" t="inlineStr">
        <is>
          <t>Mikasa Hanbai Nishi Nihon: ultrasound beside the X-ray rooms you sell</t>
        </is>
      </c>
      <c r="X38" s="50" t="inlineStr">
        <is>
          <t>Dear ミカサ販売西日本 (Mikasa Hanbai Nishi Nihon) team,
My name is Casper Tan, Senior Regional Sales Manager at AstraMed Healthcare, a subsidiary of CHISON Medical Technologies. I cover Japan, South Korea, Taiwan and Singapore for CHISON veterinary ultrasound. I am writing to Mikasa Hanbai Nishi Nihon specifically, not to a list. You sell and maintain Mikasa X-ray for veterinary clinics in western Japan, so you already own the imaging conversation there.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9" ht="165" customHeight="1" s="114">
      <c r="A39" s="113" t="n">
        <v>35</v>
      </c>
      <c r="B39" s="41" t="inlineStr">
        <is>
          <t>株式会社テックミカサ</t>
        </is>
      </c>
      <c r="C39" s="113" t="inlineStr">
        <is>
          <t>Tech Mikasa Co., Ltd.</t>
        </is>
      </c>
      <c r="D39" s="42" t="inlineStr">
        <is>
          <t>Not started</t>
        </is>
      </c>
      <c r="E39" s="43" t="inlineStr">
        <is>
          <t>Casper</t>
        </is>
      </c>
      <c r="F39" s="44" t="inlineStr">
        <is>
          <t>Confirm contact</t>
        </is>
      </c>
      <c r="G39" s="45" t="n"/>
      <c r="H39" s="46" t="inlineStr">
        <is>
          <t>Hyogo based authorised Mikasa dealer that recently began veterinary clinic opening support. Why it matters: X-ray only imaging house in Hyogo, early in building its opening business.</t>
        </is>
      </c>
      <c r="I39" s="113" t="inlineStr">
        <is>
          <t>Authorised Mikasa X-ray dealer; new opening support service</t>
        </is>
      </c>
      <c r="J39" s="113" t="inlineStr">
        <is>
          <t>Not identified; X-ray led</t>
        </is>
      </c>
      <c r="K39" s="46" t="inlineStr">
        <is>
          <t>Kansai (Hyogo)</t>
        </is>
      </c>
      <c r="L39" s="108" t="inlineStr">
        <is>
          <t>http://www.tecmikasa.com/</t>
        </is>
      </c>
      <c r="M39" s="113" t="inlineStr">
        <is>
          <t>NOT CONFIRMED</t>
        </is>
      </c>
      <c r="N39" s="113" t="inlineStr">
        <is>
          <t>NOT CONFIRMED</t>
        </is>
      </c>
      <c r="O39" s="41" t="inlineStr">
        <is>
          <t>Hyogo (address not confirmed)</t>
        </is>
      </c>
      <c r="P39" s="113" t="inlineStr">
        <is>
          <t>C · SITE LISTED, NOT OPENED (certificate error on 27 Sep 2026)</t>
        </is>
      </c>
      <c r="Q39" s="113" t="inlineStr">
        <is>
          <t>Archetype F. A new opening support business needs a full equipment list; ultrasound is the gap.</t>
        </is>
      </c>
      <c r="R39" s="113" t="inlineStr">
        <is>
          <t>SonoAir 70 VET portable and SonoEye P3 VET</t>
        </is>
      </c>
      <c r="S39" s="109" t="inlineStr">
        <is>
          <t>TIER 2</t>
        </is>
      </c>
      <c r="T39" s="52" t="inlineStr">
        <is>
          <t>MEDIUM · regional, unconfirmed</t>
        </is>
      </c>
      <c r="U39" s="113" t="inlineStr">
        <is>
          <t>F</t>
        </is>
      </c>
      <c r="V39" s="113" t="inlineStr">
        <is>
          <t>New in v11 · from Mikasa dealer map</t>
        </is>
      </c>
      <c r="W39" s="50" t="inlineStr">
        <is>
          <t>Tech Mikasa Co., Ltd.: completing the imaging list for new clinics</t>
        </is>
      </c>
      <c r="X39" s="50" t="inlineStr">
        <is>
          <t>Dear 株式会社テックミカサ (Tech Mikasa Co., Ltd.) team,
My name is Casper Tan, Senior Regional Sales Manager at AstraMed Healthcare, a subsidiary of CHISON Medical Technologies. I cover Japan, South Korea, Taiwan and Singapore for CHISON veterinary ultrasound. I am writing to Tech Mikasa Co., Ltd. specifically, not to a list. You have recently started supporting veterinary clinic openings in Hyogo alongside Mikasa X-ray.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and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0" ht="165" customHeight="1" s="114">
      <c r="A40" s="113" t="n">
        <v>36</v>
      </c>
      <c r="B40" s="41" t="inlineStr">
        <is>
          <t>グッドウィルメディカル</t>
        </is>
      </c>
      <c r="C40" s="113" t="inlineStr">
        <is>
          <t>Goodwill Medical</t>
        </is>
      </c>
      <c r="D40" s="42" t="inlineStr">
        <is>
          <t>Not started</t>
        </is>
      </c>
      <c r="E40" s="43" t="inlineStr">
        <is>
          <t>Casper</t>
        </is>
      </c>
      <c r="F40" s="44" t="inlineStr">
        <is>
          <t>Send intro email</t>
        </is>
      </c>
      <c r="G40" s="45" t="n"/>
      <c r="H40" s="46" t="inlineStr">
        <is>
          <t>Sakurai, Nara based medical equipment dealer founded 1992 that positions itself as a total partner for animal medicine, with clinic opening support. Listed by Mikasa as a Kansai opening support partner.</t>
        </is>
      </c>
      <c r="I40" s="113" t="inlineStr">
        <is>
          <t>Medical equipment sales; veterinary clinic opening support</t>
        </is>
      </c>
      <c r="J40" s="113" t="inlineStr">
        <is>
          <t>Not identified; confirm</t>
        </is>
      </c>
      <c r="K40" s="46" t="inlineStr">
        <is>
          <t>Kansai (Nara)</t>
        </is>
      </c>
      <c r="L40" s="108" t="inlineStr">
        <is>
          <t>https://gwm1992.com/</t>
        </is>
      </c>
      <c r="M40" s="113" t="inlineStr">
        <is>
          <t>TEL 0744-46-2464 (iTownpage listing)</t>
        </is>
      </c>
      <c r="N40" s="113" t="inlineStr">
        <is>
          <t>Not published; contact page gwm1992.com/sp/contact.html</t>
        </is>
      </c>
      <c r="O40" s="41" t="inlineStr">
        <is>
          <t>奈良県桜井市大字慈恩寺 (iTownpage)</t>
        </is>
      </c>
      <c r="P40" s="113" t="inlineStr">
        <is>
          <t>C · SITE LIVE, NOT OPENED (site timed out; phone from iTownpage directory)</t>
        </is>
      </c>
      <c r="Q40" s="113" t="inlineStr">
        <is>
          <t>Nara coverage with opening support. Confirm the veterinary share of the business on the first call.</t>
        </is>
      </c>
      <c r="R40" s="113" t="inlineStr">
        <is>
          <t>SonoEye P3 VET (opening package)</t>
        </is>
      </c>
      <c r="S40" s="109" t="inlineStr">
        <is>
          <t>TIER 2</t>
        </is>
      </c>
      <c r="T40" s="52" t="inlineStr">
        <is>
          <t>MEDIUM · regional</t>
        </is>
      </c>
      <c r="U40" s="113" t="inlineStr">
        <is>
          <t>A</t>
        </is>
      </c>
      <c r="V40" s="113" t="inlineStr">
        <is>
          <t>New in v11 · Mikasa dealer map plus iTownpage</t>
        </is>
      </c>
      <c r="W40" s="50" t="inlineStr">
        <is>
          <t>Goodwill Medical: a first scanner for the Nara clinics you open</t>
        </is>
      </c>
      <c r="X40" s="50" t="inlineStr">
        <is>
          <t>Dear グッドウィルメディカル (Goodwill Medical) team,
My name is Casper Tan, Senior Regional Sales Manager at AstraMed Healthcare, a subsidiary of CHISON Medical Technologies. I cover Japan, South Korea, Taiwan and Singapore for CHISON veterinary ultrasound. I am writing to Goodwill Medical specifically, not to a list. You describe yourselves as a total partner for animal medicine and help Nara practices open.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1" ht="165" customHeight="1" s="114">
      <c r="A41" s="113" t="n">
        <v>37</v>
      </c>
      <c r="B41" s="41" t="inlineStr">
        <is>
          <t>株式会社三幸医療酸素</t>
        </is>
      </c>
      <c r="C41" s="113" t="inlineStr">
        <is>
          <t>Sanko Medical Oxygen Co., Ltd.</t>
        </is>
      </c>
      <c r="D41" s="42" t="inlineStr">
        <is>
          <t>Not started</t>
        </is>
      </c>
      <c r="E41" s="43" t="inlineStr">
        <is>
          <t>Casper</t>
        </is>
      </c>
      <c r="F41" s="44" t="inlineStr">
        <is>
          <t>Confirm contact</t>
        </is>
      </c>
      <c r="G41" s="45" t="n"/>
      <c r="H41" s="46" t="inlineStr">
        <is>
          <t>Hyogo based medical oxygen supplier that also offers veterinary clinic opening support from an oxygen and anaesthesia angle. Listed by Mikasa.</t>
        </is>
      </c>
      <c r="I41" s="113" t="inlineStr">
        <is>
          <t>Medical gases; opening support</t>
        </is>
      </c>
      <c r="J41" s="113" t="inlineStr">
        <is>
          <t>Not identified</t>
        </is>
      </c>
      <c r="K41" s="46" t="inlineStr">
        <is>
          <t>Kansai (Hyogo)</t>
        </is>
      </c>
      <c r="L41" s="108" t="inlineStr">
        <is>
          <t>http://sanco-medical.co.jp/index.html</t>
        </is>
      </c>
      <c r="M41" s="113" t="inlineStr">
        <is>
          <t>NOT CONFIRMED</t>
        </is>
      </c>
      <c r="N41" s="113" t="inlineStr">
        <is>
          <t>NOT CONFIRMED</t>
        </is>
      </c>
      <c r="O41" s="113" t="inlineStr">
        <is>
          <t>Hyogo (address not confirmed)</t>
        </is>
      </c>
      <c r="P41" s="113" t="inlineStr">
        <is>
          <t>C · SITE LISTED, NOT OPENED</t>
        </is>
      </c>
      <c r="Q41" s="113" t="inlineStr">
        <is>
          <t>Long tail. Useful as a referral into Hyogo openings rather than a distributor.</t>
        </is>
      </c>
      <c r="R41" s="113" t="inlineStr">
        <is>
          <t>SonoEye P3 VET</t>
        </is>
      </c>
      <c r="S41" s="111" t="inlineStr">
        <is>
          <t>TIER 3</t>
        </is>
      </c>
      <c r="T41" s="54" t="inlineStr">
        <is>
          <t>LOW · referral value only</t>
        </is>
      </c>
      <c r="U41" s="113" t="inlineStr">
        <is>
          <t>A</t>
        </is>
      </c>
      <c r="V41" s="113" t="inlineStr">
        <is>
          <t>New in v11 · from Mikasa dealer map · v11 CHECK 27 Sep 2026: sanco-medical.co.jp did not resolve in DNS; the site may have moved or closed, confirm before relying on it.</t>
        </is>
      </c>
      <c r="W41" s="50" t="inlineStr">
        <is>
          <t>Sanko Medical Oxygen Co., Ltd.: ultrasound for the clinics you help open</t>
        </is>
      </c>
      <c r="X41" s="50" t="inlineStr">
        <is>
          <t>Dear 株式会社三幸医療酸素 (Sanko Medical Oxygen Co., Ltd.) team,
My name is Casper Tan, Senior Regional Sales Manager at AstraMed Healthcare, a subsidiary of CHISON Medical Technologies. I cover Japan, South Korea, Taiwan and Singapore for CHISON veterinary ultrasound. I am writing to Sanko Medical Oxygen Co., Ltd. specifically, not to a list. You support Hyogo veterinary clinics as they open, from the gas and anaesthesia side.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2" ht="165" customHeight="1" s="114">
      <c r="A42" s="113" t="n">
        <v>38</v>
      </c>
      <c r="B42" s="41" t="inlineStr">
        <is>
          <t>ミヤノメディックス</t>
        </is>
      </c>
      <c r="C42" s="113" t="inlineStr">
        <is>
          <t>Miyano Medix</t>
        </is>
      </c>
      <c r="D42" s="42" t="inlineStr">
        <is>
          <t>Not started</t>
        </is>
      </c>
      <c r="E42" s="43" t="inlineStr">
        <is>
          <t>Casper</t>
        </is>
      </c>
      <c r="F42" s="44" t="inlineStr">
        <is>
          <t>Call first, no email published</t>
        </is>
      </c>
      <c r="G42" s="45" t="n"/>
      <c r="H42" s="46" t="inlineStr">
        <is>
          <t>Hiroshima based dealer serving Chugoku and all of Shikoku, listed by Mikasa as the opening support partner for that region. No website found.</t>
        </is>
      </c>
      <c r="I42" s="113" t="inlineStr">
        <is>
          <t>Veterinary equipment and opening support</t>
        </is>
      </c>
      <c r="J42" s="113" t="inlineStr">
        <is>
          <t>Not identified</t>
        </is>
      </c>
      <c r="K42" s="46" t="inlineStr">
        <is>
          <t>Chugoku and Shikoku (Hiroshima)</t>
        </is>
      </c>
      <c r="L42" s="47" t="inlineStr">
        <is>
          <t>NOT CONFIRMED (no website found)</t>
        </is>
      </c>
      <c r="M42" s="113" t="inlineStr">
        <is>
          <t>TEL 084-924-0976 (per Mikasa's dealer page)</t>
        </is>
      </c>
      <c r="N42" s="113" t="inlineStr">
        <is>
          <t>NOT CONFIRMED</t>
        </is>
      </c>
      <c r="O42" s="41" t="inlineStr">
        <is>
          <t>Hiroshima (address not confirmed)</t>
        </is>
      </c>
      <c r="P42" s="113" t="inlineStr">
        <is>
          <t>C · PHONE FROM A THIRD PARTY PAGE (Mikasa dealer map); company site not found</t>
        </is>
      </c>
      <c r="Q42" s="113" t="inlineStr">
        <is>
          <t>Covers Shikoku, which nobody else on this tab does. Phone first; there is no published email.</t>
        </is>
      </c>
      <c r="R42" s="113" t="inlineStr">
        <is>
          <t>SonoEye P3 VET</t>
        </is>
      </c>
      <c r="S42" s="109" t="inlineStr">
        <is>
          <t>TIER 2</t>
        </is>
      </c>
      <c r="T42" s="52" t="inlineStr">
        <is>
          <t>MEDIUM · regional, unverified</t>
        </is>
      </c>
      <c r="U42" s="113" t="inlineStr">
        <is>
          <t>A</t>
        </is>
      </c>
      <c r="V42" s="113" t="inlineStr">
        <is>
          <t>New in v11 · from Mikasa dealer map</t>
        </is>
      </c>
      <c r="W42" s="50" t="inlineStr">
        <is>
          <t>Miyano Medix: ultrasound for Chugoku and Shikoku clinics</t>
        </is>
      </c>
      <c r="X42" s="50" t="inlineStr">
        <is>
          <t>Dear ミヤノメディックス (Miyano Medix) team,
My name is Casper Tan, Senior Regional Sales Manager at AstraMed Healthcare, a subsidiary of CHISON Medical Technologies. I cover Japan, South Korea, Taiwan and Singapore for CHISON veterinary ultrasound. I am writing to Miyano Medix specifically, not to a list. Mikasa lists you as its opening support partner for Chugoku and the whole of Shikoku.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3" ht="165" customHeight="1" s="114">
      <c r="A43" s="113" t="n">
        <v>39</v>
      </c>
      <c r="B43" s="41" t="inlineStr">
        <is>
          <t>有限会社メディカルクラフト</t>
        </is>
      </c>
      <c r="C43" s="113" t="inlineStr">
        <is>
          <t>Medical Craft Co., Ltd.</t>
        </is>
      </c>
      <c r="D43" s="42" t="inlineStr">
        <is>
          <t>Not started</t>
        </is>
      </c>
      <c r="E43" s="43" t="inlineStr">
        <is>
          <t>Casper</t>
        </is>
      </c>
      <c r="F43" s="44" t="inlineStr">
        <is>
          <t>Call first, no email published</t>
        </is>
      </c>
      <c r="G43" s="45" t="n"/>
      <c r="H43" s="46" t="inlineStr">
        <is>
          <t>Okinawa based dealer providing Okinawa focused veterinary clinic opening support. Listed by Mikasa, which names 國場様 as the contact (not independently verified).</t>
        </is>
      </c>
      <c r="I43" s="113" t="inlineStr">
        <is>
          <t>Veterinary equipment and opening support, Okinawa only</t>
        </is>
      </c>
      <c r="J43" s="113" t="inlineStr">
        <is>
          <t>Not identified</t>
        </is>
      </c>
      <c r="K43" s="46" t="inlineStr">
        <is>
          <t>Okinawa</t>
        </is>
      </c>
      <c r="L43" s="47" t="inlineStr">
        <is>
          <t>NOT CONFIRMED (no website found)</t>
        </is>
      </c>
      <c r="M43" s="113" t="inlineStr">
        <is>
          <t>TEL 098-929-3461 (per Mikasa's dealer page)</t>
        </is>
      </c>
      <c r="N43" s="113" t="inlineStr">
        <is>
          <t>NOT CONFIRMED</t>
        </is>
      </c>
      <c r="O43" s="113" t="inlineStr">
        <is>
          <t>Okinawa (address not confirmed)</t>
        </is>
      </c>
      <c r="P43" s="113" t="inlineStr">
        <is>
          <t>C · PHONE FROM A THIRD PARTY PAGE (Mikasa dealer map)</t>
        </is>
      </c>
      <c r="Q43" s="113" t="inlineStr">
        <is>
          <t>Island market with its own dealer. Small, but uncontested. Phone first.</t>
        </is>
      </c>
      <c r="R43" s="113" t="inlineStr">
        <is>
          <t>SonoEye P3 VET</t>
        </is>
      </c>
      <c r="S43" s="111" t="inlineStr">
        <is>
          <t>TIER 3</t>
        </is>
      </c>
      <c r="T43" s="54" t="inlineStr">
        <is>
          <t>LOW · small island market</t>
        </is>
      </c>
      <c r="U43" s="113" t="inlineStr">
        <is>
          <t>A</t>
        </is>
      </c>
      <c r="V43" s="113" t="inlineStr">
        <is>
          <t>New in v11 · from Mikasa dealer map</t>
        </is>
      </c>
      <c r="W43" s="50" t="inlineStr">
        <is>
          <t>Medical Craft Co., Ltd.: ultrasound for Okinawa clinics</t>
        </is>
      </c>
      <c r="X43" s="50" t="inlineStr">
        <is>
          <t>Dear 有限会社メディカルクラフト (Medical Craft Co., Ltd.) team,
My name is Casper Tan, Senior Regional Sales Manager at AstraMed Healthcare, a subsidiary of CHISON Medical Technologies. I cover Japan, South Korea, Taiwan and Singapore for CHISON veterinary ultrasound. I am writing to Medical Craft Co., Ltd. specifically, not to a list. You are the opening support partner for veterinary clinics in Okinawa.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4" ht="165" customHeight="1" s="114">
      <c r="A44" s="113" t="n">
        <v>40</v>
      </c>
      <c r="B44" s="41" t="inlineStr">
        <is>
          <t>株式会社M&amp;T</t>
        </is>
      </c>
      <c r="C44" s="113" t="inlineStr">
        <is>
          <t>M&amp;T Co., Ltd.</t>
        </is>
      </c>
      <c r="D44" s="42" t="inlineStr">
        <is>
          <t>Not started</t>
        </is>
      </c>
      <c r="E44" s="43" t="inlineStr">
        <is>
          <t>Casper</t>
        </is>
      </c>
      <c r="F44" s="44" t="inlineStr">
        <is>
          <t>Send intro email</t>
        </is>
      </c>
      <c r="G44" s="45" t="n"/>
      <c r="H44" s="46" t="inlineStr">
        <is>
          <t>Veterinary equipment trading company (total medical equipment trader) supporting animal hospital openings and expansions, including subsidy applications with a strong adoption record, used equipment and post opening visits by seven sales staff. Covers Kansai, Chugoku, Kyushu and Okinawa plus partners. Carries Canon ultrasound and X-ray.</t>
        </is>
      </c>
      <c r="I44" s="113" t="inlineStr">
        <is>
          <t>Animal hospital equipment, opening support, subsidy applications, used equipment</t>
        </is>
      </c>
      <c r="J44" s="113" t="inlineStr">
        <is>
          <t>YES · Canon ultrasound shown in product listings</t>
        </is>
      </c>
      <c r="K44" s="46" t="inlineStr">
        <is>
          <t>Western Japan, national via partners</t>
        </is>
      </c>
      <c r="L44" s="108" t="inlineStr">
        <is>
          <t>https://www.mandt-net.com/</t>
        </is>
      </c>
      <c r="M44" s="113" t="inlineStr">
        <is>
          <t>TEL 084-927-6606</t>
        </is>
      </c>
      <c r="N44" s="113" t="inlineStr">
        <is>
          <t>Not published; form: https://www.mandt-net.com/inquiry/</t>
        </is>
      </c>
      <c r="O44" s="41" t="inlineStr">
        <is>
          <t>Fukuyama area, Hiroshima (per 084 area code; address not shown)</t>
        </is>
      </c>
      <c r="P44" s="113" t="inlineStr">
        <is>
          <t>A · VERIFIED DIRECT (phone off the company site, opened 27 Sep 2026)</t>
        </is>
      </c>
      <c r="Q44" s="113" t="inlineStr">
        <is>
          <t>Archetype B. Carries Canon consoles, so pitch the handheld tier only. Their subsidy work is a good angle: a handheld fits inside a grant budget.</t>
        </is>
      </c>
      <c r="R44" s="113" t="inlineStr">
        <is>
          <t>SonoEye P3 VET (pocket tier only, never a console)</t>
        </is>
      </c>
      <c r="S44" s="109" t="inlineStr">
        <is>
          <t>TIER 2</t>
        </is>
      </c>
      <c r="T44" s="52" t="inlineStr">
        <is>
          <t>MEDIUM · competing Canon line</t>
        </is>
      </c>
      <c r="U44" s="113" t="inlineStr">
        <is>
          <t>B</t>
        </is>
      </c>
      <c r="V44" s="113" t="inlineStr">
        <is>
          <t>New in v11 · site fetched 27 Sep 2026</t>
        </is>
      </c>
      <c r="W44" s="50" t="inlineStr">
        <is>
          <t>M&amp;T Co., Ltd.: a handheld tier beside the consoles you sell</t>
        </is>
      </c>
      <c r="X44" s="50" t="inlineStr">
        <is>
          <t>Dear 株式会社M&amp;T (M&amp;T Co., Ltd.) team,
My name is Casper Tan, Senior Regional Sales Manager at AstraMed Healthcare, a subsidiary of CHISON Medical Technologies. I cover Japan, South Korea, Taiwan and Singapore for CHISON veterinary ultrasound. I am writing to M&amp;T Co., Ltd. specifically, not to a list. You help clinics win equipment subsidies and open within a limited budget, and you already carry Canon consoles.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(pocket tier only, never a console).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5" ht="165" customHeight="1" s="114">
      <c r="A45" s="113" t="n">
        <v>41</v>
      </c>
      <c r="B45" s="41" t="inlineStr">
        <is>
          <t>株式会社医療分析センター</t>
        </is>
      </c>
      <c r="C45" s="113" t="inlineStr">
        <is>
          <t>Medical Analysis Center Co., Ltd. (vetsupport.jp)</t>
        </is>
      </c>
      <c r="D45" s="42" t="inlineStr">
        <is>
          <t>Not started</t>
        </is>
      </c>
      <c r="E45" s="43" t="inlineStr">
        <is>
          <t>Casper</t>
        </is>
      </c>
      <c r="F45" s="44" t="inlineStr">
        <is>
          <t>Send intro email</t>
        </is>
      </c>
      <c r="G45" s="45" t="n"/>
      <c r="H45" s="46" t="inlineStr">
        <is>
          <t>Chiba based veterinary clinic consultancy covering branding, property, design, equipment selection and procurement, recruitment, marketing and financial planning for new clinics and acquisitions.</t>
        </is>
      </c>
      <c r="I45" s="113" t="inlineStr">
        <is>
          <t>Clinic opening consultancy that selects and procures equipment</t>
        </is>
      </c>
      <c r="J45" s="113" t="inlineStr">
        <is>
          <t>Not identified; they specify rather than stock</t>
        </is>
      </c>
      <c r="K45" s="46" t="inlineStr">
        <is>
          <t>Kanto (Chiba) and national clients</t>
        </is>
      </c>
      <c r="L45" s="108" t="inlineStr">
        <is>
          <t>https://vetsupport.jp/start/</t>
        </is>
      </c>
      <c r="M45" s="113" t="inlineStr">
        <is>
          <t>TEL 043-216-3021 (weekdays 09:00 to 17:00)</t>
        </is>
      </c>
      <c r="N45" s="113" t="inlineStr">
        <is>
          <t>Not published; form on vetsupport.jp</t>
        </is>
      </c>
      <c r="O45" s="41" t="inlineStr">
        <is>
          <t>〒262-0033 千葉県千葉市花見川区幕張本郷1-2-24 アイバビル5F</t>
        </is>
      </c>
      <c r="P45" s="113" t="inlineStr">
        <is>
          <t>A · VERIFIED DIRECT (phone and address off the company page, opened 27 Sep 2026)</t>
        </is>
      </c>
      <c r="Q45" s="113" t="inlineStr">
        <is>
          <t>Specifier, not stockist. Getting CHISON onto their standard equipment list reaches every clinic they open.</t>
        </is>
      </c>
      <c r="R45" s="113" t="inlineStr">
        <is>
          <t>SonoEye P3 VET (opening package)</t>
        </is>
      </c>
      <c r="S45" s="109" t="inlineStr">
        <is>
          <t>TIER 2</t>
        </is>
      </c>
      <c r="T45" s="52" t="inlineStr">
        <is>
          <t>MEDIUM · specifier influence, not a buyer</t>
        </is>
      </c>
      <c r="U45" s="113" t="inlineStr">
        <is>
          <t>G</t>
        </is>
      </c>
      <c r="V45" s="113" t="inlineStr">
        <is>
          <t>New in v11 · page fetched 27 Sep 2026</t>
        </is>
      </c>
      <c r="W45" s="50" t="inlineStr">
        <is>
          <t>Medical Analysis Center: ultrasound for the clinics you plan</t>
        </is>
      </c>
      <c r="X45" s="50" t="inlineStr">
        <is>
          <t>Dear 株式会社医療分析センター (Medical Analysis Center Co., Ltd.) team,
My name is Casper Tan, Senior Regional Sales Manager at AstraMed Healthcare, a subsidiary of CHISON Medical Technologies. I cover Japan, South Korea, Taiwan and Singapore for CHISON veterinary ultrasound. I am writing to Medical Analysis Center Co., Ltd. specifically, not to a list. You plan new veterinary clinics end to end, including which equipment goes in and how it is financed.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6" ht="165" customHeight="1" s="114">
      <c r="A46" s="113" t="n">
        <v>42</v>
      </c>
      <c r="B46" s="41" t="inlineStr">
        <is>
          <t>株式会社EMILUCK</t>
        </is>
      </c>
      <c r="C46" s="113" t="inlineStr">
        <is>
          <t>EMILUCK Co., Ltd.</t>
        </is>
      </c>
      <c r="D46" s="42" t="inlineStr">
        <is>
          <t>Not started</t>
        </is>
      </c>
      <c r="E46" s="43" t="inlineStr">
        <is>
          <t>Casper</t>
        </is>
      </c>
      <c r="F46" s="44" t="inlineStr">
        <is>
          <t>Send intro email</t>
        </is>
      </c>
      <c r="G46" s="45" t="n"/>
      <c r="H46" s="46" t="inlineStr">
        <is>
          <t>Trading company specialising in animal hospitals, supplying electrosurgery, anaesthesia, ultrasound, X-ray, CT, MRI, microscopes, sterilisation, analysers and dental units from 80 plus makers including GE, Canon, Fujifilm and Mindray, plus opening, relocation and succession support.</t>
        </is>
      </c>
      <c r="I46" s="113" t="inlineStr">
        <is>
          <t>Animal hospital total trading company, 80 plus makers</t>
        </is>
      </c>
      <c r="J46" s="113" t="inlineStr">
        <is>
          <t>YES · multi brand, including GE, Canon, Fujifilm and Mindray</t>
        </is>
      </c>
      <c r="K46" s="46" t="inlineStr">
        <is>
          <t>Japan (base not shown)</t>
        </is>
      </c>
      <c r="L46" s="108" t="inlineStr">
        <is>
          <t>https://emiluck.com/</t>
        </is>
      </c>
      <c r="M46" s="113" t="inlineStr">
        <is>
          <t>TEL 090-6058-8006 · FAX 050-3101-0222</t>
        </is>
      </c>
      <c r="N46" s="113" t="inlineStr">
        <is>
          <t>Not published on the home page</t>
        </is>
      </c>
      <c r="O46" s="41" t="inlineStr">
        <is>
          <t>Not shown on the home page</t>
        </is>
      </c>
      <c r="P46" s="113" t="inlineStr">
        <is>
          <t>A · VERIFIED DIRECT (phone and fax off the home page, opened 27 Sep 2026)</t>
        </is>
      </c>
      <c r="Q46" s="113" t="inlineStr">
        <is>
          <t>Archetype B. Multi brand house; CHISON would be one more line. Pitch the handheld and the value portable for budget openings.</t>
        </is>
      </c>
      <c r="R46" s="113" t="inlineStr">
        <is>
          <t>SonoEye P3 VET and SonoGO VET</t>
        </is>
      </c>
      <c r="S46" s="109" t="inlineStr">
        <is>
          <t>TIER 2</t>
        </is>
      </c>
      <c r="T46" s="52" t="inlineStr">
        <is>
          <t>MEDIUM · multi brand, competing lines</t>
        </is>
      </c>
      <c r="U46" s="113" t="inlineStr">
        <is>
          <t>B</t>
        </is>
      </c>
      <c r="V46" s="113" t="inlineStr">
        <is>
          <t>New in v11 · home page fetched 27 Sep 2026</t>
        </is>
      </c>
      <c r="W46" s="50" t="inlineStr">
        <is>
          <t>EMILUCK Co., Ltd.: a value tier for budget conscious openings</t>
        </is>
      </c>
      <c r="X46" s="50" t="inlineStr">
        <is>
          <t>Dear 株式会社EMILUCK (EMILUCK Co., Ltd.) team,
My name is Casper Tan, Senior Regional Sales Manager at AstraMed Healthcare, a subsidiary of CHISON Medical Technologies. I cover Japan, South Korea, Taiwan and Singapore for CHISON veterinary ultrasound. I am writing to EMILUCK Co., Ltd. specifically, not to a list. You source from more than eighty makers for animal hospitals, so you already sell ultrasound, just not at the entry tier.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and SonoGO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7" ht="165" customHeight="1" s="114">
      <c r="A47" s="113" t="n">
        <v>43</v>
      </c>
      <c r="B47" s="41" t="inlineStr">
        <is>
          <t>株式会社ボンドジャパン</t>
        </is>
      </c>
      <c r="C47" s="113" t="inlineStr">
        <is>
          <t>Bond Japan Co., Ltd.</t>
        </is>
      </c>
      <c r="D47" s="42" t="inlineStr">
        <is>
          <t>Not started</t>
        </is>
      </c>
      <c r="E47" s="43" t="inlineStr">
        <is>
          <t>Casper</t>
        </is>
      </c>
      <c r="F47" s="44" t="inlineStr">
        <is>
          <t>Confirm contact</t>
        </is>
      </c>
      <c r="G47" s="45" t="n"/>
      <c r="H47" s="46" t="inlineStr">
        <is>
          <t>Used medical equipment buyer and seller with a dedicated animal hospital product listing.</t>
        </is>
      </c>
      <c r="I47" s="113" t="inlineStr">
        <is>
          <t>Used medical equipment, including animal hospital products</t>
        </is>
      </c>
      <c r="J47" s="113" t="inlineStr">
        <is>
          <t>YES · used stock, not a brand agency</t>
        </is>
      </c>
      <c r="K47" s="46" t="inlineStr">
        <is>
          <t>Japan</t>
        </is>
      </c>
      <c r="L47" s="108" t="inlineStr">
        <is>
          <t>https://www.bond-japan.com/product/products?ccd=9814</t>
        </is>
      </c>
      <c r="M47" s="113" t="inlineStr">
        <is>
          <t>NOT CONFIRMED</t>
        </is>
      </c>
      <c r="N47" s="113" t="inlineStr">
        <is>
          <t>NOT CONFIRMED</t>
        </is>
      </c>
      <c r="O47" s="113" t="inlineStr">
        <is>
          <t>Not confirmed</t>
        </is>
      </c>
      <c r="P47" s="113" t="inlineStr">
        <is>
          <t>C · SITE LIVE, NOT OPENED</t>
        </is>
      </c>
      <c r="Q47" s="113" t="inlineStr">
        <is>
          <t>Long tail. Used equipment buyers are price sensitive, which is CHISON's argument, but this is not a distribution partner.</t>
        </is>
      </c>
      <c r="R47" s="113" t="inlineStr">
        <is>
          <t>SonoEye P3 VET</t>
        </is>
      </c>
      <c r="S47" s="111" t="inlineStr">
        <is>
          <t>TIER 3</t>
        </is>
      </c>
      <c r="T47" s="54" t="inlineStr">
        <is>
          <t>LOW · used equipment channel</t>
        </is>
      </c>
      <c r="U47" s="113" t="inlineStr">
        <is>
          <t>B</t>
        </is>
      </c>
      <c r="V47" s="113" t="inlineStr">
        <is>
          <t>New in v11 · search result only</t>
        </is>
      </c>
      <c r="W47" s="50" t="inlineStr">
        <is>
          <t>Bond Japan Co., Ltd.: new equipment at a used equipment budget</t>
        </is>
      </c>
      <c r="X47" s="50" t="inlineStr">
        <is>
          <t>Dear 株式会社ボンドジャパン (Bond Japan Co., Ltd.) team,
My name is Casper Tan, Senior Regional Sales Manager at AstraMed Healthcare, a subsidiary of CHISON Medical Technologies. I cover Japan, South Korea, Taiwan and Singapore for CHISON veterinary ultrasound. I am writing to Bond Japan Co., Ltd. specifically, not to a list. Your animal hospital listings serve vets who want imaging without new equipment prices.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8" ht="165" customHeight="1" s="114">
      <c r="A48" s="113" t="n">
        <v>44</v>
      </c>
      <c r="B48" s="41" t="inlineStr">
        <is>
          <t>日本光電工業株式会社</t>
        </is>
      </c>
      <c r="C48" s="113" t="inlineStr">
        <is>
          <t>Nihon Kohden Corporation</t>
        </is>
      </c>
      <c r="D48" s="42" t="inlineStr">
        <is>
          <t>Not started</t>
        </is>
      </c>
      <c r="E48" s="43" t="inlineStr">
        <is>
          <t>Casper</t>
        </is>
      </c>
      <c r="F48" s="44" t="inlineStr">
        <is>
          <t>Low priority, complementary only</t>
        </is>
      </c>
      <c r="G48" s="45" t="n"/>
      <c r="H48" s="113" t="inlineStr">
        <is>
          <t>Japanese medical electronics maker (monitoring, ECG) with sales companies nationwide that also support animal hospital openings. Why it matters: complementary line, not a distributor.</t>
        </is>
      </c>
      <c r="I48" s="113" t="inlineStr">
        <is>
          <t>Monitoring and diagnostics maker with a national sales network</t>
        </is>
      </c>
      <c r="J48" s="113" t="inlineStr">
        <is>
          <t>Not identified in the veterinary range; confirm</t>
        </is>
      </c>
      <c r="K48" s="113" t="inlineStr">
        <is>
          <t>Nationwide</t>
        </is>
      </c>
      <c r="L48" s="108" t="inlineStr">
        <is>
          <t>https://www.nihonkohden.co.jp/iryo/practice/animal/index.html</t>
        </is>
      </c>
      <c r="M48" s="113" t="inlineStr">
        <is>
          <t>Via company site</t>
        </is>
      </c>
      <c r="N48" s="113" t="inlineStr">
        <is>
          <t>Via company site</t>
        </is>
      </c>
      <c r="O48" s="113" t="inlineStr">
        <is>
          <t>Tokyo HQ</t>
        </is>
      </c>
      <c r="P48" s="113" t="inlineStr">
        <is>
          <t>MFR · manufacturer; complementary line conversation only</t>
        </is>
      </c>
      <c r="Q48" s="113" t="inlineStr">
        <is>
          <t>MFR frame only. Relevant because their sales companies sit in every opening project; a co-selling conversation, not an appointment.</t>
        </is>
      </c>
      <c r="R48" s="113" t="inlineStr">
        <is>
          <t>SonoEye P3 VET (peri operative pairing with monitoring)</t>
        </is>
      </c>
      <c r="S48" s="112" t="inlineStr">
        <is>
          <t>MFR</t>
        </is>
      </c>
      <c r="T48" s="52" t="inlineStr">
        <is>
          <t>LOW · partnership rather than purchase</t>
        </is>
      </c>
      <c r="U48" s="113" t="inlineStr">
        <is>
          <t>MFR</t>
        </is>
      </c>
      <c r="V48" s="113" t="inlineStr">
        <is>
          <t>New in v11 · Mikasa dealer map</t>
        </is>
      </c>
      <c r="W48" s="50" t="inlineStr">
        <is>
          <t>Nihon Kohden: monitoring and ultrasound in the same opening project</t>
        </is>
      </c>
      <c r="X48" s="50" t="inlineStr">
        <is>
          <t>Dear 日本光電工業株式会社 (Nihon Kohden Corporation) team,
My name is Casper Tan, Senior Regional Sales Manager at AstraMed Healthcare, a subsidiary of CHISON Medical Technologies. I cover Japan, South Korea, Taiwan and Singapore for CHISON veterinary ultrasound. I am writing to Nihon Kohden Corporation specifically, not to a list. Your sales companies support animal hospital openings across Japan with monitoring.
I see this as a complementary line conversation rather than a distribution appointment: our ultrasound and your range sit side by side in the same clinic without overlap.
For context: we have no appointed veterinary distributor in Japan yet and would rather build one than sell around one.
The product I would put in front of you first is the SonoEye P3 VET (peri operative pairing with monitoring).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9"/>
    <row r="50">
      <c r="A50" s="10">
        <f>COUNTIF(S5:S48,"TIER 1")</f>
        <v/>
      </c>
      <c r="B50" s="10" t="inlineStr">
        <is>
          <t>Tier 1: contact first</t>
        </is>
      </c>
    </row>
    <row r="51">
      <c r="A51" s="10">
        <f>COUNTIF(S5:S48,"TIER 2")</f>
        <v/>
      </c>
      <c r="B51" s="10" t="inlineStr">
        <is>
          <t>Tier 2: qualify first</t>
        </is>
      </c>
    </row>
    <row r="52">
      <c r="A52" s="10">
        <f>COUNTIF(S5:S48,"TIER 3")</f>
        <v/>
      </c>
      <c r="B52" s="10" t="inlineStr">
        <is>
          <t>Tier 3: long tail</t>
        </is>
      </c>
    </row>
    <row r="53">
      <c r="A53" s="10">
        <f>COUNTIF(S5:S48,"MFR*")</f>
        <v/>
      </c>
      <c r="B53" s="10" t="inlineStr">
        <is>
          <t>MFR: manufacturer or supplier, complementary line only</t>
        </is>
      </c>
    </row>
    <row r="54"/>
    <row r="55">
      <c r="A55" s="10">
        <f>COUNTIF(T5:T48,"HIGH*")</f>
        <v/>
      </c>
      <c r="B55" s="10" t="inlineStr">
        <is>
          <t>Buying / distribution potential HIGH</t>
        </is>
      </c>
    </row>
    <row r="56">
      <c r="A56" s="10">
        <f>COUNTIF(T5:T48,"MEDIUM*")</f>
        <v/>
      </c>
      <c r="B56" s="10" t="inlineStr">
        <is>
          <t>Buying / distribution potential MEDIUM</t>
        </is>
      </c>
    </row>
    <row r="57">
      <c r="A57" s="10">
        <f>COUNTIF(T5:T48,"LOW*")</f>
        <v/>
      </c>
      <c r="B57" s="10" t="inlineStr">
        <is>
          <t>Buying / distribution potential LOW</t>
        </is>
      </c>
    </row>
    <row r="58"/>
    <row r="59">
      <c r="A59" s="10">
        <f>COUNTIF(P5:P48,"A*")</f>
        <v/>
      </c>
      <c r="B59" s="10" t="inlineStr">
        <is>
          <t>Contacts graded A: verified phone and/or email</t>
        </is>
      </c>
    </row>
    <row r="60">
      <c r="A60" s="10">
        <f>COUNTIF(P5:P48,"B*")</f>
        <v/>
      </c>
      <c r="B60" s="10" t="inlineStr">
        <is>
          <t>Contacts graded B: site verified, enquiry form or partial</t>
        </is>
      </c>
    </row>
    <row r="61">
      <c r="A61" s="10">
        <f>COUNTIF(P5:P48,"C*")</f>
        <v/>
      </c>
      <c r="B61" s="10" t="inlineStr">
        <is>
          <t>Contacts graded C: site live or listed, not opened by us</t>
        </is>
      </c>
    </row>
    <row r="62">
      <c r="A62" s="10">
        <f>COUNTIF(P5:P48,"D*")</f>
        <v/>
      </c>
      <c r="B62" s="10" t="inlineStr">
        <is>
          <t>Contacts graded D: NOT VERIFIED, confirm before contacting</t>
        </is>
      </c>
    </row>
    <row r="63">
      <c r="A63" s="10">
        <f>COUNTIF(N5:N48,"*@*")</f>
        <v/>
      </c>
      <c r="B63" s="10" t="inlineStr">
        <is>
          <t>Rows with a real email address in column N (ready for Winmail drafting)</t>
        </is>
      </c>
    </row>
    <row r="64"/>
    <row r="65">
      <c r="A65" s="10">
        <f>COUNTA(B5:B48)</f>
        <v/>
      </c>
      <c r="B65" s="10" t="inlineStr">
        <is>
          <t>TOTAL companies on this tab, every one with a ready to send email</t>
        </is>
      </c>
    </row>
  </sheetData>
  <autoFilter ref="A4:X48"/>
  <conditionalFormatting sqref="D5:D4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48" showDropDown="0" showInputMessage="0" showErrorMessage="0" allowBlank="1" type="list">
      <formula1>"Not started,Contacted,Meeting booked,Meeting held,Evaluation placed,Quoted,Won,Declined,Parked"</formula1>
      <formula2>0</formula2>
    </dataValidation>
    <dataValidation sqref="E5:E48"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Yokohama-based veterinary trading house founded 1978, selling nationwide to small-animal clinics. Sole Japan agent for Welch Allyn veterinary diagnostic instruments — otoscopes, ophthalmoscopes, laryngoscopes, thermometers, stethoscopes, exam lighting — plus supplements. Runs the 'WAO' clinic-opening support programme and has been involved in over a thousand new-clinic and refurbishment projects, and exhibits at JSVAS. RELEVANCE: they write the equipment list at the exact moment a vet is deciding what to buy, and there is no ultrasound anywhere in their published range — so a handheld is pure additional margin with zero channel conflict." r:id="rId1"/>
    <hyperlink xmlns:r="http://schemas.openxmlformats.org/officeDocument/2006/relationships" ref="H6" display="Nationwide veterinary total trading company carrying everything from disposables and injection needles up to advanced imaging equipment, with an animal-hospital opening-support arm. RELEVANCE: the disposables business puts their rep inside every clinic on a weekly cycle, which is the cheapest demo route that exists for a pocket scanner, and the opening-support arm gives them first-fit influence. Confirm on the first call whether any ultrasound already sits in the imaging range." r:id="rId2"/>
    <hyperlink xmlns:r="http://schemas.openxmlformats.org/officeDocument/2006/relationships" ref="L6" r:id="rId3"/>
    <hyperlink xmlns:r="http://schemas.openxmlformats.org/officeDocument/2006/relationships" ref="H7" display="Tokyo import trading house founded 1973 for small-animal pharmaceuticals, devices and materials. Line card includes ALSA (Italy) electrosurgery, Integra LifeSciences surgical instruments, and Ortho Medical (Germany) and INTRAUMA (Italy) orthopaedic implants. RELEVANCE: importing foreign medical brands is their core competence, so the manufacturer file and the regulatory legwork are routine for them. A handheld sells into a conversation they are already having — vascular access, nerve block, peri-operative FAST — rather than competing with anything on the shelf." r:id="rId4"/>
    <hyperlink xmlns:r="http://schemas.openxmlformats.org/officeDocument/2006/relationships" ref="H8" display="Established Japanese manufacturer of human operating-room equipment (OR tables, neurosurgical systems) that runs a dedicated animal medical division selling veterinary operating tables and surgical and orthopaedic instruments. RELEVANCE: the human-OR brand carries real weight with veterinary surgeons, and their customer is precisely the vet who wants peri-operative imaging. Attaching a pocket scanner to an operating-table sale is high-margin and conflicts with nothing they carry." r:id="rId5"/>
    <hyperlink xmlns:r="http://schemas.openxmlformats.org/officeDocument/2006/relationships" ref="H9" display="Major Fukushima-headquartered animal-health company doing R&amp;D, manufacture, import, export and sale of veterinary drugs AND veterinary medical devices, selling into small-animal hospitals, livestock clinics, livestock bodies and overseas distributors, and running Asia roadshows. RELEVANCE: the widest veterinary reach of any company on this tab, and — critically for Japan — an existing import/export function, which means they could carry the Japanese marketing authorisation holder role rather than merely reselling. The livestock arm makes bovine reproduction scanning a second revenue line for the same product." r:id="rId6"/>
    <hyperlink xmlns:r="http://schemas.openxmlformats.org/officeDocument/2006/relationships" ref="H10" display="Specialist animal-health trading company founded 1949, part of the Sala Group (Toyohashi). Sells veterinary pharmaceuticals, instruments and equipment (動物用医薬品・器具器材・機械設備) through 22 branches nationwide, across two divisions: production animals for livestock farmers, and small animals for veterinary hospitals. The name stands for Animal-health Service &amp; Consulting. RELEVANCE: this was previously assumed to be a drugs-and-consumables channel. Their own corporate site names equipment and machinery explicitly, which upgrades them considerably — 22 branches selling equipment to both livestock and companion-animal customers matches the whole CHISON VET range, handheld and EBit 50 alike." r:id="rId7"/>
    <hyperlink xmlns:r="http://schemas.openxmlformats.org/officeDocument/2006/relationships" ref="H11" display="Veterinary equipment dealer that also plans, builds and refurbishes animal hospitals, with a showroom and a used-equipment trade. Line card includes GE HealthCare Japan, Canon Medtech Supply, Fujifilm and Fujifilm Medical, Konica Minolta and esaote veterinary — 56 ultrasound SKUs listed. RELEVANCE: do NOT pitch a competing console; four of their principals already sell one. What none of those four sells is a scanner at CHISON's price point, and Medical Space builds the equipment list for every clinic they open, so a cheap handheld raises their attach rate without touching their GE or Fujifilm margin. NOTE: their 'maker index' is a supplier list, not a peer-dealer list — several MFR rows on this tab came from correcting that mistake." r:id="rId8"/>
    <hyperlink xmlns:r="http://schemas.openxmlformats.org/officeDocument/2006/relationships" ref="L16" r:id="rId9"/>
    <hyperlink xmlns:r="http://schemas.openxmlformats.org/officeDocument/2006/relationships" ref="H22" display="Fukuoka-headquartered veterinary device company covering all of Kyushu, trading 30+ years, sourcing from 150+ manufacturers across a 20,000+ item range. Sells veterinary otoscopes, blood-pressure monitors, surgical equipment and in-clinic fit-out — and, unusually, MAINTAINS what it sells, alongside a clinic-opening service. RELEVANCE: every other serious Japanese candidate is Kanto or Kansai based, leaving Kyushu and western Honshu uncovered. This firm owns that territory with three decades of hospital relationships, and the maintenance capability matters more for a handheld fleet than for a single console." r:id="rId10"/>
    <hyperlink xmlns:r="http://schemas.openxmlformats.org/officeDocument/2006/relationships" ref="H23" display="Japan's largest animal-drug wholesaler by revenue, part of Medipal Holdings. Founded 1956 in Asahikawa as Maruzen Pharmaceutical, HQ in Sapporo since 1976. Wholesales veterinary pharmaceuticals nationwide across companion animal and livestock. RELEVANCE: if the goal is distribution reach rather than a boutique partner, this is the top of the list — their reps are inside clinics constantly on the drug order, so a rep-carried handheld demo costs them nothing. The trade-off is a slow, committee-driven decision inside a listed group." r:id="rId11"/>
    <hyperlink xmlns:r="http://schemas.openxmlformats.org/officeDocument/2006/relationships" ref="H25" display="Japan's number-three animal-drug wholesaler by revenue, supplying veterinary pharmaceuticals nationwide. RELEVANCE: large enough to matter nationally, small enough that a new capital line is interesting rather than a rounding error. The open question is whether they carry equipment at all — qualify that before investing time." r:id="rId12"/>
    <hyperlink xmlns:r="http://schemas.openxmlformats.org/officeDocument/2006/relationships" ref="H28" display="Historic veterinary instrument manufacturer and distributor in Tokyo: surgical instruments, large-animal obstetric and reproduction equipment, laboratory apparatus. Appears on Medical Space's supplier index. RELEVANCE: their large-animal reproduction range sits directly beside EBit 50 VET with no overlap at all, which makes a complementary-line or OEM conversation genuinely sensible — but they sell INTO the dealers you are recruiting, so never treat this as a distribution appointment." r:id="rId13"/>
    <hyperlink xmlns:r="http://schemas.openxmlformats.org/officeDocument/2006/relationships" ref="H29" display="Veterinary patient-monitoring specialist in Tokyo — anaesthesia monitors, ECG and vital-sign equipment for animal hospitals. RELEVANCE: their equipment sits in the theatres and wards where a handheld gets used, and monitoring and point-of-care imaging are bought by the same person from the same budget. No imaging line to defend. They manufacture, so the honest first conversation is complementary-line rather than distribution." r:id="rId14"/>
    <hyperlink xmlns:r="http://schemas.openxmlformats.org/officeDocument/2006/relationships" ref="H30" display="Veterinary e-commerce platform selling equipment and supplies to Japanese animal hospitals. RELEVANCE: no field sales force, so it will never carry a console — but probes, gel, accessories and a pocket-format scanner suit the format, and it reaches small clinics that no dealer rep visits regularly. Low effort, low priority, real incremental reach." r:id="rId15"/>
    <hyperlink xmlns:r="http://schemas.openxmlformats.org/officeDocument/2006/relationships" ref="L32" r:id="rId16"/>
    <hyperlink xmlns:r="http://schemas.openxmlformats.org/officeDocument/2006/relationships" ref="L33" r:id="rId17"/>
    <hyperlink xmlns:r="http://schemas.openxmlformats.org/officeDocument/2006/relationships" ref="L34" r:id="rId18"/>
    <hyperlink xmlns:r="http://schemas.openxmlformats.org/officeDocument/2006/relationships" ref="L35" r:id="rId19"/>
    <hyperlink xmlns:r="http://schemas.openxmlformats.org/officeDocument/2006/relationships" ref="L36" r:id="rId20"/>
    <hyperlink xmlns:r="http://schemas.openxmlformats.org/officeDocument/2006/relationships" ref="L37" r:id="rId21"/>
    <hyperlink xmlns:r="http://schemas.openxmlformats.org/officeDocument/2006/relationships" ref="L38" r:id="rId22"/>
    <hyperlink xmlns:r="http://schemas.openxmlformats.org/officeDocument/2006/relationships" ref="L39" r:id="rId23"/>
    <hyperlink xmlns:r="http://schemas.openxmlformats.org/officeDocument/2006/relationships" ref="L40" r:id="rId24"/>
    <hyperlink xmlns:r="http://schemas.openxmlformats.org/officeDocument/2006/relationships" ref="L41" r:id="rId25"/>
    <hyperlink xmlns:r="http://schemas.openxmlformats.org/officeDocument/2006/relationships" ref="L44" r:id="rId26"/>
    <hyperlink xmlns:r="http://schemas.openxmlformats.org/officeDocument/2006/relationships" ref="L45" r:id="rId27"/>
    <hyperlink xmlns:r="http://schemas.openxmlformats.org/officeDocument/2006/relationships" ref="L46" r:id="rId28"/>
    <hyperlink xmlns:r="http://schemas.openxmlformats.org/officeDocument/2006/relationships" ref="L47" r:id="rId29"/>
    <hyperlink xmlns:r="http://schemas.openxmlformats.org/officeDocument/2006/relationships" ref="L48" r:id="rId30"/>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G2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style="114" min="1" max="1"/>
    <col width="30" customWidth="1" style="114" min="2" max="2"/>
    <col width="30" customWidth="1" style="114" min="3" max="3"/>
    <col width="18" customWidth="1" style="114" min="4" max="4"/>
    <col width="12" customWidth="1" style="114" min="5" max="5"/>
    <col width="18" customWidth="1" style="114" min="6" max="6"/>
    <col width="30" customWidth="1" style="114" min="7" max="7"/>
    <col width="40" customWidth="1" style="114" min="8" max="8"/>
    <col width="30" customWidth="1" style="114" min="9" max="9"/>
    <col width="14" customWidth="1" style="114" min="10" max="10"/>
    <col width="28" customWidth="1" style="114" min="11" max="11"/>
    <col width="18" customWidth="1" style="114" min="12" max="12"/>
    <col width="16" customWidth="1" style="114" min="13" max="13"/>
    <col width="14" customWidth="1" style="114" min="14" max="14"/>
    <col width="12" customWidth="1" style="114" min="15" max="15"/>
    <col width="26" customWidth="1" style="114" min="16" max="16"/>
    <col width="18" customWidth="1" style="114" min="17" max="17"/>
    <col width="12" customWidth="1" style="114" min="18" max="18"/>
    <col width="18" customWidth="1" style="114" min="19" max="19"/>
    <col width="9" customWidth="1" style="114" min="20" max="20"/>
    <col width="7" customWidth="1" style="114" min="21" max="21"/>
    <col width="60" customWidth="1" style="114" min="22" max="22"/>
    <col width="45" customWidth="1" style="114" min="23" max="23"/>
    <col width="18" customWidth="1" style="114" min="24" max="24"/>
    <col width="55" customWidth="1" style="114" min="25" max="25"/>
    <col width="9" customWidth="1" style="114" min="26" max="26"/>
    <col width="9" customWidth="1" style="114" min="27" max="27"/>
    <col width="9" customWidth="1" style="114" min="28" max="28"/>
    <col width="9" customWidth="1" style="114" min="29" max="29"/>
    <col width="9" customWidth="1" style="114" min="30" max="30"/>
    <col width="9" customWidth="1" style="114" min="31" max="31"/>
    <col width="9" customWidth="1" style="114" min="32" max="32"/>
    <col width="14" customWidth="1" style="114" min="33" max="33"/>
  </cols>
  <sheetData>
    <row r="1">
      <c r="A1" s="153" t="inlineStr">
        <is>
          <t>JAPAN: VETERINARY ADDITIONAL LEADS (V1 to V5), added in v18, emails added in v19</t>
        </is>
      </c>
    </row>
    <row r="2" ht="60" customHeight="1" s="114">
      <c r="A2" s="154" t="inlineStr">
        <is>
          <t>CHISON veterinary ultrasound, Japan lead list v2 (AstraMed Healthcare). Built 10 Oct 2026 from web search results only: the session's network policy blocked direct page fetches, so contact pages were read through search results, not opened. Every row has at least one source link. Email column: a published company address where one exists (no personal address was guessed), otherwise the inquiry form URL or 'phone only'. Contact confidence: 'Verified' = published on the company's own site; 'Likely' = third party listing (association, chamber); 'Company inquiry only' = form or phone. Rows marked 'Qualify first' in the last column are human dealers whose animal hospital business is not yet confirmed. Fit score is the live SUM of the seven score columns on the right. None of these companies appear on the Japan Dealers, Japan End Users &amp; KOL or Reference tabs of v17.</t>
        </is>
      </c>
    </row>
    <row r="4" ht="42" customHeight="1" s="114">
      <c r="A4" s="155" t="inlineStr">
        <is>
          <t>No.</t>
        </is>
      </c>
      <c r="B4" s="155" t="inlineStr">
        <is>
          <t>Company (English)</t>
        </is>
      </c>
      <c r="C4" s="155" t="inlineStr">
        <is>
          <t>Company (Japanese)</t>
        </is>
      </c>
      <c r="D4" s="155" t="inlineStr">
        <is>
          <t>法人番号</t>
        </is>
      </c>
      <c r="E4" s="155" t="inlineStr">
        <is>
          <t>HQ prefecture</t>
        </is>
      </c>
      <c r="F4" s="155" t="inlineStr">
        <is>
          <t>Region</t>
        </is>
      </c>
      <c r="G4" s="155" t="inlineStr">
        <is>
          <t>Website</t>
        </is>
      </c>
      <c r="H4" s="155" t="inlineStr">
        <is>
          <t>Licences held</t>
        </is>
      </c>
      <c r="I4" s="155" t="inlineStr">
        <is>
          <t>Brands carried</t>
        </is>
      </c>
      <c r="J4" s="155" t="inlineStr">
        <is>
          <t>Companion / Large animal / Both</t>
        </is>
      </c>
      <c r="K4" s="155" t="inlineStr">
        <is>
          <t>Coverage area</t>
        </is>
      </c>
      <c r="L4" s="155" t="inlineStr">
        <is>
          <t>Est. revenue or headcount</t>
        </is>
      </c>
      <c r="M4" s="155" t="inlineStr">
        <is>
          <t>Number of clinics (Tier V5 only)</t>
        </is>
      </c>
      <c r="N4" s="155" t="inlineStr">
        <is>
          <t>Key contact name</t>
        </is>
      </c>
      <c r="O4" s="155" t="inlineStr">
        <is>
          <t>Title</t>
        </is>
      </c>
      <c r="P4" s="155" t="inlineStr">
        <is>
          <t>Email</t>
        </is>
      </c>
      <c r="Q4" s="155" t="inlineStr">
        <is>
          <t>Phone</t>
        </is>
      </c>
      <c r="R4" s="155" t="inlineStr">
        <is>
          <t>LinkedIn</t>
        </is>
      </c>
      <c r="S4" s="155" t="inlineStr">
        <is>
          <t>Contact confidence</t>
        </is>
      </c>
      <c r="T4" s="155" t="inlineStr">
        <is>
          <t>Fit score /35</t>
        </is>
      </c>
      <c r="U4" s="155" t="inlineStr">
        <is>
          <t>Tier</t>
        </is>
      </c>
      <c r="V4" s="155" t="inlineStr">
        <is>
          <t>Why they fit</t>
        </is>
      </c>
      <c r="W4" s="155" t="inlineStr">
        <is>
          <t>Suggested opening angle</t>
        </is>
      </c>
      <c r="X4" s="155" t="inlineStr">
        <is>
          <t>Also in human list (Y/N)</t>
        </is>
      </c>
      <c r="Y4" s="155" t="inlineStr">
        <is>
          <t>Source links</t>
        </is>
      </c>
      <c r="Z4" s="155" t="inlineStr">
        <is>
          <t>Score: regulatory</t>
        </is>
      </c>
      <c r="AA4" s="155" t="inlineStr">
        <is>
          <t>Score: imaging and US</t>
        </is>
      </c>
      <c r="AB4" s="155" t="inlineStr">
        <is>
          <t>Score: brand conflict</t>
        </is>
      </c>
      <c r="AC4" s="155" t="inlineStr">
        <is>
          <t>Score: companion coverage</t>
        </is>
      </c>
      <c r="AD4" s="155" t="inlineStr">
        <is>
          <t>Score: large animal</t>
        </is>
      </c>
      <c r="AE4" s="155" t="inlineStr">
        <is>
          <t>Score: service engineers</t>
        </is>
      </c>
      <c r="AF4" s="155" t="inlineStr">
        <is>
          <t>Score: openness to CN/KR</t>
        </is>
      </c>
      <c r="AG4" s="155" t="inlineStr">
        <is>
          <t>Evidence status</t>
        </is>
      </c>
    </row>
    <row r="5" ht="75" customHeight="1" s="114">
      <c r="A5" s="156" t="n">
        <v>1</v>
      </c>
      <c r="B5" s="156" t="inlineStr">
        <is>
          <t>Central Scientific Commerce, Inc.</t>
        </is>
      </c>
      <c r="C5" s="156" t="inlineStr">
        <is>
          <t>セントラル科学貿易株式会社</t>
        </is>
      </c>
      <c r="D5" s="156" t="inlineStr">
        <is>
          <t>Not found (NTA lookup blocked; dedupe by Japanese name)</t>
        </is>
      </c>
      <c r="E5" s="156" t="inlineStr">
        <is>
          <t>Tokyo</t>
        </is>
      </c>
      <c r="F5" s="156" t="inlineStr">
        <is>
          <t>Kanto</t>
        </is>
      </c>
      <c r="G5" s="157" t="inlineStr">
        <is>
          <t>https://cscjp.co.jp/csc-medical/products/vet-videoscope.html</t>
        </is>
      </c>
      <c r="H5" s="156" t="inlineStr">
        <is>
          <t>Imports AOHUA vet videoscopes (vet device notification implied)</t>
        </is>
      </c>
      <c r="I5" s="156" t="inlineStr">
        <is>
          <t>AOHUA (China) vet endoscopes; no ultrasound</t>
        </is>
      </c>
      <c r="J5" s="156" t="inlineStr">
        <is>
          <t>Companion</t>
        </is>
      </c>
      <c r="K5" s="156" t="inlineStr">
        <is>
          <t>National</t>
        </is>
      </c>
      <c r="L5" s="156" t="inlineStr">
        <is>
          <t>Not found</t>
        </is>
      </c>
      <c r="M5" s="156" t="inlineStr">
        <is>
          <t>n/a</t>
        </is>
      </c>
      <c r="N5" s="156" t="inlineStr">
        <is>
          <t>Not identified</t>
        </is>
      </c>
      <c r="O5" s="156" t="inlineStr">
        <is>
          <t>Not identified</t>
        </is>
      </c>
      <c r="P5" s="156" t="inlineStr">
        <is>
          <t>cscsupport@cscjp.co.jp</t>
        </is>
      </c>
      <c r="Q5" s="156" t="inlineStr">
        <is>
          <t>03 5627 8150</t>
        </is>
      </c>
      <c r="R5" s="156" t="inlineStr">
        <is>
          <t>Not identified</t>
        </is>
      </c>
      <c r="S5" s="156" t="inlineStr">
        <is>
          <t>Likely (third party listing)</t>
        </is>
      </c>
      <c r="T5" s="158">
        <f>SUM(Z5:AF5)</f>
        <v>26</v>
      </c>
      <c r="U5" s="159" t="inlineStr">
        <is>
          <t>V1</t>
        </is>
      </c>
      <c r="V5" s="156" t="inlineStr">
        <is>
          <t>Already imports a Chinese vet imaging brand (AOHUA), which shows openness to Chinese manufacturers and a working NVAL route.</t>
        </is>
      </c>
      <c r="W5" s="156" t="inlineStr">
        <is>
          <t>Lead with CHISON credentials (FDA, OEM for global brands) as the ultrasound companion to AOHUA.</t>
        </is>
      </c>
      <c r="X5" s="156" t="inlineStr">
        <is>
          <t>Not checked (human list not in v17)</t>
        </is>
      </c>
      <c r="Y5" s="156" t="inlineStr">
        <is>
          <t>https://cscjp.co.jp/csc-medical/products/vet-videoscope.html ; https://sia-tokyo.gr.jp/co-list/748 ; https://cscjp.co.jp/contact/</t>
        </is>
      </c>
      <c r="Z5" s="156" t="n">
        <v>5</v>
      </c>
      <c r="AA5" s="156" t="n">
        <v>3</v>
      </c>
      <c r="AB5" s="156" t="n">
        <v>5</v>
      </c>
      <c r="AC5" s="156" t="n">
        <v>4</v>
      </c>
      <c r="AD5" s="156" t="n">
        <v>1</v>
      </c>
      <c r="AE5" s="156" t="n">
        <v>3</v>
      </c>
      <c r="AF5" s="156" t="n">
        <v>5</v>
      </c>
      <c r="AG5" s="156" t="inlineStr">
        <is>
          <t>Evidence backed</t>
        </is>
      </c>
    </row>
    <row r="6" ht="75" customHeight="1" s="114">
      <c r="A6" s="156" t="n">
        <v>2</v>
      </c>
      <c r="B6" s="156" t="inlineStr">
        <is>
          <t>ARKRAY, Inc. (Veterinary)</t>
        </is>
      </c>
      <c r="C6" s="156" t="inlineStr">
        <is>
          <t>アークレイ株式会社 (アークレイファクトリー)</t>
        </is>
      </c>
      <c r="D6" s="156" t="inlineStr">
        <is>
          <t>Not found (NTA lookup blocked; dedupe by Japanese name)</t>
        </is>
      </c>
      <c r="E6" s="156" t="inlineStr">
        <is>
          <t>Kyoto</t>
        </is>
      </c>
      <c r="F6" s="156" t="inlineStr">
        <is>
          <t>Kansai</t>
        </is>
      </c>
      <c r="G6" s="157" t="inlineStr">
        <is>
          <t>https://arkraythinkanimal.com</t>
        </is>
      </c>
      <c r="H6" s="156" t="inlineStr">
        <is>
          <t>Vet device MAH via ARKRAY Factory (NVAL: thinka CB1010)</t>
        </is>
      </c>
      <c r="I6" s="156" t="inlineStr">
        <is>
          <t>Vet analysers (Vcheck V200); no ultrasound</t>
        </is>
      </c>
      <c r="J6" s="156" t="inlineStr">
        <is>
          <t>Companion</t>
        </is>
      </c>
      <c r="K6" s="156" t="inlineStr">
        <is>
          <t>National vet sales force</t>
        </is>
      </c>
      <c r="L6" s="156" t="inlineStr">
        <is>
          <t>Large</t>
        </is>
      </c>
      <c r="M6" s="156" t="inlineStr">
        <is>
          <t>n/a</t>
        </is>
      </c>
      <c r="N6" s="156" t="inlineStr">
        <is>
          <t>Not identified</t>
        </is>
      </c>
      <c r="O6" s="156" t="inlineStr">
        <is>
          <t>Not identified</t>
        </is>
      </c>
      <c r="P6" s="156" t="inlineStr">
        <is>
          <t>thinka@arkray.co.jp</t>
        </is>
      </c>
      <c r="Q6" s="156" t="inlineStr">
        <is>
          <t>050 5527 7700</t>
        </is>
      </c>
      <c r="R6" s="156" t="inlineStr">
        <is>
          <t>Not identified</t>
        </is>
      </c>
      <c r="S6" s="156" t="inlineStr">
        <is>
          <t>Verified (published on own site, read via search)</t>
        </is>
      </c>
      <c r="T6" s="158">
        <f>SUM(Z6:AF6)</f>
        <v>25</v>
      </c>
      <c r="U6" s="159" t="inlineStr">
        <is>
          <t>V1</t>
        </is>
      </c>
      <c r="V6" s="156" t="inlineStr">
        <is>
          <t>Runs a dedicated vet brand (Think Animal) and exhibits at JBVP; national animal hospital coverage and service.</t>
        </is>
      </c>
      <c r="W6" s="156" t="inlineStr">
        <is>
          <t>In clinic diagnostics plus point of care ultrasound bundle.</t>
        </is>
      </c>
      <c r="X6" s="156" t="inlineStr">
        <is>
          <t>Not checked (human list not in v17)</t>
        </is>
      </c>
      <c r="Y6" s="156" t="inlineStr">
        <is>
          <t>https://www.vm.nval.go.jp/public/detail/16030 ; https://arkraythinkanimal.com/2025/09/03/information95/ ; https://arkraythinkanimal.com/company/ ; https://arkraythinkanimal.com/contact/</t>
        </is>
      </c>
      <c r="Z6" s="156" t="n">
        <v>5</v>
      </c>
      <c r="AA6" s="156" t="n">
        <v>2</v>
      </c>
      <c r="AB6" s="156" t="n">
        <v>5</v>
      </c>
      <c r="AC6" s="156" t="n">
        <v>5</v>
      </c>
      <c r="AD6" s="156" t="n">
        <v>1</v>
      </c>
      <c r="AE6" s="156" t="n">
        <v>4</v>
      </c>
      <c r="AF6" s="156" t="n">
        <v>3</v>
      </c>
      <c r="AG6" s="156" t="inlineStr">
        <is>
          <t>Evidence backed</t>
        </is>
      </c>
    </row>
    <row r="7" ht="75" customHeight="1" s="114">
      <c r="A7" s="156" t="n">
        <v>3</v>
      </c>
      <c r="B7" s="156" t="inlineStr">
        <is>
          <t>Nozawa Corporation</t>
        </is>
      </c>
      <c r="C7" s="156" t="inlineStr">
        <is>
          <t>株式会社野澤組</t>
        </is>
      </c>
      <c r="D7" s="156" t="inlineStr">
        <is>
          <t>Not found (NTA lookup blocked; dedupe by Japanese name)</t>
        </is>
      </c>
      <c r="E7" s="156" t="inlineStr">
        <is>
          <t>Tokyo</t>
        </is>
      </c>
      <c r="F7" s="156" t="inlineStr">
        <is>
          <t>Kanto</t>
        </is>
      </c>
      <c r="G7" s="157" t="inlineStr">
        <is>
          <t>https://www.nosawa.co.jp/</t>
        </is>
      </c>
      <c r="H7" s="156" t="inlineStr">
        <is>
          <t>Vet ultrasound MAH per NVAL listing (iScan2 and MyLab series)</t>
        </is>
      </c>
      <c r="I7" s="156" t="inlineStr">
        <is>
          <t>iScan2 (Draminski) and MyLab series listed</t>
        </is>
      </c>
      <c r="J7" s="156" t="inlineStr">
        <is>
          <t>Both</t>
        </is>
      </c>
      <c r="K7" s="156" t="inlineStr">
        <is>
          <t>National import trading house</t>
        </is>
      </c>
      <c r="L7" s="156" t="inlineStr">
        <is>
          <t>Not found</t>
        </is>
      </c>
      <c r="M7" s="156" t="inlineStr">
        <is>
          <t>n/a</t>
        </is>
      </c>
      <c r="N7" s="156" t="inlineStr">
        <is>
          <t>Not identified</t>
        </is>
      </c>
      <c r="O7" s="156" t="inlineStr">
        <is>
          <t>Not identified</t>
        </is>
      </c>
      <c r="P7" s="156" t="inlineStr">
        <is>
          <t>gg@nosawa.co.jp</t>
        </is>
      </c>
      <c r="Q7" s="156" t="inlineStr">
        <is>
          <t>03 3528 8101</t>
        </is>
      </c>
      <c r="R7" s="156" t="inlineStr">
        <is>
          <t>Not identified</t>
        </is>
      </c>
      <c r="S7" s="156" t="inlineStr">
        <is>
          <t>Verified (published on own site, read via search)</t>
        </is>
      </c>
      <c r="T7" s="158">
        <f>SUM(Z7:AF7)</f>
        <v>25</v>
      </c>
      <c r="U7" s="159" t="inlineStr">
        <is>
          <t>V1</t>
        </is>
      </c>
      <c r="V7" s="156" t="inlineStr">
        <is>
          <t>Trading house already holding vet ultrasound notifications, including large animal scanners; regulatory capability proven. FLAG: MyLab may indicate an Esaote relationship; confirm brand conflict.</t>
        </is>
      </c>
      <c r="W7" s="156" t="inlineStr">
        <is>
          <t>Mid tier companion portables to complement their large animal scanner, if their MyLab line is not exclusive.</t>
        </is>
      </c>
      <c r="X7" s="156" t="inlineStr">
        <is>
          <t>Not checked (human list not in v17)</t>
        </is>
      </c>
      <c r="Y7" s="156" t="inlineStr">
        <is>
          <t>https://vm.nval.go.jp/?mfg_dealer_name=&amp;sort=MANUFACTURING_DEALER&amp;submit=submit ; https://www.vm.nval.go.jp/public/detail/9148 ; https://www.totalapproach.co.jp/askme/askme.html ; https://www.nosawa.co.jp/inquiry/</t>
        </is>
      </c>
      <c r="Z7" s="156" t="n">
        <v>5</v>
      </c>
      <c r="AA7" s="156" t="n">
        <v>5</v>
      </c>
      <c r="AB7" s="156" t="n">
        <v>2</v>
      </c>
      <c r="AC7" s="156" t="n">
        <v>3</v>
      </c>
      <c r="AD7" s="156" t="n">
        <v>4</v>
      </c>
      <c r="AE7" s="156" t="n">
        <v>3</v>
      </c>
      <c r="AF7" s="156" t="n">
        <v>3</v>
      </c>
      <c r="AG7" s="156" t="inlineStr">
        <is>
          <t>Evidence backed</t>
        </is>
      </c>
    </row>
    <row r="8" ht="75" customHeight="1" s="114">
      <c r="A8" s="156" t="n">
        <v>4</v>
      </c>
      <c r="B8" s="156" t="inlineStr">
        <is>
          <t>Olympus Marketing, Inc. (Animal Medical)</t>
        </is>
      </c>
      <c r="C8" s="156" t="inlineStr">
        <is>
          <t>オリンパスマーケティング株式会社</t>
        </is>
      </c>
      <c r="D8" s="156" t="inlineStr">
        <is>
          <t>Not found (NTA lookup blocked; dedupe by Japanese name)</t>
        </is>
      </c>
      <c r="E8" s="156" t="inlineStr">
        <is>
          <t>Tokyo</t>
        </is>
      </c>
      <c r="F8" s="156" t="inlineStr">
        <is>
          <t>Kanto</t>
        </is>
      </c>
      <c r="G8" s="157" t="inlineStr">
        <is>
          <t>https://www.olympus-marketing.co.jp/business/animal/</t>
        </is>
      </c>
      <c r="H8" s="156" t="inlineStr">
        <is>
          <t>Vet endoscopy systems marketed (VES Be one); Olympus group MAH capability</t>
        </is>
      </c>
      <c r="I8" s="156" t="inlineStr">
        <is>
          <t>Own endoscopes; no ultrasound in vet range</t>
        </is>
      </c>
      <c r="J8" s="156" t="inlineStr">
        <is>
          <t>Companion</t>
        </is>
      </c>
      <c r="K8" s="156" t="inlineStr">
        <is>
          <t>National</t>
        </is>
      </c>
      <c r="L8" s="156" t="inlineStr">
        <is>
          <t>Large (Olympus group)</t>
        </is>
      </c>
      <c r="M8" s="156" t="inlineStr">
        <is>
          <t>n/a</t>
        </is>
      </c>
      <c r="N8" s="156" t="inlineStr">
        <is>
          <t>Not identified</t>
        </is>
      </c>
      <c r="O8" s="156" t="inlineStr">
        <is>
          <t>Not identified</t>
        </is>
      </c>
      <c r="P8" s="156" t="inlineStr">
        <is>
          <t>Not published; inquiry form: https://www.olympus-marketing.co.jp/contact/</t>
        </is>
      </c>
      <c r="Q8" s="156" t="inlineStr">
        <is>
          <t>042 642 4002</t>
        </is>
      </c>
      <c r="R8" s="156" t="inlineStr">
        <is>
          <t>Not identified</t>
        </is>
      </c>
      <c r="S8" s="156" t="inlineStr">
        <is>
          <t>Company inquiry only (form)</t>
        </is>
      </c>
      <c r="T8" s="158">
        <f>SUM(Z8:AF8)</f>
        <v>25</v>
      </c>
      <c r="U8" s="159" t="inlineStr">
        <is>
          <t>V1</t>
        </is>
      </c>
      <c r="V8" s="156" t="inlineStr">
        <is>
          <t>Runs a dedicated animal endoscopy business with national service engineers; imaging culture and hospital relationships.</t>
        </is>
      </c>
      <c r="W8" s="156" t="inlineStr">
        <is>
          <t>Endoscopy plus ultrasound GI work up; propose a co marketing pilot rather than distribution first.</t>
        </is>
      </c>
      <c r="X8" s="156" t="inlineStr">
        <is>
          <t>Not checked (human list not in v17)</t>
        </is>
      </c>
      <c r="Y8" s="156" t="inlineStr">
        <is>
          <t>https://www.olympus-marketing.co.jp/business/animal/ ; https://www.olympus-marketing.co.jp/contact/</t>
        </is>
      </c>
      <c r="Z8" s="156" t="n">
        <v>5</v>
      </c>
      <c r="AA8" s="156" t="n">
        <v>4</v>
      </c>
      <c r="AB8" s="156" t="n">
        <v>4</v>
      </c>
      <c r="AC8" s="156" t="n">
        <v>4</v>
      </c>
      <c r="AD8" s="156" t="n">
        <v>1</v>
      </c>
      <c r="AE8" s="156" t="n">
        <v>5</v>
      </c>
      <c r="AF8" s="156" t="n">
        <v>2</v>
      </c>
      <c r="AG8" s="156" t="inlineStr">
        <is>
          <t>Evidence backed</t>
        </is>
      </c>
    </row>
    <row r="9" ht="75" customHeight="1" s="114">
      <c r="A9" s="156" t="n">
        <v>5</v>
      </c>
      <c r="B9" s="156" t="inlineStr">
        <is>
          <t>Kyoritsu Shokai Co., Ltd.</t>
        </is>
      </c>
      <c r="C9" s="156" t="inlineStr">
        <is>
          <t>株式会社共立商会</t>
        </is>
      </c>
      <c r="D9" s="156" t="inlineStr">
        <is>
          <t>Not found (NTA lookup blocked; dedupe by Japanese name)</t>
        </is>
      </c>
      <c r="E9" s="156" t="inlineStr">
        <is>
          <t>Tokyo</t>
        </is>
      </c>
      <c r="F9" s="156" t="inlineStr">
        <is>
          <t>Kanto</t>
        </is>
      </c>
      <c r="G9" s="157" t="inlineStr">
        <is>
          <t>https://www.kyoritsu-shokai.com</t>
        </is>
      </c>
      <c r="H9" s="156" t="inlineStr">
        <is>
          <t>第二種動物用医療機器製造販売業許可 (licence page on own site); 動物用医薬品 import and sales</t>
        </is>
      </c>
      <c r="I9" s="156" t="inlineStr">
        <is>
          <t>Imported vet drugs and instruments; no ultrasound line identified</t>
        </is>
      </c>
      <c r="J9" s="156" t="inlineStr">
        <is>
          <t>Both</t>
        </is>
      </c>
      <c r="K9" s="156" t="inlineStr">
        <is>
          <t>Kanto base, national import channel</t>
        </is>
      </c>
      <c r="L9" s="156" t="inlineStr">
        <is>
          <t>Not found</t>
        </is>
      </c>
      <c r="M9" s="156" t="inlineStr">
        <is>
          <t>n/a</t>
        </is>
      </c>
      <c r="N9" s="156" t="inlineStr">
        <is>
          <t>Not identified</t>
        </is>
      </c>
      <c r="O9" s="156" t="inlineStr">
        <is>
          <t>Not identified</t>
        </is>
      </c>
      <c r="P9" s="156" t="inlineStr">
        <is>
          <t>pet@kyoritsu-shokai.com</t>
        </is>
      </c>
      <c r="Q9" s="156" t="inlineStr">
        <is>
          <t>03 3424 6201</t>
        </is>
      </c>
      <c r="R9" s="156" t="inlineStr">
        <is>
          <t>Not identified</t>
        </is>
      </c>
      <c r="S9" s="156" t="inlineStr">
        <is>
          <t>Verified (published on own site, read via search); page notes the address was changed, confirm</t>
        </is>
      </c>
      <c r="T9" s="158">
        <f>SUM(Z9:AF9)</f>
        <v>24</v>
      </c>
      <c r="U9" s="159" t="inlineStr">
        <is>
          <t>V1</t>
        </is>
      </c>
      <c r="V9" s="156"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156" t="inlineStr">
        <is>
          <t>Ask whether they would act as MAH and master importer for a portable vet ultrasound line, with regional JADIDA members as sub dealers.</t>
        </is>
      </c>
      <c r="X9" s="156" t="inlineStr">
        <is>
          <t>Not checked (human list not in v17)</t>
        </is>
      </c>
      <c r="Y9" s="156" t="inlineStr">
        <is>
          <t>https://www.kyoritsu-shokai.com/company/%E5%8C%BB%E8%96%AC%E5%93%81%E3%83%BB%E5%8B%95%E7%89%A9%E7%94%A8%E5%8C%BB%E8%96%AC%E5%93%81%E8%A8%B1%E5%8F%AF%E8%A8%BC%E9%96%A2%E9%80%A3/ ; https://jadida.or.jp/aboutus.html ; https://www.kyoritsu-shokai.com/%E7%89%B9%E5%AE%9A%E5%95%86%E5%8F%96%E5%BC%95%E6%B3%95%E3%81%AB%E5%9F%BA%E3%81%A5%E3%81%8F%E8%A1%A8%E8%A8%98/ ; https://www.kyoritsu-shokai.com/%E3%81%8A%E5%95%8F%E3%81%84%E5%90%88%E3%82%8F%E3%81%9B/</t>
        </is>
      </c>
      <c r="Z9" s="156" t="n">
        <v>5</v>
      </c>
      <c r="AA9" s="156" t="n">
        <v>1</v>
      </c>
      <c r="AB9" s="156" t="n">
        <v>5</v>
      </c>
      <c r="AC9" s="156" t="n">
        <v>4</v>
      </c>
      <c r="AD9" s="156" t="n">
        <v>4</v>
      </c>
      <c r="AE9" s="156" t="n">
        <v>2</v>
      </c>
      <c r="AF9" s="156" t="n">
        <v>3</v>
      </c>
      <c r="AG9" s="156" t="inlineStr">
        <is>
          <t>Evidence backed</t>
        </is>
      </c>
    </row>
    <row r="10" ht="75" customHeight="1" s="114">
      <c r="A10" s="156" t="n">
        <v>6</v>
      </c>
      <c r="B10" s="156" t="inlineStr">
        <is>
          <t>T&amp;S Co., Ltd.</t>
        </is>
      </c>
      <c r="C10" s="156" t="inlineStr">
        <is>
          <t>株式会社ティーアンドエス</t>
        </is>
      </c>
      <c r="D10" s="156" t="inlineStr">
        <is>
          <t>Not found (NTA lookup blocked; dedupe by Japanese name)</t>
        </is>
      </c>
      <c r="E10" s="156" t="inlineStr">
        <is>
          <t>Chiba</t>
        </is>
      </c>
      <c r="F10" s="156" t="inlineStr">
        <is>
          <t>Kanto</t>
        </is>
      </c>
      <c r="G10" s="157" t="inlineStr">
        <is>
          <t>https://ts-xray.com</t>
        </is>
      </c>
      <c r="H10" s="156" t="inlineStr">
        <is>
          <t>Animal device manufacturing licence (2003); NVAL approval VPX200 vet X ray (2004)</t>
        </is>
      </c>
      <c r="I10" s="156" t="inlineStr">
        <is>
          <t>Own X ray; no ultrasound</t>
        </is>
      </c>
      <c r="J10" s="156" t="inlineStr">
        <is>
          <t>Both</t>
        </is>
      </c>
      <c r="K10" s="156" t="inlineStr">
        <is>
          <t>Noda, Chiba; national</t>
        </is>
      </c>
      <c r="L10" s="156" t="inlineStr">
        <is>
          <t>Not found</t>
        </is>
      </c>
      <c r="M10" s="156" t="inlineStr">
        <is>
          <t>n/a</t>
        </is>
      </c>
      <c r="N10" s="156" t="inlineStr">
        <is>
          <t>Not identified</t>
        </is>
      </c>
      <c r="O10" s="156" t="inlineStr">
        <is>
          <t>Not identified</t>
        </is>
      </c>
      <c r="P10" s="156" t="inlineStr">
        <is>
          <t>contact@ts-xray.com</t>
        </is>
      </c>
      <c r="Q10" s="156" t="inlineStr">
        <is>
          <t>04 7127 7323</t>
        </is>
      </c>
      <c r="R10" s="156" t="inlineStr">
        <is>
          <t>Not identified</t>
        </is>
      </c>
      <c r="S10" s="156" t="inlineStr">
        <is>
          <t>Verified (published on own site, read via search); listed on recruiting page</t>
        </is>
      </c>
      <c r="T10" s="158">
        <f>SUM(Z10:AF10)</f>
        <v>24</v>
      </c>
      <c r="U10" s="159" t="inlineStr">
        <is>
          <t>V1</t>
        </is>
      </c>
      <c r="V10" s="156" t="inlineStr">
        <is>
          <t>Domestic X ray maker with a vet approval; imaging focused and unconflicted on ultrasound.</t>
        </is>
      </c>
      <c r="W10" s="156" t="inlineStr">
        <is>
          <t>Pair portable ultrasound with their vet X ray for clinic openings.</t>
        </is>
      </c>
      <c r="X10" s="156" t="inlineStr">
        <is>
          <t>Not checked (human list not in v17)</t>
        </is>
      </c>
      <c r="Y10" s="156" t="inlineStr">
        <is>
          <t>https://www.pref.saitama.lg.jp/documents/236933/0343_tands.pdf ; https://www.vm.nval.go.jp/public/detail/6769 ; https://ts-xray.com/recruit/ ; https://ts-xray.com/inquiry/</t>
        </is>
      </c>
      <c r="Z10" s="156" t="n">
        <v>5</v>
      </c>
      <c r="AA10" s="156" t="n">
        <v>3</v>
      </c>
      <c r="AB10" s="156" t="n">
        <v>5</v>
      </c>
      <c r="AC10" s="156" t="n">
        <v>3</v>
      </c>
      <c r="AD10" s="156" t="n">
        <v>2</v>
      </c>
      <c r="AE10" s="156" t="n">
        <v>3</v>
      </c>
      <c r="AF10" s="156" t="n">
        <v>3</v>
      </c>
      <c r="AG10" s="156" t="inlineStr">
        <is>
          <t>Evidence backed</t>
        </is>
      </c>
    </row>
    <row r="11" ht="75" customHeight="1" s="114">
      <c r="A11" s="156" t="n">
        <v>7</v>
      </c>
      <c r="B11" s="156" t="inlineStr">
        <is>
          <t>Nipro Corporation (Veterinary)</t>
        </is>
      </c>
      <c r="C11" s="156" t="inlineStr">
        <is>
          <t>ニプロ株式会社</t>
        </is>
      </c>
      <c r="D11" s="156" t="inlineStr">
        <is>
          <t>Not found (NTA lookup blocked; dedupe by Japanese name)</t>
        </is>
      </c>
      <c r="E11" s="156" t="inlineStr">
        <is>
          <t>Osaka</t>
        </is>
      </c>
      <c r="F11" s="156" t="inlineStr">
        <is>
          <t>Kansai</t>
        </is>
      </c>
      <c r="G11" s="156" t="inlineStr">
        <is>
          <t>Not found</t>
        </is>
      </c>
      <c r="H11" s="156" t="inlineStr">
        <is>
          <t>Vet device MAH (NVAL: vet syringe 2018, infusion set)</t>
        </is>
      </c>
      <c r="I11" s="156" t="inlineStr">
        <is>
          <t>Disposables; no vet ultrasound</t>
        </is>
      </c>
      <c r="J11" s="156" t="inlineStr">
        <is>
          <t>Both</t>
        </is>
      </c>
      <c r="K11" s="156" t="inlineStr">
        <is>
          <t>National and Asia</t>
        </is>
      </c>
      <c r="L11" s="156" t="inlineStr">
        <is>
          <t>Large</t>
        </is>
      </c>
      <c r="M11" s="156" t="inlineStr">
        <is>
          <t>n/a</t>
        </is>
      </c>
      <c r="N11" s="156" t="inlineStr">
        <is>
          <t>Not identified</t>
        </is>
      </c>
      <c r="O11" s="156" t="inlineStr">
        <is>
          <t>Not identified</t>
        </is>
      </c>
      <c r="P11" s="156" t="inlineStr">
        <is>
          <t>Not published; inquiry form: https://www.nipro.co.jp/contact/device/</t>
        </is>
      </c>
      <c r="Q11" s="156" t="inlineStr">
        <is>
          <t>0120 226 410 (device info desk)</t>
        </is>
      </c>
      <c r="R11" s="156" t="inlineStr">
        <is>
          <t>Not identified</t>
        </is>
      </c>
      <c r="S11" s="156" t="inlineStr">
        <is>
          <t>Company inquiry only (form)</t>
        </is>
      </c>
      <c r="T11" s="158">
        <f>SUM(Z11:AF11)</f>
        <v>23</v>
      </c>
      <c r="U11" s="159" t="inlineStr">
        <is>
          <t>V1</t>
        </is>
      </c>
      <c r="V11" s="156" t="inlineStr">
        <is>
          <t>Major human device group with vet MAH registrations; dealer network reaches animal hospitals.</t>
        </is>
      </c>
      <c r="W11" s="156" t="inlineStr">
        <is>
          <t>Long shot; explore OEM or MAH service.</t>
        </is>
      </c>
      <c r="X11" s="156" t="inlineStr">
        <is>
          <t>Not checked (human list not in v17)</t>
        </is>
      </c>
      <c r="Y11" s="156" t="inlineStr">
        <is>
          <t>https://www.vm.nval.go.jp/public/detail/17793 ; https://www.vm.nval.go.jp/public/detail/6784 ; https://www.nipro.co.jp/contact/device/</t>
        </is>
      </c>
      <c r="Z11" s="156" t="n">
        <v>5</v>
      </c>
      <c r="AA11" s="156" t="n">
        <v>1</v>
      </c>
      <c r="AB11" s="156" t="n">
        <v>5</v>
      </c>
      <c r="AC11" s="156" t="n">
        <v>3</v>
      </c>
      <c r="AD11" s="156" t="n">
        <v>2</v>
      </c>
      <c r="AE11" s="156" t="n">
        <v>5</v>
      </c>
      <c r="AF11" s="156" t="n">
        <v>2</v>
      </c>
      <c r="AG11" s="156" t="inlineStr">
        <is>
          <t>Evidence backed</t>
        </is>
      </c>
    </row>
    <row r="12" ht="75" customHeight="1" s="114">
      <c r="A12" s="156" t="n">
        <v>8</v>
      </c>
      <c r="B12" s="156" t="inlineStr">
        <is>
          <t>Aison Co., Ltd.</t>
        </is>
      </c>
      <c r="C12" s="156" t="inlineStr">
        <is>
          <t>アイソン株式会社</t>
        </is>
      </c>
      <c r="D12" s="156" t="inlineStr">
        <is>
          <t>Not found (NTA lookup blocked; dedupe by Japanese name)</t>
        </is>
      </c>
      <c r="E12" s="156" t="inlineStr">
        <is>
          <t>Saitama</t>
        </is>
      </c>
      <c r="F12" s="156" t="inlineStr">
        <is>
          <t>Kanto</t>
        </is>
      </c>
      <c r="G12" s="157" t="inlineStr">
        <is>
          <t>https://aison.jp/</t>
        </is>
      </c>
      <c r="H12" s="156" t="inlineStr">
        <is>
          <t>Vet ultrasound MAH: NVAL notification 超音波画像診断装置 Vシリーズ (9 Jul 2024)</t>
        </is>
      </c>
      <c r="I12" s="156" t="inlineStr">
        <is>
          <t>Holds a vet ultrasound line (V series; origin brand not confirmed)</t>
        </is>
      </c>
      <c r="J12" s="156" t="inlineStr">
        <is>
          <t>Companion</t>
        </is>
      </c>
      <c r="K12" s="156" t="inlineStr">
        <is>
          <t>Kawaguchi, Saitama</t>
        </is>
      </c>
      <c r="L12" s="156" t="inlineStr">
        <is>
          <t>Not found</t>
        </is>
      </c>
      <c r="M12" s="156" t="inlineStr">
        <is>
          <t>n/a</t>
        </is>
      </c>
      <c r="N12" s="156" t="inlineStr">
        <is>
          <t>Not identified</t>
        </is>
      </c>
      <c r="O12" s="156" t="inlineStr">
        <is>
          <t>Not identified</t>
        </is>
      </c>
      <c r="P12" s="156" t="inlineStr">
        <is>
          <t>saito@aison.jp</t>
        </is>
      </c>
      <c r="Q12" s="156" t="inlineStr">
        <is>
          <t>048 299 3597</t>
        </is>
      </c>
      <c r="R12" s="156" t="inlineStr">
        <is>
          <t>Not identified</t>
        </is>
      </c>
      <c r="S12" s="156" t="inlineStr">
        <is>
          <t>Likely (third party listing); named staff address, may be old</t>
        </is>
      </c>
      <c r="T12" s="158">
        <f>SUM(Z12:AF12)</f>
        <v>23</v>
      </c>
      <c r="U12" s="159" t="inlineStr">
        <is>
          <t>V1</t>
        </is>
      </c>
      <c r="V12" s="156" t="inlineStr">
        <is>
          <t>One of the few MAHs that notified a vet ultrasound in 2024, so it knows the exact NVAL route CHISON needs. FLAG: Brand behind the V series not confirmed; check it is not SonoScape or Mindray exclusive.</t>
        </is>
      </c>
      <c r="W12" s="156" t="inlineStr">
        <is>
          <t>Ask whether they would add a second OEM source or act as MAH for CHISON vet SKUs.</t>
        </is>
      </c>
      <c r="X12" s="156" t="inlineStr">
        <is>
          <t>Not checked (human list not in v17)</t>
        </is>
      </c>
      <c r="Y12" s="156" t="inlineStr">
        <is>
          <t>https://www.vm.nval.go.jp/public/detail/19613 ; https://www.pmda.go.jp/PmdaSearch/kikiDetail/ResultDataSetPDF/112161_306ADBZX00058000_V_01_01 ; http://www.kawaguchicci.or.jp/plat/pl_disp_company_detail.cgi?company=2209</t>
        </is>
      </c>
      <c r="Z12" s="156" t="n">
        <v>5</v>
      </c>
      <c r="AA12" s="156" t="n">
        <v>5</v>
      </c>
      <c r="AB12" s="156" t="n">
        <v>2</v>
      </c>
      <c r="AC12" s="156" t="n">
        <v>3</v>
      </c>
      <c r="AD12" s="156" t="n">
        <v>1</v>
      </c>
      <c r="AE12" s="156" t="n">
        <v>3</v>
      </c>
      <c r="AF12" s="156" t="n">
        <v>4</v>
      </c>
      <c r="AG12" s="156" t="inlineStr">
        <is>
          <t>Evidence backed</t>
        </is>
      </c>
    </row>
    <row r="13" ht="75" customHeight="1" s="114">
      <c r="A13" s="156" t="n">
        <v>9</v>
      </c>
      <c r="B13" s="156" t="inlineStr">
        <is>
          <t>IDEXX Laboratories K.K.</t>
        </is>
      </c>
      <c r="C13" s="156" t="inlineStr">
        <is>
          <t>アイデックス ラボラトリーズ株式会社</t>
        </is>
      </c>
      <c r="D13" s="156" t="inlineStr">
        <is>
          <t>Not found (NTA lookup blocked; dedupe by Japanese name)</t>
        </is>
      </c>
      <c r="E13" s="156" t="inlineStr">
        <is>
          <t>Tokyo</t>
        </is>
      </c>
      <c r="F13" s="156" t="inlineStr">
        <is>
          <t>Kanto</t>
        </is>
      </c>
      <c r="G13" s="156" t="inlineStr">
        <is>
          <t>Not found</t>
        </is>
      </c>
      <c r="H13" s="156" t="inlineStr">
        <is>
          <t>Vet device MAH (NVAL: Catalyst Dx)</t>
        </is>
      </c>
      <c r="I13" s="156" t="inlineStr">
        <is>
          <t>Lab analysers; no ultrasound</t>
        </is>
      </c>
      <c r="J13" s="156" t="inlineStr">
        <is>
          <t>Companion</t>
        </is>
      </c>
      <c r="K13" s="156" t="inlineStr">
        <is>
          <t>National</t>
        </is>
      </c>
      <c r="L13" s="156" t="inlineStr">
        <is>
          <t>Large (IDEXX group)</t>
        </is>
      </c>
      <c r="M13" s="156" t="inlineStr">
        <is>
          <t>n/a</t>
        </is>
      </c>
      <c r="N13" s="156" t="inlineStr">
        <is>
          <t>Not identified</t>
        </is>
      </c>
      <c r="O13" s="156" t="inlineStr">
        <is>
          <t>Not identified</t>
        </is>
      </c>
      <c r="P13" s="156" t="inlineStr">
        <is>
          <t>Not published; inquiry form: https://www.idexx.co.jp/ja/about-idexx/contact-idexx/</t>
        </is>
      </c>
      <c r="Q13" s="156" t="inlineStr">
        <is>
          <t>0120 71 4921</t>
        </is>
      </c>
      <c r="R13" s="156" t="inlineStr">
        <is>
          <t>Not identified</t>
        </is>
      </c>
      <c r="S13" s="156" t="inlineStr">
        <is>
          <t>Company inquiry only (form)</t>
        </is>
      </c>
      <c r="T13" s="158">
        <f>SUM(Z13:AF13)</f>
        <v>23</v>
      </c>
      <c r="U13" s="159" t="inlineStr">
        <is>
          <t>V1</t>
        </is>
      </c>
      <c r="V13" s="156" t="inlineStr">
        <is>
          <t>Largest in clinic diagnostics vendor with direct hospital coverage; MAH capability. FLAG: Global corporate; partnering unlikely, keep as awareness.</t>
        </is>
      </c>
      <c r="W13" s="156" t="inlineStr">
        <is>
          <t>Long shot; useful for co promotion.</t>
        </is>
      </c>
      <c r="X13" s="156" t="inlineStr">
        <is>
          <t>Not checked (human list not in v17)</t>
        </is>
      </c>
      <c r="Y13" s="156" t="inlineStr">
        <is>
          <t>https://www.vm.nval.go.jp/public/detail/12549 ; https://www.idexx.co.jp/ja/about-idexx/contact-idexx/</t>
        </is>
      </c>
      <c r="Z13" s="156" t="n">
        <v>5</v>
      </c>
      <c r="AA13" s="156" t="n">
        <v>1</v>
      </c>
      <c r="AB13" s="156" t="n">
        <v>5</v>
      </c>
      <c r="AC13" s="156" t="n">
        <v>5</v>
      </c>
      <c r="AD13" s="156" t="n">
        <v>1</v>
      </c>
      <c r="AE13" s="156" t="n">
        <v>5</v>
      </c>
      <c r="AF13" s="156" t="n">
        <v>1</v>
      </c>
      <c r="AG13" s="156" t="inlineStr">
        <is>
          <t>Evidence backed</t>
        </is>
      </c>
    </row>
    <row r="14" ht="75" customHeight="1" s="114">
      <c r="A14" s="156" t="n">
        <v>10</v>
      </c>
      <c r="B14" s="156" t="inlineStr">
        <is>
          <t>Karl Storz Endoscopy Japan K.K.</t>
        </is>
      </c>
      <c r="C14" s="156" t="inlineStr">
        <is>
          <t>カールストルツ・エンドスコピー・ジャパン株式会社</t>
        </is>
      </c>
      <c r="D14" s="156" t="inlineStr">
        <is>
          <t>Not found (NTA lookup blocked; dedupe by Japanese name)</t>
        </is>
      </c>
      <c r="E14" s="156" t="inlineStr">
        <is>
          <t>Tokyo</t>
        </is>
      </c>
      <c r="F14" s="156" t="inlineStr">
        <is>
          <t>Kanto</t>
        </is>
      </c>
      <c r="G14" s="156" t="inlineStr">
        <is>
          <t>Not found</t>
        </is>
      </c>
      <c r="H14" s="156" t="inlineStr">
        <is>
          <t>Vet device MAH (NVAL listing)</t>
        </is>
      </c>
      <c r="I14" s="156" t="inlineStr">
        <is>
          <t>Endoscopy; no ultrasound in vet range</t>
        </is>
      </c>
      <c r="J14" s="156" t="inlineStr">
        <is>
          <t>Companion</t>
        </is>
      </c>
      <c r="K14" s="156" t="inlineStr">
        <is>
          <t>National</t>
        </is>
      </c>
      <c r="L14" s="156" t="inlineStr">
        <is>
          <t>Large (Karl Storz group)</t>
        </is>
      </c>
      <c r="M14" s="156" t="inlineStr">
        <is>
          <t>n/a</t>
        </is>
      </c>
      <c r="N14" s="156" t="inlineStr">
        <is>
          <t>Not identified</t>
        </is>
      </c>
      <c r="O14" s="156" t="inlineStr">
        <is>
          <t>Not identified</t>
        </is>
      </c>
      <c r="P14" s="156" t="inlineStr">
        <is>
          <t>Not published; phone only</t>
        </is>
      </c>
      <c r="Q14" s="156" t="inlineStr">
        <is>
          <t>Not found</t>
        </is>
      </c>
      <c r="R14" s="156" t="inlineStr">
        <is>
          <t>Not identified</t>
        </is>
      </c>
      <c r="S14" s="156" t="inlineStr">
        <is>
          <t>Unverified (no contact found in search)</t>
        </is>
      </c>
      <c r="T14" s="158">
        <f>SUM(Z14:AF14)</f>
        <v>23</v>
      </c>
      <c r="U14" s="159" t="inlineStr">
        <is>
          <t>V1</t>
        </is>
      </c>
      <c r="V14" s="156" t="inlineStr">
        <is>
          <t>Holds vet device notifications and serves referral hospitals with endoscopy; imaging service engineers.</t>
        </is>
      </c>
      <c r="W14" s="156" t="inlineStr">
        <is>
          <t>Referral centre co marketing; low probability of distribution but useful KOL access.</t>
        </is>
      </c>
      <c r="X14" s="156" t="inlineStr">
        <is>
          <t>Not checked (human list not in v17)</t>
        </is>
      </c>
      <c r="Y14" s="156" t="inlineStr">
        <is>
          <t>https://www.vm.nval.go.jp/public/detail/6770</t>
        </is>
      </c>
      <c r="Z14" s="156" t="n">
        <v>5</v>
      </c>
      <c r="AA14" s="156" t="n">
        <v>3</v>
      </c>
      <c r="AB14" s="156" t="n">
        <v>4</v>
      </c>
      <c r="AC14" s="156" t="n">
        <v>3</v>
      </c>
      <c r="AD14" s="156" t="n">
        <v>1</v>
      </c>
      <c r="AE14" s="156" t="n">
        <v>5</v>
      </c>
      <c r="AF14" s="156" t="n">
        <v>2</v>
      </c>
      <c r="AG14" s="156" t="inlineStr">
        <is>
          <t>Evidence backed</t>
        </is>
      </c>
    </row>
    <row r="15" ht="75" customHeight="1" s="114">
      <c r="A15" s="156" t="n">
        <v>11</v>
      </c>
      <c r="B15" s="156" t="inlineStr">
        <is>
          <t>Metran Co., Ltd.</t>
        </is>
      </c>
      <c r="C15" s="156" t="inlineStr">
        <is>
          <t>株式会社メトラン</t>
        </is>
      </c>
      <c r="D15" s="156" t="inlineStr">
        <is>
          <t>Not found (NTA lookup blocked; dedupe by Japanese name)</t>
        </is>
      </c>
      <c r="E15" s="156" t="inlineStr">
        <is>
          <t>Saitama</t>
        </is>
      </c>
      <c r="F15" s="156" t="inlineStr">
        <is>
          <t>Kanto</t>
        </is>
      </c>
      <c r="G15" s="157" t="inlineStr">
        <is>
          <t>https://www.metran.co.jp/</t>
        </is>
      </c>
      <c r="H15" s="156" t="inlineStr">
        <is>
          <t>Vet device MAH (NVAL: BM7Vet Pro monitor, 2020)</t>
        </is>
      </c>
      <c r="I15" s="156" t="inlineStr">
        <is>
          <t>Own ventilators and monitors; no ultrasound</t>
        </is>
      </c>
      <c r="J15" s="156" t="inlineStr">
        <is>
          <t>Companion</t>
        </is>
      </c>
      <c r="K15" s="156" t="inlineStr">
        <is>
          <t>National via vet dealers</t>
        </is>
      </c>
      <c r="L15" s="156" t="inlineStr">
        <is>
          <t>Not found</t>
        </is>
      </c>
      <c r="M15" s="156" t="inlineStr">
        <is>
          <t>n/a</t>
        </is>
      </c>
      <c r="N15" s="156" t="inlineStr">
        <is>
          <t>Not identified</t>
        </is>
      </c>
      <c r="O15" s="156" t="inlineStr">
        <is>
          <t>Not identified</t>
        </is>
      </c>
      <c r="P15" s="156" t="inlineStr">
        <is>
          <t>support@metran.co.jp</t>
        </is>
      </c>
      <c r="Q15" s="156" t="inlineStr">
        <is>
          <t>048 242 0333</t>
        </is>
      </c>
      <c r="R15" s="156" t="inlineStr">
        <is>
          <t>Not identified</t>
        </is>
      </c>
      <c r="S15" s="156" t="inlineStr">
        <is>
          <t>Verified (published on own site, read via search)</t>
        </is>
      </c>
      <c r="T15" s="158">
        <f>SUM(Z15:AF15)</f>
        <v>23</v>
      </c>
      <c r="U15" s="159" t="inlineStr">
        <is>
          <t>V1</t>
        </is>
      </c>
      <c r="V15" s="156" t="inlineStr">
        <is>
          <t>Vet ventilator pioneer (since 1984) that already notifies vet devices with NVAL and imports monitors; natural MAH partner for ICU and anaesthesia adjacent imaging.</t>
        </is>
      </c>
      <c r="W15" s="156" t="inlineStr">
        <is>
          <t>Propose a peri operative point of care ultrasound bundle with their Compos X ventilator.</t>
        </is>
      </c>
      <c r="X15" s="156" t="inlineStr">
        <is>
          <t>Not checked (human list not in v17)</t>
        </is>
      </c>
      <c r="Y15" s="156" t="inlineStr">
        <is>
          <t>https://www.vm.nval.go.jp/public/detail/18306 ; https://medical-space.co.jp/products/3096/ ; https://www.metran.co.jp/links</t>
        </is>
      </c>
      <c r="Z15" s="156" t="n">
        <v>5</v>
      </c>
      <c r="AA15" s="156" t="n">
        <v>1</v>
      </c>
      <c r="AB15" s="156" t="n">
        <v>5</v>
      </c>
      <c r="AC15" s="156" t="n">
        <v>4</v>
      </c>
      <c r="AD15" s="156" t="n">
        <v>1</v>
      </c>
      <c r="AE15" s="156" t="n">
        <v>4</v>
      </c>
      <c r="AF15" s="156" t="n">
        <v>3</v>
      </c>
      <c r="AG15" s="156" t="inlineStr">
        <is>
          <t>Evidence backed</t>
        </is>
      </c>
    </row>
    <row r="16" ht="75" customHeight="1" s="114">
      <c r="A16" s="156" t="n">
        <v>12</v>
      </c>
      <c r="B16" s="156" t="inlineStr">
        <is>
          <t>RayVision Co., Ltd.</t>
        </is>
      </c>
      <c r="C16" s="156" t="inlineStr">
        <is>
          <t>株式会社RayVision</t>
        </is>
      </c>
      <c r="D16" s="156" t="inlineStr">
        <is>
          <t>Not found (NTA lookup blocked; dedupe by Japanese name)</t>
        </is>
      </c>
      <c r="E16" s="156" t="inlineStr">
        <is>
          <t>Saitama</t>
        </is>
      </c>
      <c r="F16" s="156" t="inlineStr">
        <is>
          <t>Kanto</t>
        </is>
      </c>
      <c r="G16" s="157" t="inlineStr">
        <is>
          <t>https://rayvision.co.jp/</t>
        </is>
      </c>
      <c r="H16" s="156" t="inlineStr">
        <is>
          <t>Vet flat panel detector maker and seller (vet device notification implied)</t>
        </is>
      </c>
      <c r="I16" s="156" t="inlineStr">
        <is>
          <t>Own vet DR; no ultrasound</t>
        </is>
      </c>
      <c r="J16" s="156" t="inlineStr">
        <is>
          <t>Companion</t>
        </is>
      </c>
      <c r="K16" s="156" t="inlineStr">
        <is>
          <t>Saitama; national via Medical Space and others</t>
        </is>
      </c>
      <c r="L16" s="156" t="inlineStr">
        <is>
          <t>Not found</t>
        </is>
      </c>
      <c r="M16" s="156" t="inlineStr">
        <is>
          <t>n/a</t>
        </is>
      </c>
      <c r="N16" s="156" t="inlineStr">
        <is>
          <t>Not identified</t>
        </is>
      </c>
      <c r="O16" s="156" t="inlineStr">
        <is>
          <t>Not identified</t>
        </is>
      </c>
      <c r="P16" s="156" t="inlineStr">
        <is>
          <t>Not published; inquiry form: https://rayvision.co.jp/contact/</t>
        </is>
      </c>
      <c r="Q16" s="156" t="inlineStr">
        <is>
          <t>048 657 2601</t>
        </is>
      </c>
      <c r="R16" s="156" t="inlineStr">
        <is>
          <t>Not identified</t>
        </is>
      </c>
      <c r="S16" s="156" t="inlineStr">
        <is>
          <t>Company inquiry only (form)</t>
        </is>
      </c>
      <c r="T16" s="158">
        <f>SUM(Z16:AF16)</f>
        <v>23</v>
      </c>
      <c r="U16" s="159" t="inlineStr">
        <is>
          <t>V1</t>
        </is>
      </c>
      <c r="V16" s="156" t="inlineStr">
        <is>
          <t>Vet specific DR maker with maintenance support; imaging buyers are the same clinics.</t>
        </is>
      </c>
      <c r="W16" s="156" t="inlineStr">
        <is>
          <t>Cross sell: DR plus ultrasound package for new clinics.</t>
        </is>
      </c>
      <c r="X16" s="156" t="inlineStr">
        <is>
          <t>Not checked (human list not in v17)</t>
        </is>
      </c>
      <c r="Y16" s="156" t="inlineStr">
        <is>
          <t>https://rayvision.co.jp/ ; https://medical-space.co.jp/products/9109/ ; https://rayvision.co.jp/contact/</t>
        </is>
      </c>
      <c r="Z16" s="156" t="n">
        <v>4</v>
      </c>
      <c r="AA16" s="156" t="n">
        <v>3</v>
      </c>
      <c r="AB16" s="156" t="n">
        <v>5</v>
      </c>
      <c r="AC16" s="156" t="n">
        <v>4</v>
      </c>
      <c r="AD16" s="156" t="n">
        <v>1</v>
      </c>
      <c r="AE16" s="156" t="n">
        <v>3</v>
      </c>
      <c r="AF16" s="156" t="n">
        <v>3</v>
      </c>
      <c r="AG16" s="156" t="inlineStr">
        <is>
          <t>Evidence backed</t>
        </is>
      </c>
    </row>
    <row r="17" ht="75" customHeight="1" s="114">
      <c r="A17" s="156" t="n">
        <v>13</v>
      </c>
      <c r="B17" s="156" t="inlineStr">
        <is>
          <t>TOP Corporation (Veterinary Division)</t>
        </is>
      </c>
      <c r="C17" s="156" t="inlineStr">
        <is>
          <t>株式会社トップ</t>
        </is>
      </c>
      <c r="D17" s="156" t="inlineStr">
        <is>
          <t>Not found (NTA lookup blocked; dedupe by Japanese name)</t>
        </is>
      </c>
      <c r="E17" s="156" t="inlineStr">
        <is>
          <t>Tokyo</t>
        </is>
      </c>
      <c r="F17" s="156" t="inlineStr">
        <is>
          <t>Kanto</t>
        </is>
      </c>
      <c r="G17" s="157" t="inlineStr">
        <is>
          <t>https://www.top-tokyo.co.jp/products/veterinary/</t>
        </is>
      </c>
      <c r="H17" s="156" t="inlineStr">
        <is>
          <t>Vet device MAH: NVAL lists TOP vet infusion and syringe pumps (TOP250V, TOP230V, TOP551V, TOPS50V)</t>
        </is>
      </c>
      <c r="I17" s="156" t="inlineStr">
        <is>
          <t>Own pumps and disposables; no ultrasound</t>
        </is>
      </c>
      <c r="J17" s="156" t="inlineStr">
        <is>
          <t>Both</t>
        </is>
      </c>
      <c r="K17" s="156" t="inlineStr">
        <is>
          <t>National; sales offices incl. Nagoya, Osaka, Fukuoka</t>
        </is>
      </c>
      <c r="L17" s="156" t="inlineStr">
        <is>
          <t>Not found</t>
        </is>
      </c>
      <c r="M17" s="156" t="inlineStr">
        <is>
          <t>n/a</t>
        </is>
      </c>
      <c r="N17" s="156" t="inlineStr">
        <is>
          <t>Not identified</t>
        </is>
      </c>
      <c r="O17" s="156" t="inlineStr">
        <is>
          <t>Not identified</t>
        </is>
      </c>
      <c r="P17" s="156" t="inlineStr">
        <is>
          <t>Not published; inquiry form: https://www.top-tokyo.co.jp/contact/</t>
        </is>
      </c>
      <c r="Q17" s="156" t="inlineStr">
        <is>
          <t>03 3811 8231 (vet dept, Broadcare division)</t>
        </is>
      </c>
      <c r="R17" s="156" t="inlineStr">
        <is>
          <t>Not identified</t>
        </is>
      </c>
      <c r="S17" s="156" t="inlineStr">
        <is>
          <t>Company inquiry only (form)</t>
        </is>
      </c>
      <c r="T17" s="158">
        <f>SUM(Z17:AF17)</f>
        <v>23</v>
      </c>
      <c r="U17" s="159" t="inlineStr">
        <is>
          <t>V1</t>
        </is>
      </c>
      <c r="V17" s="156" t="inlineStr">
        <is>
          <t>Human device maker with a dedicated vet division since 2002 and several MAFF approved vet pumps; national sales footprint into animal hospitals.</t>
        </is>
      </c>
      <c r="W17" s="156" t="inlineStr">
        <is>
          <t>Offer a point of care ultrasound to sit beside their infusion pumps in ICU and surgery.</t>
        </is>
      </c>
      <c r="X17" s="156" t="inlineStr">
        <is>
          <t>Not checked (human list not in v17)</t>
        </is>
      </c>
      <c r="Y17" s="156" t="inlineStr">
        <is>
          <t>https://www.top-tokyo.co.jp/products/veterinary/ ; https://www.vm.nval.go.jp/public/detail/19372 ; https://news.jprpet.com/company/list/175/ ; https://www.top-tokyo.co.jp/contact/</t>
        </is>
      </c>
      <c r="Z17" s="156" t="n">
        <v>5</v>
      </c>
      <c r="AA17" s="156" t="n">
        <v>1</v>
      </c>
      <c r="AB17" s="156" t="n">
        <v>5</v>
      </c>
      <c r="AC17" s="156" t="n">
        <v>4</v>
      </c>
      <c r="AD17" s="156" t="n">
        <v>2</v>
      </c>
      <c r="AE17" s="156" t="n">
        <v>4</v>
      </c>
      <c r="AF17" s="156" t="n">
        <v>2</v>
      </c>
      <c r="AG17" s="156" t="inlineStr">
        <is>
          <t>Evidence backed</t>
        </is>
      </c>
    </row>
    <row r="18" ht="75" customHeight="1" s="114">
      <c r="A18" s="156" t="n">
        <v>14</v>
      </c>
      <c r="B18" s="156" t="inlineStr">
        <is>
          <t>Asahi Intecc Co., Ltd. (Companion Animal Devices)</t>
        </is>
      </c>
      <c r="C18" s="156" t="inlineStr">
        <is>
          <t>朝日インテック株式会社 (伴侶動物医療機器事業)</t>
        </is>
      </c>
      <c r="D18" s="156" t="inlineStr">
        <is>
          <t>Not found (NTA lookup blocked; dedupe by Japanese name)</t>
        </is>
      </c>
      <c r="E18" s="156" t="inlineStr">
        <is>
          <t>Aichi</t>
        </is>
      </c>
      <c r="F18" s="156" t="inlineStr">
        <is>
          <t>Chubu</t>
        </is>
      </c>
      <c r="G18" s="157" t="inlineStr">
        <is>
          <t>https://www.asahi-intecc-vet.com/</t>
        </is>
      </c>
      <c r="H18" s="156" t="inlineStr">
        <is>
          <t>Human device MAH; runs a companion animal device business (job ad, Shinagawa)</t>
        </is>
      </c>
      <c r="I18" s="156" t="inlineStr">
        <is>
          <t>Catheters and guidewires; no ultrasound</t>
        </is>
      </c>
      <c r="J18" s="156" t="inlineStr">
        <is>
          <t>Companion</t>
        </is>
      </c>
      <c r="K18" s="156" t="inlineStr">
        <is>
          <t>National</t>
        </is>
      </c>
      <c r="L18" s="156" t="inlineStr">
        <is>
          <t>Listed company</t>
        </is>
      </c>
      <c r="M18" s="156" t="inlineStr">
        <is>
          <t>n/a</t>
        </is>
      </c>
      <c r="N18" s="156" t="inlineStr">
        <is>
          <t>Not identified</t>
        </is>
      </c>
      <c r="O18" s="156" t="inlineStr">
        <is>
          <t>Not identified</t>
        </is>
      </c>
      <c r="P18" s="156" t="inlineStr">
        <is>
          <t>Not published; inquiry form: https://www.asahi-intecc.co.jp/contact/vet</t>
        </is>
      </c>
      <c r="Q18" s="156" t="inlineStr">
        <is>
          <t>+81 561 48 5551</t>
        </is>
      </c>
      <c r="R18" s="156" t="inlineStr">
        <is>
          <t>Not identified</t>
        </is>
      </c>
      <c r="S18" s="156" t="inlineStr">
        <is>
          <t>Company inquiry only (form); dedicated vet inquiry form</t>
        </is>
      </c>
      <c r="T18" s="158">
        <f>SUM(Z18:AF18)</f>
        <v>22</v>
      </c>
      <c r="U18" s="159" t="inlineStr">
        <is>
          <t>V1</t>
        </is>
      </c>
      <c r="V18" s="156" t="inlineStr">
        <is>
          <t>Interventional device major building a companion animal business; interventional work needs ultrasound guidance. FLAG: Vet business evidence from a job ad only.</t>
        </is>
      </c>
      <c r="W18" s="156" t="inlineStr">
        <is>
          <t>Ultrasound guided intervention demo with their vet catheters.</t>
        </is>
      </c>
      <c r="X18" s="156" t="inlineStr">
        <is>
          <t>Not checked (human list not in v17)</t>
        </is>
      </c>
      <c r="Y18" s="156" t="inlineStr">
        <is>
          <t>https://www.rdsupport-tenshoku.jp/search/JOB40843 ; https://www.asahi-intecc.co.jp/contact/vet</t>
        </is>
      </c>
      <c r="Z18" s="156" t="n">
        <v>5</v>
      </c>
      <c r="AA18" s="156" t="n">
        <v>2</v>
      </c>
      <c r="AB18" s="156" t="n">
        <v>5</v>
      </c>
      <c r="AC18" s="156" t="n">
        <v>3</v>
      </c>
      <c r="AD18" s="156" t="n">
        <v>1</v>
      </c>
      <c r="AE18" s="156" t="n">
        <v>4</v>
      </c>
      <c r="AF18" s="156" t="n">
        <v>2</v>
      </c>
      <c r="AG18" s="156" t="inlineStr">
        <is>
          <t>Evidence backed</t>
        </is>
      </c>
    </row>
    <row r="19" ht="75" customHeight="1" s="114">
      <c r="A19" s="156" t="n">
        <v>15</v>
      </c>
      <c r="B19" s="156" t="inlineStr">
        <is>
          <t>HORIBA, Ltd. (Veterinary)</t>
        </is>
      </c>
      <c r="C19" s="156" t="inlineStr">
        <is>
          <t>株式会社堀場製作所</t>
        </is>
      </c>
      <c r="D19" s="156" t="inlineStr">
        <is>
          <t>Not found (NTA lookup blocked; dedupe by Japanese name)</t>
        </is>
      </c>
      <c r="E19" s="156" t="inlineStr">
        <is>
          <t>Kyoto</t>
        </is>
      </c>
      <c r="F19" s="156" t="inlineStr">
        <is>
          <t>Kansai</t>
        </is>
      </c>
      <c r="G19" s="157" t="inlineStr">
        <is>
          <t>https://www.horiba.com/jpn/medical/</t>
        </is>
      </c>
      <c r="H19" s="156" t="inlineStr">
        <is>
          <t>Vet device MAH (NVAL: Microsemi LC712 notification 23 Oct 2024)</t>
        </is>
      </c>
      <c r="I19" s="156" t="inlineStr">
        <is>
          <t>Vet haematology; no ultrasound</t>
        </is>
      </c>
      <c r="J19" s="156" t="inlineStr">
        <is>
          <t>Companion</t>
        </is>
      </c>
      <c r="K19" s="156" t="inlineStr">
        <is>
          <t>National</t>
        </is>
      </c>
      <c r="L19" s="156" t="inlineStr">
        <is>
          <t>Large</t>
        </is>
      </c>
      <c r="M19" s="156" t="inlineStr">
        <is>
          <t>n/a</t>
        </is>
      </c>
      <c r="N19" s="156" t="inlineStr">
        <is>
          <t>Not identified</t>
        </is>
      </c>
      <c r="O19" s="156" t="inlineStr">
        <is>
          <t>Not identified</t>
        </is>
      </c>
      <c r="P19" s="156" t="inlineStr">
        <is>
          <t>Not published; inquiry form: https://www.horiba.com/jpn/company/news/detail/news/1/2024/microsemi-lc-712-release/</t>
        </is>
      </c>
      <c r="Q19" s="156" t="inlineStr">
        <is>
          <t>Not found (use site)</t>
        </is>
      </c>
      <c r="R19" s="156" t="inlineStr">
        <is>
          <t>Not identified</t>
        </is>
      </c>
      <c r="S19" s="156" t="inlineStr">
        <is>
          <t>Company inquiry only (form on HORIBA site)</t>
        </is>
      </c>
      <c r="T19" s="158">
        <f>SUM(Z19:AF19)</f>
        <v>22</v>
      </c>
      <c r="U19" s="159" t="inlineStr">
        <is>
          <t>V1</t>
        </is>
      </c>
      <c r="V19" s="156" t="inlineStr">
        <is>
          <t>Freshly notified a vet haematology analyser and exhibits at JBVP; growing vet channel.</t>
        </is>
      </c>
      <c r="W19" s="156" t="inlineStr">
        <is>
          <t>Diagnostics bundle partner; ask who their vet dealers are.</t>
        </is>
      </c>
      <c r="X19" s="156" t="inlineStr">
        <is>
          <t>Not checked (human list not in v17)</t>
        </is>
      </c>
      <c r="Y19" s="156" t="inlineStr">
        <is>
          <t>https://www.vm.nval.go.jp/public/detail/19457 ; https://www.horiba.com/jpn/medical/news/events/detail/news/9/2025/%E6%97%A5%E6%9C%AC%E8%87%A8%E5%BA%8A%E7%8D%A3%E5%8C%BB%E5%AD%A6%E3%83%95%E3%82%A9%E3%83%BC%E3%83%A9%E3%83%A0jbvp%E5%B9%B4%E6%AC%A1%E5%A4%A7%E4%BC%9A/ ; https://www.horiba.com/jpn/company/news/detail/news/1/2024/microsemi-lc-712-release/</t>
        </is>
      </c>
      <c r="Z19" s="156" t="n">
        <v>5</v>
      </c>
      <c r="AA19" s="156" t="n">
        <v>1</v>
      </c>
      <c r="AB19" s="156" t="n">
        <v>5</v>
      </c>
      <c r="AC19" s="156" t="n">
        <v>4</v>
      </c>
      <c r="AD19" s="156" t="n">
        <v>1</v>
      </c>
      <c r="AE19" s="156" t="n">
        <v>4</v>
      </c>
      <c r="AF19" s="156" t="n">
        <v>2</v>
      </c>
      <c r="AG19" s="156" t="inlineStr">
        <is>
          <t>Evidence backed</t>
        </is>
      </c>
    </row>
    <row r="20" ht="75" customHeight="1" s="114">
      <c r="A20" s="156" t="n">
        <v>16</v>
      </c>
      <c r="B20" s="156" t="inlineStr">
        <is>
          <t>Shimadzu Corporation (Veterinary X ray)</t>
        </is>
      </c>
      <c r="C20" s="156" t="inlineStr">
        <is>
          <t>株式会社島津製作所</t>
        </is>
      </c>
      <c r="D20" s="156" t="inlineStr">
        <is>
          <t>Not found (NTA lookup blocked; dedupe by Japanese name)</t>
        </is>
      </c>
      <c r="E20" s="156" t="inlineStr">
        <is>
          <t>Kyoto</t>
        </is>
      </c>
      <c r="F20" s="156" t="inlineStr">
        <is>
          <t>Kansai</t>
        </is>
      </c>
      <c r="G20" s="156" t="inlineStr">
        <is>
          <t>Not found</t>
        </is>
      </c>
      <c r="H20" s="156" t="inlineStr">
        <is>
          <t>Small animal X ray system on market (via Medical Space)</t>
        </is>
      </c>
      <c r="I20" s="156" t="inlineStr">
        <is>
          <t>X ray; no vet ultrasound</t>
        </is>
      </c>
      <c r="J20" s="156" t="inlineStr">
        <is>
          <t>Companion</t>
        </is>
      </c>
      <c r="K20" s="156" t="inlineStr">
        <is>
          <t>National</t>
        </is>
      </c>
      <c r="L20" s="156" t="inlineStr">
        <is>
          <t>Large</t>
        </is>
      </c>
      <c r="M20" s="156" t="inlineStr">
        <is>
          <t>n/a</t>
        </is>
      </c>
      <c r="N20" s="156" t="inlineStr">
        <is>
          <t>Not identified</t>
        </is>
      </c>
      <c r="O20" s="156" t="inlineStr">
        <is>
          <t>Not identified</t>
        </is>
      </c>
      <c r="P20" s="156" t="inlineStr">
        <is>
          <t>Not published; phone only</t>
        </is>
      </c>
      <c r="Q20" s="156" t="inlineStr">
        <is>
          <t>0120 524 333 (Shimadzu Medical Systems support)</t>
        </is>
      </c>
      <c r="R20" s="156" t="inlineStr">
        <is>
          <t>Not identified</t>
        </is>
      </c>
      <c r="S20" s="156" t="inlineStr">
        <is>
          <t>Company inquiry only (phone)</t>
        </is>
      </c>
      <c r="T20" s="158">
        <f>SUM(Z20:AF20)</f>
        <v>22</v>
      </c>
      <c r="U20" s="159" t="inlineStr">
        <is>
          <t>V1</t>
        </is>
      </c>
      <c r="V20" s="156" t="inlineStr">
        <is>
          <t>Imaging major with a small animal X ray system and national service.</t>
        </is>
      </c>
      <c r="W20" s="156" t="inlineStr">
        <is>
          <t>Imaging suite partnership; low probability.</t>
        </is>
      </c>
      <c r="X20" s="156" t="inlineStr">
        <is>
          <t>Not checked (human list not in v17)</t>
        </is>
      </c>
      <c r="Y20" s="156" t="inlineStr">
        <is>
          <t>https://medical-space.co.jp/products/manufacturer/%E5%B3%B6%E6%B4%A5%E8%A3%BD%E4%BD%9C%E6%89%80/ ; https://www.med.shimadzu.co.jp/network/</t>
        </is>
      </c>
      <c r="Z20" s="156" t="n">
        <v>4</v>
      </c>
      <c r="AA20" s="156" t="n">
        <v>3</v>
      </c>
      <c r="AB20" s="156" t="n">
        <v>5</v>
      </c>
      <c r="AC20" s="156" t="n">
        <v>3</v>
      </c>
      <c r="AD20" s="156" t="n">
        <v>1</v>
      </c>
      <c r="AE20" s="156" t="n">
        <v>5</v>
      </c>
      <c r="AF20" s="156" t="n">
        <v>1</v>
      </c>
      <c r="AG20" s="156" t="inlineStr">
        <is>
          <t>Evidence backed</t>
        </is>
      </c>
    </row>
    <row r="21" ht="75" customHeight="1" s="114">
      <c r="A21" s="156" t="n">
        <v>17</v>
      </c>
      <c r="B21" s="156" t="inlineStr">
        <is>
          <t>Meiji Animal Health Co., Ltd.</t>
        </is>
      </c>
      <c r="C21" s="156" t="inlineStr">
        <is>
          <t>明治アニマルヘルス株式会社</t>
        </is>
      </c>
      <c r="D21" s="156" t="inlineStr">
        <is>
          <t>Not found (NTA lookup blocked; dedupe by Japanese name)</t>
        </is>
      </c>
      <c r="E21" s="156" t="inlineStr">
        <is>
          <t>Kumamoto</t>
        </is>
      </c>
      <c r="F21" s="156" t="inlineStr">
        <is>
          <t>Kyushu and Okinawa</t>
        </is>
      </c>
      <c r="G21" s="157" t="inlineStr">
        <is>
          <t>https://www.vet.meiji.com</t>
        </is>
      </c>
      <c r="H21" s="156" t="inlineStr">
        <is>
          <t>第三種動物用医療機器製造販売業許可 plus vet drug MAH (listed on company outline)</t>
        </is>
      </c>
      <c r="I21" s="156" t="inlineStr">
        <is>
          <t>Vet vaccines and drugs; no ultrasound line identified</t>
        </is>
      </c>
      <c r="J21" s="156" t="inlineStr">
        <is>
          <t>Both</t>
        </is>
      </c>
      <c r="K21" s="156" t="inlineStr">
        <is>
          <t>National; HQ Kumamoto</t>
        </is>
      </c>
      <c r="L21" s="156" t="inlineStr">
        <is>
          <t>Founded 2022 (Meiji group vet arm); headcount on site</t>
        </is>
      </c>
      <c r="M21" s="156" t="inlineStr">
        <is>
          <t>n/a</t>
        </is>
      </c>
      <c r="N21" s="156" t="inlineStr">
        <is>
          <t>Not identified</t>
        </is>
      </c>
      <c r="O21" s="156" t="inlineStr">
        <is>
          <t>Not identified</t>
        </is>
      </c>
      <c r="P21" s="156" t="inlineStr">
        <is>
          <t>Not published; inquiry form: https://www.vet.meiji.com</t>
        </is>
      </c>
      <c r="Q21" s="156" t="inlineStr">
        <is>
          <t>096 344 8127; sales 03 4332 1620</t>
        </is>
      </c>
      <c r="R21" s="156" t="inlineStr">
        <is>
          <t>Not identified</t>
        </is>
      </c>
      <c r="S21" s="156" t="inlineStr">
        <is>
          <t>Company inquiry only (form); only privacy@vet.meiji.com published, not a sales address</t>
        </is>
      </c>
      <c r="T21" s="158">
        <f>SUM(Z21:AF21)</f>
        <v>22</v>
      </c>
      <c r="U21" s="159" t="inlineStr">
        <is>
          <t>V1</t>
        </is>
      </c>
      <c r="V21" s="156" t="inlineStr">
        <is>
          <t>Kyushu based animal health maker with a device MAH licence and a national livestock and companion sales force; strong bovine and swine relationships in Kyushu.</t>
        </is>
      </c>
      <c r="W21" s="156" t="inlineStr">
        <is>
          <t>Position a livestock repro portable (EBit series) as a device add on to their bovine vaccine calls.</t>
        </is>
      </c>
      <c r="X21" s="156" t="inlineStr">
        <is>
          <t>Not checked (human list not in v17)</t>
        </is>
      </c>
      <c r="Y21" s="156" t="inlineStr">
        <is>
          <t>https://www.vet.meiji.com/corporate/outline.html ; https://www.vet.meiji.com</t>
        </is>
      </c>
      <c r="Z21" s="156" t="n">
        <v>4</v>
      </c>
      <c r="AA21" s="156" t="n">
        <v>1</v>
      </c>
      <c r="AB21" s="156" t="n">
        <v>5</v>
      </c>
      <c r="AC21" s="156" t="n">
        <v>3</v>
      </c>
      <c r="AD21" s="156" t="n">
        <v>5</v>
      </c>
      <c r="AE21" s="156" t="n">
        <v>2</v>
      </c>
      <c r="AF21" s="156" t="n">
        <v>2</v>
      </c>
      <c r="AG21" s="156" t="inlineStr">
        <is>
          <t>Evidence backed</t>
        </is>
      </c>
    </row>
    <row r="22" ht="75" customHeight="1" s="114">
      <c r="A22" s="156" t="n">
        <v>18</v>
      </c>
      <c r="B22" s="156" t="inlineStr">
        <is>
          <t>Yasui Co., Ltd.</t>
        </is>
      </c>
      <c r="C22" s="156" t="inlineStr">
        <is>
          <t>安井株式会社</t>
        </is>
      </c>
      <c r="D22" s="156" t="inlineStr">
        <is>
          <t>Not found (NTA lookup blocked; dedupe by Japanese name)</t>
        </is>
      </c>
      <c r="E22" s="156" t="inlineStr">
        <is>
          <t>Miyazaki</t>
        </is>
      </c>
      <c r="F22" s="156" t="inlineStr">
        <is>
          <t>Kyushu and Okinawa</t>
        </is>
      </c>
      <c r="G22" s="157" t="inlineStr">
        <is>
          <t>https://www.yasui-kk.co.jp</t>
        </is>
      </c>
      <c r="H22" s="156" t="inlineStr">
        <is>
          <t>第二種動物用医療機器製造販売業許可 (obtained 16 Apr 2020); 第二種医療機器製造販売業</t>
        </is>
      </c>
      <c r="I22" s="156" t="inlineStr">
        <is>
          <t>Own medical disposables; no ultrasound line</t>
        </is>
      </c>
      <c r="J22" s="156" t="inlineStr">
        <is>
          <t>Both</t>
        </is>
      </c>
      <c r="K22" s="156" t="inlineStr">
        <is>
          <t>HQ Kadogawa, Miyazaki; offices Tokyo, Fukuoka, Kagoshima, Nichinan</t>
        </is>
      </c>
      <c r="L22" s="156" t="inlineStr">
        <is>
          <t>Not found</t>
        </is>
      </c>
      <c r="M22" s="156" t="inlineStr">
        <is>
          <t>n/a</t>
        </is>
      </c>
      <c r="N22" s="156" t="inlineStr">
        <is>
          <t>Not identified</t>
        </is>
      </c>
      <c r="O22" s="156" t="inlineStr">
        <is>
          <t>Not identified</t>
        </is>
      </c>
      <c r="P22" s="156" t="inlineStr">
        <is>
          <t>yasui@yasui-kk.co.jp</t>
        </is>
      </c>
      <c r="Q22" s="156" t="inlineStr">
        <is>
          <t>0982 63 7111</t>
        </is>
      </c>
      <c r="R22" s="156" t="inlineStr">
        <is>
          <t>Not identified</t>
        </is>
      </c>
      <c r="S22" s="156" t="inlineStr">
        <is>
          <t>Likely (third party listing)</t>
        </is>
      </c>
      <c r="T22" s="158">
        <f>SUM(Z22:AF22)</f>
        <v>22</v>
      </c>
      <c r="U22" s="159" t="inlineStr">
        <is>
          <t>V1</t>
        </is>
      </c>
      <c r="V22" s="156" t="inlineStr">
        <is>
          <t>Kyushu manufacturer that went out of its way to obtain a vet device MAH licence in 2020, so it already understands the NVAL notification route.</t>
        </is>
      </c>
      <c r="W22" s="156" t="inlineStr">
        <is>
          <t>Explore MAH service for CHISON vet notifications, using their Kyushu offices for livestock territory.</t>
        </is>
      </c>
      <c r="X22" s="156" t="inlineStr">
        <is>
          <t>Not checked (human list not in v17)</t>
        </is>
      </c>
      <c r="Y22" s="156" t="inlineStr">
        <is>
          <t>https://www.yasui-kk.co.jp/medical-news/2721/ ; https://www.pref.miyazaki.lg.jp/documents/57538/57538_20230421133605-1.pdf ; https://hamiq.koic.or.jp/introduction/detail.php?num=2359 ; https://www.yasui-kk.co.jp/medical/</t>
        </is>
      </c>
      <c r="Z22" s="156" t="n">
        <v>5</v>
      </c>
      <c r="AA22" s="156" t="n">
        <v>1</v>
      </c>
      <c r="AB22" s="156" t="n">
        <v>5</v>
      </c>
      <c r="AC22" s="156" t="n">
        <v>2</v>
      </c>
      <c r="AD22" s="156" t="n">
        <v>3</v>
      </c>
      <c r="AE22" s="156" t="n">
        <v>3</v>
      </c>
      <c r="AF22" s="156" t="n">
        <v>3</v>
      </c>
      <c r="AG22" s="156" t="inlineStr">
        <is>
          <t>Evidence backed</t>
        </is>
      </c>
    </row>
    <row r="23" ht="75" customHeight="1" s="114">
      <c r="A23" s="156" t="n">
        <v>19</v>
      </c>
      <c r="B23" s="156" t="inlineStr">
        <is>
          <t>A&amp;D Company, Limited</t>
        </is>
      </c>
      <c r="C23" s="156" t="inlineStr">
        <is>
          <t>株式会社エー・アンド・デイ</t>
        </is>
      </c>
      <c r="D23" s="156" t="inlineStr">
        <is>
          <t>Not found (NTA lookup blocked; dedupe by Japanese name)</t>
        </is>
      </c>
      <c r="E23" s="156" t="inlineStr">
        <is>
          <t>Tokyo</t>
        </is>
      </c>
      <c r="F23" s="156" t="inlineStr">
        <is>
          <t>Kanto</t>
        </is>
      </c>
      <c r="G23" s="156" t="inlineStr">
        <is>
          <t>Not found</t>
        </is>
      </c>
      <c r="H23" s="156" t="inlineStr">
        <is>
          <t>Device MAH; ranked third among device suppliers to animal hospitals (AHHD)</t>
        </is>
      </c>
      <c r="I23" s="156" t="inlineStr">
        <is>
          <t>BP monitors and scales; no ultrasound</t>
        </is>
      </c>
      <c r="J23" s="156" t="inlineStr">
        <is>
          <t>Companion</t>
        </is>
      </c>
      <c r="K23" s="156" t="inlineStr">
        <is>
          <t>National via vet dealers</t>
        </is>
      </c>
      <c r="L23" s="156" t="inlineStr">
        <is>
          <t>Not found</t>
        </is>
      </c>
      <c r="M23" s="156" t="inlineStr">
        <is>
          <t>n/a</t>
        </is>
      </c>
      <c r="N23" s="156" t="inlineStr">
        <is>
          <t>Not identified</t>
        </is>
      </c>
      <c r="O23" s="156" t="inlineStr">
        <is>
          <t>Not identified</t>
        </is>
      </c>
      <c r="P23" s="156" t="inlineStr">
        <is>
          <t>Not published; inquiry form: https://www.aandd.co.jp/products/medical/</t>
        </is>
      </c>
      <c r="Q23" s="156" t="inlineStr">
        <is>
          <t>Not found</t>
        </is>
      </c>
      <c r="R23" s="156" t="inlineStr">
        <is>
          <t>Not identified</t>
        </is>
      </c>
      <c r="S23" s="156" t="inlineStr">
        <is>
          <t>Company inquiry only (form on product pages)</t>
        </is>
      </c>
      <c r="T23" s="158">
        <f>SUM(Z23:AF23)</f>
        <v>21</v>
      </c>
      <c r="U23" s="159" t="inlineStr">
        <is>
          <t>V1</t>
        </is>
      </c>
      <c r="V23" s="156" t="inlineStr">
        <is>
          <t>Third ranked device supplier to animal hospitals; measurement devices sold through vet dealers.</t>
        </is>
      </c>
      <c r="W23" s="156" t="inlineStr">
        <is>
          <t>Ask whether they would carry or act as MAH for a complementary vet ultrasound line in their existing vet catalogue.</t>
        </is>
      </c>
      <c r="X23" s="156" t="inlineStr">
        <is>
          <t>Not checked (human list not in v17)</t>
        </is>
      </c>
      <c r="Y23" s="156" t="inlineStr">
        <is>
          <t>https://ahhd.jp/I0000004 ; https://www.aandd.co.jp/support/agency/ ; https://www.aandd.co.jp/products/medical/</t>
        </is>
      </c>
      <c r="Z23" s="156" t="n">
        <v>5</v>
      </c>
      <c r="AA23" s="156" t="n">
        <v>1</v>
      </c>
      <c r="AB23" s="156" t="n">
        <v>5</v>
      </c>
      <c r="AC23" s="156" t="n">
        <v>3</v>
      </c>
      <c r="AD23" s="156" t="n">
        <v>1</v>
      </c>
      <c r="AE23" s="156" t="n">
        <v>3</v>
      </c>
      <c r="AF23" s="156" t="n">
        <v>3</v>
      </c>
      <c r="AG23" s="156" t="inlineStr">
        <is>
          <t>Evidence backed</t>
        </is>
      </c>
    </row>
    <row r="24" ht="75" customHeight="1" s="114">
      <c r="A24" s="156" t="n">
        <v>20</v>
      </c>
      <c r="B24" s="156" t="inlineStr">
        <is>
          <t>AMCO Inc.</t>
        </is>
      </c>
      <c r="C24" s="156" t="inlineStr">
        <is>
          <t>株式会社アムコ</t>
        </is>
      </c>
      <c r="D24" s="156" t="inlineStr">
        <is>
          <t>Not found (NTA lookup blocked; dedupe by Japanese name)</t>
        </is>
      </c>
      <c r="E24" s="156" t="inlineStr">
        <is>
          <t>Tokyo</t>
        </is>
      </c>
      <c r="F24" s="156" t="inlineStr">
        <is>
          <t>Kanto</t>
        </is>
      </c>
      <c r="G24" s="157" t="inlineStr">
        <is>
          <t>https://amco.co.jp</t>
        </is>
      </c>
      <c r="H24" s="156" t="inlineStr">
        <is>
          <t>Vet LED surgical light supplied to vet dealers</t>
        </is>
      </c>
      <c r="I24" s="156" t="inlineStr">
        <is>
          <t>Surgical lights; no ultrasound</t>
        </is>
      </c>
      <c r="J24" s="156" t="inlineStr">
        <is>
          <t>Companion</t>
        </is>
      </c>
      <c r="K24" s="156" t="inlineStr">
        <is>
          <t>National via vet dealers</t>
        </is>
      </c>
      <c r="L24" s="156" t="inlineStr">
        <is>
          <t>Not found</t>
        </is>
      </c>
      <c r="M24" s="156" t="inlineStr">
        <is>
          <t>n/a</t>
        </is>
      </c>
      <c r="N24" s="156" t="inlineStr">
        <is>
          <t>Not identified</t>
        </is>
      </c>
      <c r="O24" s="156" t="inlineStr">
        <is>
          <t>Not identified</t>
        </is>
      </c>
      <c r="P24" s="156" t="inlineStr">
        <is>
          <t>qa@amco-inc.net</t>
        </is>
      </c>
      <c r="Q24" s="156" t="inlineStr">
        <is>
          <t>03 3265 4261</t>
        </is>
      </c>
      <c r="R24" s="156" t="inlineStr">
        <is>
          <t>Not identified</t>
        </is>
      </c>
      <c r="S24" s="156" t="inlineStr">
        <is>
          <t>Verified (published on own site, read via search); quality assurance dept for used devices, ask to forward</t>
        </is>
      </c>
      <c r="T24" s="158">
        <f>SUM(Z24:AF24)</f>
        <v>21</v>
      </c>
      <c r="U24" s="159" t="inlineStr">
        <is>
          <t>V1</t>
        </is>
      </c>
      <c r="V24" s="156" t="inlineStr">
        <is>
          <t>Supplies vet surgical lights listed by Miyano Medix alongside Tokyo Menix tables. FLAG: HQ prefecture assumed Tokyo; confirm.</t>
        </is>
      </c>
      <c r="W24" s="156" t="inlineStr">
        <is>
          <t>Ask whether they would carry or act as MAH for a complementary vet ultrasound line in their existing vet catalogue.</t>
        </is>
      </c>
      <c r="X24" s="156" t="inlineStr">
        <is>
          <t>Not checked (human list not in v17)</t>
        </is>
      </c>
      <c r="Y24" s="156" t="inlineStr">
        <is>
          <t>http://www.miyano-medix.com/service7.html ; https://go.amco-inc.net/l/943023/2021-10-29/2kgyq</t>
        </is>
      </c>
      <c r="Z24" s="156" t="n">
        <v>5</v>
      </c>
      <c r="AA24" s="156" t="n">
        <v>1</v>
      </c>
      <c r="AB24" s="156" t="n">
        <v>5</v>
      </c>
      <c r="AC24" s="156" t="n">
        <v>3</v>
      </c>
      <c r="AD24" s="156" t="n">
        <v>1</v>
      </c>
      <c r="AE24" s="156" t="n">
        <v>3</v>
      </c>
      <c r="AF24" s="156" t="n">
        <v>3</v>
      </c>
      <c r="AG24" s="156" t="inlineStr">
        <is>
          <t>Evidence backed</t>
        </is>
      </c>
    </row>
    <row r="25" ht="75" customHeight="1" s="114">
      <c r="A25" s="156" t="n">
        <v>21</v>
      </c>
      <c r="B25" s="156" t="inlineStr">
        <is>
          <t>Akiyama Seisakusho Co., Ltd.</t>
        </is>
      </c>
      <c r="C25" s="156" t="inlineStr">
        <is>
          <t>株式会社秋山製作所</t>
        </is>
      </c>
      <c r="D25" s="156" t="inlineStr">
        <is>
          <t>Not found (NTA lookup blocked; dedupe by Japanese name)</t>
        </is>
      </c>
      <c r="E25" s="156" t="inlineStr">
        <is>
          <t>Tokyo</t>
        </is>
      </c>
      <c r="F25" s="156" t="inlineStr">
        <is>
          <t>Kanto</t>
        </is>
      </c>
      <c r="G25" s="157" t="inlineStr">
        <is>
          <t>http://akiyama-elp.com/gaiyou.html</t>
        </is>
      </c>
      <c r="H25" s="156" t="inlineStr">
        <is>
          <t>Vet device MAH (NVAL: vet sutures and needles, ELP series)</t>
        </is>
      </c>
      <c r="I25" s="156" t="inlineStr">
        <is>
          <t>Sutures; no ultrasound</t>
        </is>
      </c>
      <c r="J25" s="156" t="inlineStr">
        <is>
          <t>Companion</t>
        </is>
      </c>
      <c r="K25" s="156" t="inlineStr">
        <is>
          <t>National via vet dealers</t>
        </is>
      </c>
      <c r="L25" s="156" t="inlineStr">
        <is>
          <t>Not found</t>
        </is>
      </c>
      <c r="M25" s="156" t="inlineStr">
        <is>
          <t>n/a</t>
        </is>
      </c>
      <c r="N25" s="156" t="inlineStr">
        <is>
          <t>Not identified</t>
        </is>
      </c>
      <c r="O25" s="156" t="inlineStr">
        <is>
          <t>Not identified</t>
        </is>
      </c>
      <c r="P25" s="156" t="inlineStr">
        <is>
          <t>Not published; phone only</t>
        </is>
      </c>
      <c r="Q25" s="156" t="inlineStr">
        <is>
          <t>03 3811 0802</t>
        </is>
      </c>
      <c r="R25" s="156" t="inlineStr">
        <is>
          <t>Not identified</t>
        </is>
      </c>
      <c r="S25" s="156" t="inlineStr">
        <is>
          <t>Company inquiry only (form)</t>
        </is>
      </c>
      <c r="T25" s="158">
        <f>SUM(Z25:AF25)</f>
        <v>21</v>
      </c>
      <c r="U25" s="159" t="inlineStr">
        <is>
          <t>V1</t>
        </is>
      </c>
      <c r="V25" s="156" t="inlineStr">
        <is>
          <t>Holds a family of vet suture notifications and has an Osaka office. FLAG: HQ prefecture assumed Tokyo (Osaka office confirmed); confirm.</t>
        </is>
      </c>
      <c r="W25" s="156" t="inlineStr">
        <is>
          <t>Ask whether they would carry or act as MAH for a complementary vet ultrasound line in their existing vet catalogue.</t>
        </is>
      </c>
      <c r="X25" s="156" t="inlineStr">
        <is>
          <t>Not checked (human list not in v17)</t>
        </is>
      </c>
      <c r="Y25" s="156" t="inlineStr">
        <is>
          <t>https://vm.nval.go.jp/?page=115&amp;submit=submit ; https://www.osaka-iryokiki-kyokai.com/member_list/</t>
        </is>
      </c>
      <c r="Z25" s="156" t="n">
        <v>5</v>
      </c>
      <c r="AA25" s="156" t="n">
        <v>1</v>
      </c>
      <c r="AB25" s="156" t="n">
        <v>5</v>
      </c>
      <c r="AC25" s="156" t="n">
        <v>3</v>
      </c>
      <c r="AD25" s="156" t="n">
        <v>1</v>
      </c>
      <c r="AE25" s="156" t="n">
        <v>3</v>
      </c>
      <c r="AF25" s="156" t="n">
        <v>3</v>
      </c>
      <c r="AG25" s="156" t="inlineStr">
        <is>
          <t>Evidence backed</t>
        </is>
      </c>
    </row>
    <row r="26" ht="75" customHeight="1" s="114">
      <c r="A26" s="156" t="n">
        <v>22</v>
      </c>
      <c r="B26" s="156" t="inlineStr">
        <is>
          <t>Astec Co., Ltd.</t>
        </is>
      </c>
      <c r="C26" s="156" t="inlineStr">
        <is>
          <t>株式会社アステック</t>
        </is>
      </c>
      <c r="D26" s="156" t="inlineStr">
        <is>
          <t>Not found (NTA lookup blocked; dedupe by Japanese name)</t>
        </is>
      </c>
      <c r="E26" s="156" t="inlineStr">
        <is>
          <t>Ibaraki</t>
        </is>
      </c>
      <c r="F26" s="156" t="inlineStr">
        <is>
          <t>Kanto</t>
        </is>
      </c>
      <c r="G26" s="157" t="inlineStr">
        <is>
          <t>https://astec-medical.co.jp/</t>
        </is>
      </c>
      <c r="H26" s="156" t="inlineStr">
        <is>
          <t>Vet device MAH (NVAL: ThermoVision2 rectal thermometer); imports and wholesales devices</t>
        </is>
      </c>
      <c r="I26" s="156" t="inlineStr">
        <is>
          <t>No ultrasound identified</t>
        </is>
      </c>
      <c r="J26" s="156" t="inlineStr">
        <is>
          <t>Companion</t>
        </is>
      </c>
      <c r="K26" s="156" t="inlineStr">
        <is>
          <t>National via vet dealers</t>
        </is>
      </c>
      <c r="L26" s="156" t="inlineStr">
        <is>
          <t>Not found</t>
        </is>
      </c>
      <c r="M26" s="156" t="inlineStr">
        <is>
          <t>n/a</t>
        </is>
      </c>
      <c r="N26" s="156" t="inlineStr">
        <is>
          <t>Not identified</t>
        </is>
      </c>
      <c r="O26" s="156" t="inlineStr">
        <is>
          <t>Not identified</t>
        </is>
      </c>
      <c r="P26" s="156" t="inlineStr">
        <is>
          <t>Not published; phone only</t>
        </is>
      </c>
      <c r="Q26" s="156" t="inlineStr">
        <is>
          <t>029 855 2866</t>
        </is>
      </c>
      <c r="R26" s="156" t="inlineStr">
        <is>
          <t>Not identified</t>
        </is>
      </c>
      <c r="S26" s="156" t="inlineStr">
        <is>
          <t>Company inquiry only (form)</t>
        </is>
      </c>
      <c r="T26" s="158">
        <f>SUM(Z26:AF26)</f>
        <v>21</v>
      </c>
      <c r="U26" s="159" t="inlineStr">
        <is>
          <t>V1</t>
        </is>
      </c>
      <c r="V26" s="156" t="inlineStr">
        <is>
          <t>Tsukuba importer and wholesaler that recently notified a vet device.</t>
        </is>
      </c>
      <c r="W26" s="156" t="inlineStr">
        <is>
          <t>Ask whether they would carry or act as MAH for a complementary vet ultrasound line in their existing vet catalogue.</t>
        </is>
      </c>
      <c r="X26" s="156" t="inlineStr">
        <is>
          <t>Not checked (human list not in v17)</t>
        </is>
      </c>
      <c r="Y26" s="156" t="inlineStr">
        <is>
          <t>https://www.vm.nval.go.jp/public/detail/19578 ; https://baseconnect.in/companies/prefecture/d8203dea-91e2-41c3-a785-b80aa997273c/category/b2358a1c-c4c6-46f4-a0b1-dee3a1b30a0b</t>
        </is>
      </c>
      <c r="Z26" s="156" t="n">
        <v>5</v>
      </c>
      <c r="AA26" s="156" t="n">
        <v>1</v>
      </c>
      <c r="AB26" s="156" t="n">
        <v>5</v>
      </c>
      <c r="AC26" s="156" t="n">
        <v>3</v>
      </c>
      <c r="AD26" s="156" t="n">
        <v>1</v>
      </c>
      <c r="AE26" s="156" t="n">
        <v>3</v>
      </c>
      <c r="AF26" s="156" t="n">
        <v>3</v>
      </c>
      <c r="AG26" s="156" t="inlineStr">
        <is>
          <t>Evidence backed</t>
        </is>
      </c>
    </row>
    <row r="27" ht="75" customHeight="1" s="114">
      <c r="A27" s="156" t="n">
        <v>23</v>
      </c>
      <c r="B27" s="156" t="inlineStr">
        <is>
          <t>Create Medic Co., Ltd.</t>
        </is>
      </c>
      <c r="C27" s="156" t="inlineStr">
        <is>
          <t>クリエートメディック株式会社</t>
        </is>
      </c>
      <c r="D27" s="156" t="inlineStr">
        <is>
          <t>Not found (NTA lookup blocked; dedupe by Japanese name)</t>
        </is>
      </c>
      <c r="E27" s="156" t="inlineStr">
        <is>
          <t>Kanagawa</t>
        </is>
      </c>
      <c r="F27" s="156" t="inlineStr">
        <is>
          <t>Kanto</t>
        </is>
      </c>
      <c r="G27" s="157" t="inlineStr">
        <is>
          <t>http://www.createmedic.co.jp/products/animal_2/</t>
        </is>
      </c>
      <c r="H27" s="156" t="inlineStr">
        <is>
          <t>Vet device MAH (NVAL: Tierrett vet IV catheters 2021, large animal catheters 2022)</t>
        </is>
      </c>
      <c r="I27" s="156" t="inlineStr">
        <is>
          <t>Tierrett vet catheters; no ultrasound</t>
        </is>
      </c>
      <c r="J27" s="156" t="inlineStr">
        <is>
          <t>Both</t>
        </is>
      </c>
      <c r="K27" s="156" t="inlineStr">
        <is>
          <t>National via vet dealers</t>
        </is>
      </c>
      <c r="L27" s="156" t="inlineStr">
        <is>
          <t>Not found</t>
        </is>
      </c>
      <c r="M27" s="156" t="inlineStr">
        <is>
          <t>n/a</t>
        </is>
      </c>
      <c r="N27" s="156" t="inlineStr">
        <is>
          <t>Not identified</t>
        </is>
      </c>
      <c r="O27" s="156" t="inlineStr">
        <is>
          <t>Not identified</t>
        </is>
      </c>
      <c r="P27" s="156" t="inlineStr">
        <is>
          <t>k-kadoya@createmedic.co.jp</t>
        </is>
      </c>
      <c r="Q27" s="156" t="inlineStr">
        <is>
          <t>029 243 9411 (animal business office)</t>
        </is>
      </c>
      <c r="R27" s="156" t="inlineStr">
        <is>
          <t>Not identified</t>
        </is>
      </c>
      <c r="S27" s="156" t="inlineStr">
        <is>
          <t>Likely (third party listing); named staff, not confirmed as vet desk</t>
        </is>
      </c>
      <c r="T27" s="158">
        <f>SUM(Z27:AF27)</f>
        <v>21</v>
      </c>
      <c r="U27" s="159" t="inlineStr">
        <is>
          <t>V1</t>
        </is>
      </c>
      <c r="V27" s="156" t="inlineStr">
        <is>
          <t>Built a dedicated vet catheter brand (Tierrett) with recent NVAL notifications for small and large animals.</t>
        </is>
      </c>
      <c r="W27" s="156" t="inlineStr">
        <is>
          <t>Ask whether they would carry or act as MAH for a complementary vet ultrasound line in their existing vet catalogue.</t>
        </is>
      </c>
      <c r="X27" s="156" t="inlineStr">
        <is>
          <t>Not checked (human list not in v17)</t>
        </is>
      </c>
      <c r="Y27" s="156" t="inlineStr">
        <is>
          <t>https://www.vm.nval.go.jp/public/detail/17513 ; https://www.vm.nval.go.jp/public/detail/19240 ; https://tonomachi-ksf.kawasaki-net.ne.jp/institution/%E3%82%AF%E3%83%AA%E3%82%A8%E3%83%BC%E3%83%88%E3%83%A1%E3%83%87%E3%82%A3%E3%83%83%E3%82%AF%E6%A0%AA%E5%BC%8F%E4%BC%9A%E7%A4%BE_j/ ; https://www.createmedic.co.jp/contact/form/</t>
        </is>
      </c>
      <c r="Z27" s="156" t="n">
        <v>5</v>
      </c>
      <c r="AA27" s="156" t="n">
        <v>1</v>
      </c>
      <c r="AB27" s="156" t="n">
        <v>5</v>
      </c>
      <c r="AC27" s="156" t="n">
        <v>3</v>
      </c>
      <c r="AD27" s="156" t="n">
        <v>1</v>
      </c>
      <c r="AE27" s="156" t="n">
        <v>3</v>
      </c>
      <c r="AF27" s="156" t="n">
        <v>3</v>
      </c>
      <c r="AG27" s="156" t="inlineStr">
        <is>
          <t>Evidence backed</t>
        </is>
      </c>
    </row>
    <row r="28" ht="75" customHeight="1" s="114">
      <c r="A28" s="156" t="n">
        <v>24</v>
      </c>
      <c r="B28" s="156" t="inlineStr">
        <is>
          <t>Erma Sales Co., Ltd.</t>
        </is>
      </c>
      <c r="C28" s="156" t="inlineStr">
        <is>
          <t>ヱルマ販売株式会社</t>
        </is>
      </c>
      <c r="D28" s="156" t="inlineStr">
        <is>
          <t>Not found (NTA lookup blocked; dedupe by Japanese name)</t>
        </is>
      </c>
      <c r="E28" s="156" t="inlineStr">
        <is>
          <t>Saitama</t>
        </is>
      </c>
      <c r="F28" s="156" t="inlineStr">
        <is>
          <t>Kanto</t>
        </is>
      </c>
      <c r="G28" s="157" t="inlineStr">
        <is>
          <t>https://erma.co.jp/</t>
        </is>
      </c>
      <c r="H28" s="156" t="inlineStr">
        <is>
          <t>Vet device MAH (NVAL: EYM230 haematology)</t>
        </is>
      </c>
      <c r="I28" s="156" t="inlineStr">
        <is>
          <t>Haematology; no ultrasound</t>
        </is>
      </c>
      <c r="J28" s="156" t="inlineStr">
        <is>
          <t>Companion</t>
        </is>
      </c>
      <c r="K28" s="156" t="inlineStr">
        <is>
          <t>National</t>
        </is>
      </c>
      <c r="L28" s="156" t="inlineStr">
        <is>
          <t>Not found</t>
        </is>
      </c>
      <c r="M28" s="156" t="inlineStr">
        <is>
          <t>n/a</t>
        </is>
      </c>
      <c r="N28" s="156" t="inlineStr">
        <is>
          <t>Not identified</t>
        </is>
      </c>
      <c r="O28" s="156" t="inlineStr">
        <is>
          <t>Not identified</t>
        </is>
      </c>
      <c r="P28" s="156" t="inlineStr">
        <is>
          <t>Not published; phone only</t>
        </is>
      </c>
      <c r="Q28" s="156" t="inlineStr">
        <is>
          <t>048 984 3138 (sales)</t>
        </is>
      </c>
      <c r="R28" s="156" t="inlineStr">
        <is>
          <t>Not identified</t>
        </is>
      </c>
      <c r="S28" s="156" t="inlineStr">
        <is>
          <t>Company inquiry only (form)</t>
        </is>
      </c>
      <c r="T28" s="158">
        <f>SUM(Z28:AF28)</f>
        <v>21</v>
      </c>
      <c r="U28" s="159" t="inlineStr">
        <is>
          <t>V1</t>
        </is>
      </c>
      <c r="V28" s="156" t="inlineStr">
        <is>
          <t>Holds a vet analyser notification; small MAH that may welcome an extra vet line.</t>
        </is>
      </c>
      <c r="W28" s="156" t="inlineStr">
        <is>
          <t>Ask about MAH services and their dealer list.</t>
        </is>
      </c>
      <c r="X28" s="156" t="inlineStr">
        <is>
          <t>Not checked (human list not in v17)</t>
        </is>
      </c>
      <c r="Y28" s="156" t="inlineStr">
        <is>
          <t>https://www.vm.nval.go.jp/public/detail/18103</t>
        </is>
      </c>
      <c r="Z28" s="156" t="n">
        <v>5</v>
      </c>
      <c r="AA28" s="156" t="n">
        <v>1</v>
      </c>
      <c r="AB28" s="156" t="n">
        <v>5</v>
      </c>
      <c r="AC28" s="156" t="n">
        <v>3</v>
      </c>
      <c r="AD28" s="156" t="n">
        <v>1</v>
      </c>
      <c r="AE28" s="156" t="n">
        <v>3</v>
      </c>
      <c r="AF28" s="156" t="n">
        <v>3</v>
      </c>
      <c r="AG28" s="156" t="inlineStr">
        <is>
          <t>Evidence backed</t>
        </is>
      </c>
    </row>
    <row r="29" ht="75" customHeight="1" s="114">
      <c r="A29" s="156" t="n">
        <v>25</v>
      </c>
      <c r="B29" s="156" t="inlineStr">
        <is>
          <t>Nakanishi Inc. (Veterinary)</t>
        </is>
      </c>
      <c r="C29" s="156" t="inlineStr">
        <is>
          <t>株式会社ナカニシ</t>
        </is>
      </c>
      <c r="D29" s="156" t="inlineStr">
        <is>
          <t>Not found (NTA lookup blocked; dedupe by Japanese name)</t>
        </is>
      </c>
      <c r="E29" s="156" t="inlineStr">
        <is>
          <t>Tochigi</t>
        </is>
      </c>
      <c r="F29" s="156" t="inlineStr">
        <is>
          <t>Kanto</t>
        </is>
      </c>
      <c r="G29" s="156" t="inlineStr">
        <is>
          <t>Not found</t>
        </is>
      </c>
      <c r="H29" s="156" t="inlineStr">
        <is>
          <t>Dental devices maker; vet scaler line sold to animal hospitals</t>
        </is>
      </c>
      <c r="I29" s="156" t="inlineStr">
        <is>
          <t>Dental; no ultrasound imaging</t>
        </is>
      </c>
      <c r="J29" s="156" t="inlineStr">
        <is>
          <t>Companion</t>
        </is>
      </c>
      <c r="K29" s="156" t="inlineStr">
        <is>
          <t>National</t>
        </is>
      </c>
      <c r="L29" s="156" t="inlineStr">
        <is>
          <t>Listed company</t>
        </is>
      </c>
      <c r="M29" s="156" t="inlineStr">
        <is>
          <t>n/a</t>
        </is>
      </c>
      <c r="N29" s="156" t="inlineStr">
        <is>
          <t>Not identified</t>
        </is>
      </c>
      <c r="O29" s="156" t="inlineStr">
        <is>
          <t>Not identified</t>
        </is>
      </c>
      <c r="P29" s="156" t="inlineStr">
        <is>
          <t>Not published; phone only</t>
        </is>
      </c>
      <c r="Q29" s="156" t="inlineStr">
        <is>
          <t>Not found</t>
        </is>
      </c>
      <c r="R29" s="156" t="inlineStr">
        <is>
          <t>Not identified</t>
        </is>
      </c>
      <c r="S29" s="156" t="inlineStr">
        <is>
          <t>Unverified (no contact found in search)</t>
        </is>
      </c>
      <c r="T29" s="158">
        <f>SUM(Z29:AF29)</f>
        <v>21</v>
      </c>
      <c r="U29" s="159" t="inlineStr">
        <is>
          <t>V1</t>
        </is>
      </c>
      <c r="V29" s="156" t="inlineStr">
        <is>
          <t>Ranks among the top vet hospital device suppliers by AHHD; strong vet dental channel.</t>
        </is>
      </c>
      <c r="W29" s="156" t="inlineStr">
        <is>
          <t>Low probability distribution; channel intelligence.</t>
        </is>
      </c>
      <c r="X29" s="156" t="inlineStr">
        <is>
          <t>Not checked (human list not in v17)</t>
        </is>
      </c>
      <c r="Y29" s="156" t="inlineStr">
        <is>
          <t>https://ahhd.jp/I0000004 ; https://medical-space.co.jp/products/9158/</t>
        </is>
      </c>
      <c r="Z29" s="156" t="n">
        <v>4</v>
      </c>
      <c r="AA29" s="156" t="n">
        <v>1</v>
      </c>
      <c r="AB29" s="156" t="n">
        <v>5</v>
      </c>
      <c r="AC29" s="156" t="n">
        <v>4</v>
      </c>
      <c r="AD29" s="156" t="n">
        <v>1</v>
      </c>
      <c r="AE29" s="156" t="n">
        <v>4</v>
      </c>
      <c r="AF29" s="156" t="n">
        <v>2</v>
      </c>
      <c r="AG29" s="156" t="inlineStr">
        <is>
          <t>Evidence backed</t>
        </is>
      </c>
    </row>
    <row r="30" ht="75" customHeight="1" s="114">
      <c r="A30" s="156" t="n">
        <v>26</v>
      </c>
      <c r="B30" s="156" t="inlineStr">
        <is>
          <t>Surge Miyawaki Co., Ltd.</t>
        </is>
      </c>
      <c r="C30" s="156" t="inlineStr">
        <is>
          <t>サージミヤワキ株式会社</t>
        </is>
      </c>
      <c r="D30" s="156" t="inlineStr">
        <is>
          <t>Not found (NTA lookup blocked; dedupe by Japanese name)</t>
        </is>
      </c>
      <c r="E30" s="156" t="inlineStr">
        <is>
          <t>Tokyo</t>
        </is>
      </c>
      <c r="F30" s="156" t="inlineStr">
        <is>
          <t>Kanto</t>
        </is>
      </c>
      <c r="G30" s="157" t="inlineStr">
        <is>
          <t>https://surge-m.co.jp</t>
        </is>
      </c>
      <c r="H30" s="156" t="inlineStr">
        <is>
          <t>Vet device MAH (NVAL: vet thermometer)</t>
        </is>
      </c>
      <c r="I30" s="156" t="inlineStr">
        <is>
          <t>Thermometers, livestock tools, electric fences; no ultrasound</t>
        </is>
      </c>
      <c r="J30" s="156" t="inlineStr">
        <is>
          <t>Both</t>
        </is>
      </c>
      <c r="K30" s="156" t="inlineStr">
        <is>
          <t>National via vet dealers</t>
        </is>
      </c>
      <c r="L30" s="156" t="inlineStr">
        <is>
          <t>Not found</t>
        </is>
      </c>
      <c r="M30" s="156" t="inlineStr">
        <is>
          <t>n/a</t>
        </is>
      </c>
      <c r="N30" s="156" t="inlineStr">
        <is>
          <t>Not identified</t>
        </is>
      </c>
      <c r="O30" s="156" t="inlineStr">
        <is>
          <t>Not identified</t>
        </is>
      </c>
      <c r="P30" s="156" t="inlineStr">
        <is>
          <t>Not published; inquiry form: https://surge-m.co.jp/home/inquiry/inquiry/</t>
        </is>
      </c>
      <c r="Q30" s="156" t="inlineStr">
        <is>
          <t>03 3449 3711</t>
        </is>
      </c>
      <c r="R30" s="156" t="inlineStr">
        <is>
          <t>Not identified</t>
        </is>
      </c>
      <c r="S30" s="156" t="inlineStr">
        <is>
          <t>Company inquiry only (form)</t>
        </is>
      </c>
      <c r="T30" s="158">
        <f>SUM(Z30:AF30)</f>
        <v>21</v>
      </c>
      <c r="U30" s="159" t="inlineStr">
        <is>
          <t>V1</t>
        </is>
      </c>
      <c r="V30" s="156" t="inlineStr">
        <is>
          <t>Listed as a Tokyo animal device wholesaler and holds a vet thermometer notification; livestock customer base.</t>
        </is>
      </c>
      <c r="W30" s="156" t="inlineStr">
        <is>
          <t>Ask whether they would carry or act as MAH for a complementary vet ultrasound line in their existing vet catalogue.</t>
        </is>
      </c>
      <c r="X30" s="156" t="inlineStr">
        <is>
          <t>Not checked (human list not in v17)</t>
        </is>
      </c>
      <c r="Y30" s="156" t="inlineStr">
        <is>
          <t>https://www.vm.nval.go.jp/public/detail/6752 ; https://baseconnect.in/companies/prefecture/a30ebdff-361b-42be-8372-1b0d350f48a0/keyword/c53ff370-90f7-45dc-a0ee-e22bda2cde5e ; https://surge-m.co.jp/home/inquiry/inquiry/</t>
        </is>
      </c>
      <c r="Z30" s="156" t="n">
        <v>5</v>
      </c>
      <c r="AA30" s="156" t="n">
        <v>1</v>
      </c>
      <c r="AB30" s="156" t="n">
        <v>5</v>
      </c>
      <c r="AC30" s="156" t="n">
        <v>3</v>
      </c>
      <c r="AD30" s="156" t="n">
        <v>1</v>
      </c>
      <c r="AE30" s="156" t="n">
        <v>3</v>
      </c>
      <c r="AF30" s="156" t="n">
        <v>3</v>
      </c>
      <c r="AG30" s="156" t="inlineStr">
        <is>
          <t>Evidence backed</t>
        </is>
      </c>
    </row>
    <row r="31" ht="75" customHeight="1" s="114">
      <c r="A31" s="156" t="n">
        <v>27</v>
      </c>
      <c r="B31" s="156" t="inlineStr">
        <is>
          <t>Terumo Corporation (Animal Health)</t>
        </is>
      </c>
      <c r="C31" s="156" t="inlineStr">
        <is>
          <t>テルモ株式会社</t>
        </is>
      </c>
      <c r="D31" s="156" t="inlineStr">
        <is>
          <t>Not found (NTA lookup blocked; dedupe by Japanese name)</t>
        </is>
      </c>
      <c r="E31" s="156" t="inlineStr">
        <is>
          <t>Tokyo</t>
        </is>
      </c>
      <c r="F31" s="156" t="inlineStr">
        <is>
          <t>Kanto</t>
        </is>
      </c>
      <c r="G31" s="156" t="inlineStr">
        <is>
          <t>Not found</t>
        </is>
      </c>
      <c r="H31" s="156" t="inlineStr">
        <is>
          <t>Human and vet device MAH; ranked first among device suppliers to animal hospitals (AHHD)</t>
        </is>
      </c>
      <c r="I31" s="156" t="inlineStr">
        <is>
          <t>Disposables; no vet ultrasound</t>
        </is>
      </c>
      <c r="J31" s="156" t="inlineStr">
        <is>
          <t>Companion</t>
        </is>
      </c>
      <c r="K31" s="156" t="inlineStr">
        <is>
          <t>National via vet dealers</t>
        </is>
      </c>
      <c r="L31" s="156" t="inlineStr">
        <is>
          <t>Not found</t>
        </is>
      </c>
      <c r="M31" s="156" t="inlineStr">
        <is>
          <t>n/a</t>
        </is>
      </c>
      <c r="N31" s="156" t="inlineStr">
        <is>
          <t>Not identified</t>
        </is>
      </c>
      <c r="O31" s="156" t="inlineStr">
        <is>
          <t>Not identified</t>
        </is>
      </c>
      <c r="P31" s="156" t="inlineStr">
        <is>
          <t>Not published; inquiry form: https://www.terumo.co.jp/inquiry</t>
        </is>
      </c>
      <c r="Q31" s="156" t="inlineStr">
        <is>
          <t>Not found</t>
        </is>
      </c>
      <c r="R31" s="156" t="inlineStr">
        <is>
          <t>Not identified</t>
        </is>
      </c>
      <c r="S31" s="156" t="inlineStr">
        <is>
          <t>Company inquiry only (form)</t>
        </is>
      </c>
      <c r="T31" s="158">
        <f>SUM(Z31:AF31)</f>
        <v>21</v>
      </c>
      <c r="U31" s="159" t="inlineStr">
        <is>
          <t>V1</t>
        </is>
      </c>
      <c r="V31" s="156" t="inlineStr">
        <is>
          <t>Largest supplier of devices to animal hospitals by AHHD ranking. FLAG: Very large; co marketing only.</t>
        </is>
      </c>
      <c r="W31" s="156" t="inlineStr">
        <is>
          <t>Ask whether they would carry or act as MAH for a complementary vet ultrasound line in their existing vet catalogue.</t>
        </is>
      </c>
      <c r="X31" s="156" t="inlineStr">
        <is>
          <t>Not checked (human list not in v17)</t>
        </is>
      </c>
      <c r="Y31" s="156" t="inlineStr">
        <is>
          <t>https://ahhd.jp/I0000004 ; https://www.terumo.co.jp/inquiry</t>
        </is>
      </c>
      <c r="Z31" s="156" t="n">
        <v>5</v>
      </c>
      <c r="AA31" s="156" t="n">
        <v>1</v>
      </c>
      <c r="AB31" s="156" t="n">
        <v>5</v>
      </c>
      <c r="AC31" s="156" t="n">
        <v>3</v>
      </c>
      <c r="AD31" s="156" t="n">
        <v>1</v>
      </c>
      <c r="AE31" s="156" t="n">
        <v>3</v>
      </c>
      <c r="AF31" s="156" t="n">
        <v>3</v>
      </c>
      <c r="AG31" s="156" t="inlineStr">
        <is>
          <t>Evidence backed</t>
        </is>
      </c>
    </row>
    <row r="32" ht="75" customHeight="1" s="114">
      <c r="A32" s="156" t="n">
        <v>28</v>
      </c>
      <c r="B32" s="156" t="inlineStr">
        <is>
          <t>Tokyo Iken Co., Ltd.</t>
        </is>
      </c>
      <c r="C32" s="156" t="inlineStr">
        <is>
          <t>東京医研株式会社</t>
        </is>
      </c>
      <c r="D32" s="156" t="inlineStr">
        <is>
          <t>Not found (NTA lookup blocked; dedupe by Japanese name)</t>
        </is>
      </c>
      <c r="E32" s="156" t="inlineStr">
        <is>
          <t>Tokyo</t>
        </is>
      </c>
      <c r="F32" s="156" t="inlineStr">
        <is>
          <t>Kanto</t>
        </is>
      </c>
      <c r="G32" s="157" t="inlineStr">
        <is>
          <t>https://www.tokyoiken.co.jp/</t>
        </is>
      </c>
      <c r="H32" s="156" t="inlineStr">
        <is>
          <t>Device maker; ranked seventh among device suppliers to animal hospitals (AHHD)</t>
        </is>
      </c>
      <c r="I32" s="156" t="inlineStr">
        <is>
          <t>Physiotherapy and laser; no ultrasound imaging</t>
        </is>
      </c>
      <c r="J32" s="156" t="inlineStr">
        <is>
          <t>Companion</t>
        </is>
      </c>
      <c r="K32" s="156" t="inlineStr">
        <is>
          <t>National via vet dealers</t>
        </is>
      </c>
      <c r="L32" s="156" t="inlineStr">
        <is>
          <t>Not found</t>
        </is>
      </c>
      <c r="M32" s="156" t="inlineStr">
        <is>
          <t>n/a</t>
        </is>
      </c>
      <c r="N32" s="156" t="inlineStr">
        <is>
          <t>Not identified</t>
        </is>
      </c>
      <c r="O32" s="156" t="inlineStr">
        <is>
          <t>Not identified</t>
        </is>
      </c>
      <c r="P32" s="156" t="inlineStr">
        <is>
          <t>Not published; inquiry form: https://www.tokyoiken.co.jp/contact/</t>
        </is>
      </c>
      <c r="Q32" s="156" t="inlineStr">
        <is>
          <t>042 318 8324 (sales)</t>
        </is>
      </c>
      <c r="R32" s="156" t="inlineStr">
        <is>
          <t>Not identified</t>
        </is>
      </c>
      <c r="S32" s="156" t="inlineStr">
        <is>
          <t>Company inquiry only (form); holds 第二種動物用医療機器製造販売業許可</t>
        </is>
      </c>
      <c r="T32" s="158">
        <f>SUM(Z32:AF32)</f>
        <v>21</v>
      </c>
      <c r="U32" s="159" t="inlineStr">
        <is>
          <t>V1</t>
        </is>
      </c>
      <c r="V32" s="156" t="inlineStr">
        <is>
          <t>Seventh ranked supplier to animal hospitals; carried by Munatex and Bond Japan.</t>
        </is>
      </c>
      <c r="W32" s="156" t="inlineStr">
        <is>
          <t>Ask whether they would carry or act as MAH for a complementary vet ultrasound line in their existing vet catalogue.</t>
        </is>
      </c>
      <c r="X32" s="156" t="inlineStr">
        <is>
          <t>Not checked (human list not in v17)</t>
        </is>
      </c>
      <c r="Y32" s="156" t="inlineStr">
        <is>
          <t>https://ahhd.jp/I0000004 ; https://www.munatex.co.jp/businessguide/ ; https://www.tokyoiken.co.jp/contact/</t>
        </is>
      </c>
      <c r="Z32" s="156" t="n">
        <v>5</v>
      </c>
      <c r="AA32" s="156" t="n">
        <v>1</v>
      </c>
      <c r="AB32" s="156" t="n">
        <v>5</v>
      </c>
      <c r="AC32" s="156" t="n">
        <v>3</v>
      </c>
      <c r="AD32" s="156" t="n">
        <v>1</v>
      </c>
      <c r="AE32" s="156" t="n">
        <v>3</v>
      </c>
      <c r="AF32" s="156" t="n">
        <v>3</v>
      </c>
      <c r="AG32" s="156" t="inlineStr">
        <is>
          <t>Evidence backed</t>
        </is>
      </c>
    </row>
    <row r="33" ht="75" customHeight="1" s="114">
      <c r="A33" s="156" t="n">
        <v>29</v>
      </c>
      <c r="B33" s="156" t="inlineStr">
        <is>
          <t>Yamada Medical Lighting Co., Ltd.</t>
        </is>
      </c>
      <c r="C33" s="156" t="inlineStr">
        <is>
          <t>山田医療照明株式会社</t>
        </is>
      </c>
      <c r="D33" s="156" t="inlineStr">
        <is>
          <t>Not found (NTA lookup blocked; dedupe by Japanese name)</t>
        </is>
      </c>
      <c r="E33" s="156" t="inlineStr">
        <is>
          <t>Tokyo</t>
        </is>
      </c>
      <c r="F33" s="156" t="inlineStr">
        <is>
          <t>Kanto</t>
        </is>
      </c>
      <c r="G33" s="157" t="inlineStr">
        <is>
          <t>https://www.skylux.co.jp/product/</t>
        </is>
      </c>
      <c r="H33" s="156" t="inlineStr">
        <is>
          <t>Surgical lights sold to animal hospitals via vet dealers</t>
        </is>
      </c>
      <c r="I33" s="156" t="inlineStr">
        <is>
          <t>Surgical lights; no ultrasound</t>
        </is>
      </c>
      <c r="J33" s="156" t="inlineStr">
        <is>
          <t>Companion</t>
        </is>
      </c>
      <c r="K33" s="156" t="inlineStr">
        <is>
          <t>National via vet dealers</t>
        </is>
      </c>
      <c r="L33" s="156" t="inlineStr">
        <is>
          <t>Not found</t>
        </is>
      </c>
      <c r="M33" s="156" t="inlineStr">
        <is>
          <t>n/a</t>
        </is>
      </c>
      <c r="N33" s="156" t="inlineStr">
        <is>
          <t>Not identified</t>
        </is>
      </c>
      <c r="O33" s="156" t="inlineStr">
        <is>
          <t>Not identified</t>
        </is>
      </c>
      <c r="P33" s="156" t="inlineStr">
        <is>
          <t>Not published; inquiry form: https://www.skylux.co.jp/contact/</t>
        </is>
      </c>
      <c r="Q33" s="156" t="inlineStr">
        <is>
          <t>03 5212 6021</t>
        </is>
      </c>
      <c r="R33" s="156" t="inlineStr">
        <is>
          <t>Not identified</t>
        </is>
      </c>
      <c r="S33" s="156" t="inlineStr">
        <is>
          <t>Company inquiry only (form)</t>
        </is>
      </c>
      <c r="T33" s="158">
        <f>SUM(Z33:AF33)</f>
        <v>21</v>
      </c>
      <c r="U33" s="159" t="inlineStr">
        <is>
          <t>V1</t>
        </is>
      </c>
      <c r="V33" s="156" t="inlineStr">
        <is>
          <t>Surgical light maker present in vet dealer catalogues. FLAG: Vet MAH status not confirmed.</t>
        </is>
      </c>
      <c r="W33" s="156" t="inlineStr">
        <is>
          <t>Ask whether they would carry or act as MAH for a complementary vet ultrasound line in their existing vet catalogue.</t>
        </is>
      </c>
      <c r="X33" s="156" t="inlineStr">
        <is>
          <t>Not checked (human list not in v17)</t>
        </is>
      </c>
      <c r="Y33" s="156" t="inlineStr">
        <is>
          <t>https://www.skylux.co.jp/product/ ; https://medical-space.co.jp/products/product/%E2%96%A0%E6%89%8B%E8%A1%93%E9%96%A2%E9%80%A3/%E6%89%8B%E8%A1%93%E7%84%A1%E5%BD%B1%E7%81%AF/ ; https://www.skylux.co.jp/contact/</t>
        </is>
      </c>
      <c r="Z33" s="156" t="n">
        <v>5</v>
      </c>
      <c r="AA33" s="156" t="n">
        <v>1</v>
      </c>
      <c r="AB33" s="156" t="n">
        <v>5</v>
      </c>
      <c r="AC33" s="156" t="n">
        <v>3</v>
      </c>
      <c r="AD33" s="156" t="n">
        <v>1</v>
      </c>
      <c r="AE33" s="156" t="n">
        <v>3</v>
      </c>
      <c r="AF33" s="156" t="n">
        <v>3</v>
      </c>
      <c r="AG33" s="156" t="inlineStr">
        <is>
          <t>Evidence backed</t>
        </is>
      </c>
    </row>
    <row r="34" ht="75" customHeight="1" s="114">
      <c r="A34" s="156" t="n">
        <v>30</v>
      </c>
      <c r="B34" s="156" t="inlineStr">
        <is>
          <t>Acoma Medical Industry Co., Ltd.</t>
        </is>
      </c>
      <c r="C34" s="156" t="inlineStr">
        <is>
          <t>アコマ医科工業株式会社</t>
        </is>
      </c>
      <c r="D34" s="156" t="inlineStr">
        <is>
          <t>Not found (NTA lookup blocked; dedupe by Japanese name)</t>
        </is>
      </c>
      <c r="E34" s="156" t="inlineStr">
        <is>
          <t>Tokyo</t>
        </is>
      </c>
      <c r="F34" s="156" t="inlineStr">
        <is>
          <t>Kanto</t>
        </is>
      </c>
      <c r="G34" s="157" t="inlineStr">
        <is>
          <t>https://www.acoma.com/</t>
        </is>
      </c>
      <c r="H34" s="156" t="inlineStr">
        <is>
          <t>Vet anaesthesia devices on market (Vetac 5); MAH status to confirm</t>
        </is>
      </c>
      <c r="I34" s="156" t="inlineStr">
        <is>
          <t>Own anaesthesia machines; no ultrasound</t>
        </is>
      </c>
      <c r="J34" s="156" t="inlineStr">
        <is>
          <t>Companion</t>
        </is>
      </c>
      <c r="K34" s="156" t="inlineStr">
        <is>
          <t>National via vet dealers</t>
        </is>
      </c>
      <c r="L34" s="156" t="inlineStr">
        <is>
          <t>Not found</t>
        </is>
      </c>
      <c r="M34" s="156" t="inlineStr">
        <is>
          <t>n/a</t>
        </is>
      </c>
      <c r="N34" s="156" t="inlineStr">
        <is>
          <t>Not identified</t>
        </is>
      </c>
      <c r="O34" s="156" t="inlineStr">
        <is>
          <t>Not identified</t>
        </is>
      </c>
      <c r="P34" s="156" t="inlineStr">
        <is>
          <t>Not published; inquiry form: https://www.acoma.com/support/support-list/</t>
        </is>
      </c>
      <c r="Q34" s="156" t="inlineStr">
        <is>
          <t>03 3811 4151</t>
        </is>
      </c>
      <c r="R34" s="156" t="inlineStr">
        <is>
          <t>Not identified</t>
        </is>
      </c>
      <c r="S34" s="156" t="inlineStr">
        <is>
          <t>Company inquiry only (form)</t>
        </is>
      </c>
      <c r="T34" s="158">
        <f>SUM(Z34:AF34)</f>
        <v>20</v>
      </c>
      <c r="U34" s="159" t="inlineStr">
        <is>
          <t>V1</t>
        </is>
      </c>
      <c r="V34" s="156" t="inlineStr">
        <is>
          <t>Domestic anaesthesia maker with a vet model sold through Munatex and Medical Space; complementary, unconflicted.</t>
        </is>
      </c>
      <c r="W34" s="156" t="inlineStr">
        <is>
          <t>Peri operative ultrasound for nerve blocks and vascular access alongside their anaesthesia line.</t>
        </is>
      </c>
      <c r="X34" s="156" t="inlineStr">
        <is>
          <t>Not checked (human list not in v17)</t>
        </is>
      </c>
      <c r="Y34" s="156" t="inlineStr">
        <is>
          <t>https://munatex.com/products/5863/ ; https://medical-space.co.jp/products-manufacturer/ ; https://www.acoma.com/support/support-list/</t>
        </is>
      </c>
      <c r="Z34" s="156" t="n">
        <v>4</v>
      </c>
      <c r="AA34" s="156" t="n">
        <v>1</v>
      </c>
      <c r="AB34" s="156" t="n">
        <v>5</v>
      </c>
      <c r="AC34" s="156" t="n">
        <v>4</v>
      </c>
      <c r="AD34" s="156" t="n">
        <v>1</v>
      </c>
      <c r="AE34" s="156" t="n">
        <v>3</v>
      </c>
      <c r="AF34" s="156" t="n">
        <v>2</v>
      </c>
      <c r="AG34" s="156" t="inlineStr">
        <is>
          <t>Evidence backed</t>
        </is>
      </c>
    </row>
    <row r="35" ht="75" customHeight="1" s="114">
      <c r="A35" s="156" t="n">
        <v>31</v>
      </c>
      <c r="B35" s="156" t="inlineStr">
        <is>
          <t>Setagaya Seiki Co., Ltd.</t>
        </is>
      </c>
      <c r="C35" s="156" t="inlineStr">
        <is>
          <t>世田谷精機株式会社</t>
        </is>
      </c>
      <c r="D35" s="156" t="inlineStr">
        <is>
          <t>Not found (NTA lookup blocked; dedupe by Japanese name)</t>
        </is>
      </c>
      <c r="E35" s="156" t="inlineStr">
        <is>
          <t>Tokyo</t>
        </is>
      </c>
      <c r="F35" s="156" t="inlineStr">
        <is>
          <t>Kanto</t>
        </is>
      </c>
      <c r="G35" s="156" t="inlineStr">
        <is>
          <t>Not found</t>
        </is>
      </c>
      <c r="H35" s="156" t="inlineStr">
        <is>
          <t>Vet device MAH (NVAL: Butterfly hip plate system, succession 2014)</t>
        </is>
      </c>
      <c r="I35" s="156" t="inlineStr">
        <is>
          <t>Orthopaedic implants; no ultrasound</t>
        </is>
      </c>
      <c r="J35" s="156" t="inlineStr">
        <is>
          <t>Companion</t>
        </is>
      </c>
      <c r="K35" s="156" t="inlineStr">
        <is>
          <t>National</t>
        </is>
      </c>
      <c r="L35" s="156" t="inlineStr">
        <is>
          <t>Not found</t>
        </is>
      </c>
      <c r="M35" s="156" t="inlineStr">
        <is>
          <t>n/a</t>
        </is>
      </c>
      <c r="N35" s="156" t="inlineStr">
        <is>
          <t>Not identified</t>
        </is>
      </c>
      <c r="O35" s="156" t="inlineStr">
        <is>
          <t>Not identified</t>
        </is>
      </c>
      <c r="P35" s="156" t="inlineStr">
        <is>
          <t>Not published; phone only</t>
        </is>
      </c>
      <c r="Q35" s="156" t="inlineStr">
        <is>
          <t>Not found</t>
        </is>
      </c>
      <c r="R35" s="156" t="inlineStr">
        <is>
          <t>Not identified</t>
        </is>
      </c>
      <c r="S35" s="156" t="inlineStr">
        <is>
          <t>Unverified (no contact found in search)</t>
        </is>
      </c>
      <c r="T35" s="158">
        <f>SUM(Z35:AF35)</f>
        <v>20</v>
      </c>
      <c r="U35" s="159" t="inlineStr">
        <is>
          <t>V1</t>
        </is>
      </c>
      <c r="V35" s="156" t="inlineStr">
        <is>
          <t>Vet orthopaedic implant MAH with surgeon relationships; peri operative ultrasound fits.</t>
        </is>
      </c>
      <c r="W35" s="156" t="inlineStr">
        <is>
          <t>Musculoskeletal and peri operative linear probe demo.</t>
        </is>
      </c>
      <c r="X35" s="156" t="inlineStr">
        <is>
          <t>Not checked (human list not in v17)</t>
        </is>
      </c>
      <c r="Y35" s="156" t="inlineStr">
        <is>
          <t>https://www.vm.nval.go.jp/public/detail/11016</t>
        </is>
      </c>
      <c r="Z35" s="156" t="n">
        <v>5</v>
      </c>
      <c r="AA35" s="156" t="n">
        <v>1</v>
      </c>
      <c r="AB35" s="156" t="n">
        <v>5</v>
      </c>
      <c r="AC35" s="156" t="n">
        <v>3</v>
      </c>
      <c r="AD35" s="156" t="n">
        <v>1</v>
      </c>
      <c r="AE35" s="156" t="n">
        <v>2</v>
      </c>
      <c r="AF35" s="156" t="n">
        <v>3</v>
      </c>
      <c r="AG35" s="156" t="inlineStr">
        <is>
          <t>Evidence backed</t>
        </is>
      </c>
    </row>
    <row r="36" ht="75" customHeight="1" s="114">
      <c r="A36" s="156" t="n">
        <v>32</v>
      </c>
      <c r="B36" s="156" t="inlineStr">
        <is>
          <t>Taiyo Denshi Co., Ltd.</t>
        </is>
      </c>
      <c r="C36" s="156" t="inlineStr">
        <is>
          <t>太陽電子株式会社</t>
        </is>
      </c>
      <c r="D36" s="156" t="inlineStr">
        <is>
          <t>Not found (NTA lookup blocked; dedupe by Japanese name)</t>
        </is>
      </c>
      <c r="E36" s="156" t="inlineStr">
        <is>
          <t>Tokyo</t>
        </is>
      </c>
      <c r="F36" s="156" t="inlineStr">
        <is>
          <t>Kanto</t>
        </is>
      </c>
      <c r="G36" s="157" t="inlineStr">
        <is>
          <t>https://www.taiyo-denshi.com/</t>
        </is>
      </c>
      <c r="H36" s="156" t="inlineStr">
        <is>
          <t>Vet ICU maker (Altus series); JAMO member</t>
        </is>
      </c>
      <c r="I36" s="156" t="inlineStr">
        <is>
          <t>Own ICU; no ultrasound</t>
        </is>
      </c>
      <c r="J36" s="156" t="inlineStr">
        <is>
          <t>Companion</t>
        </is>
      </c>
      <c r="K36" s="156" t="inlineStr">
        <is>
          <t>Suginami, Tokyo; national</t>
        </is>
      </c>
      <c r="L36" s="156" t="inlineStr">
        <is>
          <t>Not found</t>
        </is>
      </c>
      <c r="M36" s="156" t="inlineStr">
        <is>
          <t>n/a</t>
        </is>
      </c>
      <c r="N36" s="156" t="inlineStr">
        <is>
          <t>Not identified</t>
        </is>
      </c>
      <c r="O36" s="156" t="inlineStr">
        <is>
          <t>Not identified</t>
        </is>
      </c>
      <c r="P36" s="156" t="inlineStr">
        <is>
          <t>Not published; inquiry form: https://www.taiyo-denshi.com/contents/category/contact/</t>
        </is>
      </c>
      <c r="Q36" s="156" t="inlineStr">
        <is>
          <t>03 3316 1848</t>
        </is>
      </c>
      <c r="R36" s="156" t="inlineStr">
        <is>
          <t>Not identified</t>
        </is>
      </c>
      <c r="S36" s="156" t="inlineStr">
        <is>
          <t>Company inquiry only (form); FLAG company registration closed (liquidation completed 4 Nov 2025 per gBizINFO)</t>
        </is>
      </c>
      <c r="T36" s="158">
        <f>SUM(Z36:AF36)</f>
        <v>20</v>
      </c>
      <c r="U36" s="159" t="inlineStr">
        <is>
          <t>V1</t>
        </is>
      </c>
      <c r="V36" s="156" t="inlineStr">
        <is>
          <t>Domestic vet ICU maker in the JAMO association; existing hospital relationships. FLAG: Some ICU models discontinued; confirm current activity.</t>
        </is>
      </c>
      <c r="W36" s="156" t="inlineStr">
        <is>
          <t>ICU bedside point of care ultrasound.</t>
        </is>
      </c>
      <c r="X36" s="156" t="inlineStr">
        <is>
          <t>Not checked (human list not in v17)</t>
        </is>
      </c>
      <c r="Y36" s="156" t="inlineStr">
        <is>
          <t>https://www.jamo.or.jp/member/ ; https://www.nashinoki-vet.com/column/2016/4017/ ; https://www.taiyo-denshi.com/contents/category/contact/</t>
        </is>
      </c>
      <c r="Z36" s="156" t="n">
        <v>4</v>
      </c>
      <c r="AA36" s="156" t="n">
        <v>1</v>
      </c>
      <c r="AB36" s="156" t="n">
        <v>5</v>
      </c>
      <c r="AC36" s="156" t="n">
        <v>3</v>
      </c>
      <c r="AD36" s="156" t="n">
        <v>1</v>
      </c>
      <c r="AE36" s="156" t="n">
        <v>3</v>
      </c>
      <c r="AF36" s="156" t="n">
        <v>3</v>
      </c>
      <c r="AG36" s="156" t="inlineStr">
        <is>
          <t>Evidence backed</t>
        </is>
      </c>
    </row>
    <row r="37" ht="75" customHeight="1" s="114">
      <c r="A37" s="156" t="n">
        <v>33</v>
      </c>
      <c r="B37" s="156" t="inlineStr">
        <is>
          <t>Kimura Med Co., Ltd.</t>
        </is>
      </c>
      <c r="C37" s="156" t="inlineStr">
        <is>
          <t>株式会社キムラメド</t>
        </is>
      </c>
      <c r="D37" s="156" t="inlineStr">
        <is>
          <t>Not found (NTA lookup blocked; dedupe by Japanese name)</t>
        </is>
      </c>
      <c r="E37" s="156" t="inlineStr">
        <is>
          <t>Tokyo</t>
        </is>
      </c>
      <c r="F37" s="156" t="inlineStr">
        <is>
          <t>Kanto</t>
        </is>
      </c>
      <c r="G37" s="157" t="inlineStr">
        <is>
          <t>https://www.kimuramed.jp/</t>
        </is>
      </c>
      <c r="H37" s="156" t="inlineStr">
        <is>
          <t>Vet devices on market (VentStar ventilator, now discontinued; O2 concentrators)</t>
        </is>
      </c>
      <c r="I37" s="156" t="inlineStr">
        <is>
          <t>Own; no ultrasound</t>
        </is>
      </c>
      <c r="J37" s="156" t="inlineStr">
        <is>
          <t>Companion</t>
        </is>
      </c>
      <c r="K37" s="156" t="inlineStr">
        <is>
          <t>National via vet dealers</t>
        </is>
      </c>
      <c r="L37" s="156" t="inlineStr">
        <is>
          <t>Not found</t>
        </is>
      </c>
      <c r="M37" s="156" t="inlineStr">
        <is>
          <t>n/a</t>
        </is>
      </c>
      <c r="N37" s="156" t="inlineStr">
        <is>
          <t>Not identified</t>
        </is>
      </c>
      <c r="O37" s="156" t="inlineStr">
        <is>
          <t>Not identified</t>
        </is>
      </c>
      <c r="P37" s="156" t="inlineStr">
        <is>
          <t>Not published; inquiry form: https://www.kimuramed.jp/contact/</t>
        </is>
      </c>
      <c r="Q37" s="156" t="inlineStr">
        <is>
          <t>03 5849 3192</t>
        </is>
      </c>
      <c r="R37" s="156" t="inlineStr">
        <is>
          <t>Not identified</t>
        </is>
      </c>
      <c r="S37" s="156" t="inlineStr">
        <is>
          <t>Company inquiry only (form)</t>
        </is>
      </c>
      <c r="T37" s="158">
        <f>SUM(Z37:AF37)</f>
        <v>19</v>
      </c>
      <c r="U37" s="159" t="inlineStr">
        <is>
          <t>V1</t>
        </is>
      </c>
      <c r="V37" s="156" t="inlineStr">
        <is>
          <t>Vet ICU and oxygen equipment supplier with an existing vet channel. FLAG: VentStar ventilator discontinued; confirm current vet activity.</t>
        </is>
      </c>
      <c r="W37" s="156" t="inlineStr">
        <is>
          <t>Complementary ICU line; ask about their dealer network.</t>
        </is>
      </c>
      <c r="X37" s="156" t="inlineStr">
        <is>
          <t>Not checked (human list not in v17)</t>
        </is>
      </c>
      <c r="Y37" s="156" t="inlineStr">
        <is>
          <t>https://medical-space.co.jp/products/2309/ ; https://www.kimuramed.jp/contact/</t>
        </is>
      </c>
      <c r="Z37" s="156" t="n">
        <v>4</v>
      </c>
      <c r="AA37" s="156" t="n">
        <v>1</v>
      </c>
      <c r="AB37" s="156" t="n">
        <v>5</v>
      </c>
      <c r="AC37" s="156" t="n">
        <v>3</v>
      </c>
      <c r="AD37" s="156" t="n">
        <v>1</v>
      </c>
      <c r="AE37" s="156" t="n">
        <v>3</v>
      </c>
      <c r="AF37" s="156" t="n">
        <v>2</v>
      </c>
      <c r="AG37" s="156" t="inlineStr">
        <is>
          <t>Evidence backed</t>
        </is>
      </c>
    </row>
    <row r="38" ht="75" customHeight="1" s="114">
      <c r="A38" s="156" t="n">
        <v>34</v>
      </c>
      <c r="B38" s="156" t="inlineStr">
        <is>
          <t>Marubun Corporation (Medical Device)</t>
        </is>
      </c>
      <c r="C38" s="156" t="inlineStr">
        <is>
          <t>丸文株式会社</t>
        </is>
      </c>
      <c r="D38" s="156" t="inlineStr">
        <is>
          <t>Not found (NTA lookup blocked; dedupe by Japanese name)</t>
        </is>
      </c>
      <c r="E38" s="156" t="inlineStr">
        <is>
          <t>Tokyo</t>
        </is>
      </c>
      <c r="F38" s="156" t="inlineStr">
        <is>
          <t>Kanto</t>
        </is>
      </c>
      <c r="G38" s="157" t="inlineStr">
        <is>
          <t>https://www.marubun.co.jp</t>
        </is>
      </c>
      <c r="H38" s="156" t="inlineStr">
        <is>
          <t>Sole Japan distributor for Clarius handheld ultrasound (human; foreign special approval)</t>
        </is>
      </c>
      <c r="I38" s="156" t="inlineStr">
        <is>
          <t>Clarius handheld (competing handheld)</t>
        </is>
      </c>
      <c r="J38" s="156" t="inlineStr">
        <is>
          <t>Companion</t>
        </is>
      </c>
      <c r="K38" s="156" t="inlineStr">
        <is>
          <t>National</t>
        </is>
      </c>
      <c r="L38" s="156" t="inlineStr">
        <is>
          <t>Listed electronics trading house</t>
        </is>
      </c>
      <c r="M38" s="156" t="inlineStr">
        <is>
          <t>n/a</t>
        </is>
      </c>
      <c r="N38" s="156" t="inlineStr">
        <is>
          <t>Not identified</t>
        </is>
      </c>
      <c r="O38" s="156" t="inlineStr">
        <is>
          <t>Not identified</t>
        </is>
      </c>
      <c r="P38" s="156" t="inlineStr">
        <is>
          <t>Not published; inquiry form: https://www.marubun.co.jp/products/51908/</t>
        </is>
      </c>
      <c r="Q38" s="156" t="inlineStr">
        <is>
          <t>Not found</t>
        </is>
      </c>
      <c r="R38" s="156" t="inlineStr">
        <is>
          <t>Not identified</t>
        </is>
      </c>
      <c r="S38" s="156" t="inlineStr">
        <is>
          <t>Company inquiry only (form)</t>
        </is>
      </c>
      <c r="T38" s="158">
        <f>SUM(Z38:AF38)</f>
        <v>19</v>
      </c>
      <c r="U38" s="159" t="inlineStr">
        <is>
          <t>V1</t>
        </is>
      </c>
      <c r="V38" s="156" t="inlineStr">
        <is>
          <t>Electronics trader that built an ultrasound business in 2024; Clarius has a vet range not yet launched in Japan via them. FLAG: Carries a competing handheld brand.</t>
        </is>
      </c>
      <c r="W38" s="156" t="inlineStr">
        <is>
          <t>Conflicted on handhelds; pitch carts or portables where Clarius has no product.</t>
        </is>
      </c>
      <c r="X38" s="156" t="inlineStr">
        <is>
          <t>Not checked (human list not in v17)</t>
        </is>
      </c>
      <c r="Y38" s="156" t="inlineStr">
        <is>
          <t>https://www.marubun.co.jp/info/2024/50370 ; https://clarius.com/?p=125094 ; https://www.marubun.co.jp/products/51908/</t>
        </is>
      </c>
      <c r="Z38" s="156" t="n">
        <v>4</v>
      </c>
      <c r="AA38" s="156" t="n">
        <v>4</v>
      </c>
      <c r="AB38" s="156" t="n">
        <v>2</v>
      </c>
      <c r="AC38" s="156" t="n">
        <v>2</v>
      </c>
      <c r="AD38" s="156" t="n">
        <v>1</v>
      </c>
      <c r="AE38" s="156" t="n">
        <v>3</v>
      </c>
      <c r="AF38" s="156" t="n">
        <v>3</v>
      </c>
      <c r="AG38" s="156" t="inlineStr">
        <is>
          <t>Evidence backed</t>
        </is>
      </c>
    </row>
    <row r="39" ht="75" customHeight="1" s="114">
      <c r="A39" s="156" t="n">
        <v>35</v>
      </c>
      <c r="B39" s="156" t="inlineStr">
        <is>
          <t>Sophiatech Co., Ltd.</t>
        </is>
      </c>
      <c r="C39" s="156" t="inlineStr">
        <is>
          <t>株式会社ソフィアテック</t>
        </is>
      </c>
      <c r="D39" s="156" t="inlineStr">
        <is>
          <t>Not found (NTA lookup blocked; dedupe by Japanese name)</t>
        </is>
      </c>
      <c r="E39" s="156" t="inlineStr">
        <is>
          <t>Tokyo</t>
        </is>
      </c>
      <c r="F39" s="156" t="inlineStr">
        <is>
          <t>Kanto</t>
        </is>
      </c>
      <c r="G39" s="157" t="inlineStr">
        <is>
          <t>https://www.sophiatech.co.jp</t>
        </is>
      </c>
      <c r="H39" s="156" t="inlineStr">
        <is>
          <t>Vet titanium screw and plate approvals shown on site</t>
        </is>
      </c>
      <c r="I39" s="156" t="inlineStr">
        <is>
          <t>Orthopaedic implants; no ultrasound</t>
        </is>
      </c>
      <c r="J39" s="156" t="inlineStr">
        <is>
          <t>Companion</t>
        </is>
      </c>
      <c r="K39" s="156" t="inlineStr">
        <is>
          <t>National</t>
        </is>
      </c>
      <c r="L39" s="156" t="inlineStr">
        <is>
          <t>Not found</t>
        </is>
      </c>
      <c r="M39" s="156" t="inlineStr">
        <is>
          <t>n/a</t>
        </is>
      </c>
      <c r="N39" s="156" t="inlineStr">
        <is>
          <t>Not identified</t>
        </is>
      </c>
      <c r="O39" s="156" t="inlineStr">
        <is>
          <t>Not identified</t>
        </is>
      </c>
      <c r="P39" s="156" t="inlineStr">
        <is>
          <t>Not published; inquiry form: https://www.sophiatech.co.jp/</t>
        </is>
      </c>
      <c r="Q39" s="156" t="inlineStr">
        <is>
          <t>042 736 3903</t>
        </is>
      </c>
      <c r="R39" s="156" t="inlineStr">
        <is>
          <t>Not identified</t>
        </is>
      </c>
      <c r="S39" s="156" t="inlineStr">
        <is>
          <t>Company inquiry only (form); operated by 株式会社プラトンジャパン ソフィアテック事業部 (Machida, Tokyo)</t>
        </is>
      </c>
      <c r="T39" s="158">
        <f>SUM(Z39:AF39)</f>
        <v>19</v>
      </c>
      <c r="U39" s="159" t="inlineStr">
        <is>
          <t>V1</t>
        </is>
      </c>
      <c r="V39" s="156" t="inlineStr">
        <is>
          <t>Holds vet orthopaedic approvals, so understands MAFF filings; orthopaedic surgeons are ultrasound buyers for MSK work. FLAG: HQ prefecture not confirmed.</t>
        </is>
      </c>
      <c r="W39" s="156" t="inlineStr">
        <is>
          <t>SonoEye P5 high frequency linear for MSK and peri operative use.</t>
        </is>
      </c>
      <c r="X39" s="156" t="inlineStr">
        <is>
          <t>Not checked (human list not in v17)</t>
        </is>
      </c>
      <c r="Y39" s="156" t="inlineStr">
        <is>
          <t>https://www.sophiatech.co.jp/orthppedic-implants?lightbox=image9xt ; https://www.sophiatech.co.jp/</t>
        </is>
      </c>
      <c r="Z39" s="156" t="n">
        <v>4</v>
      </c>
      <c r="AA39" s="156" t="n">
        <v>1</v>
      </c>
      <c r="AB39" s="156" t="n">
        <v>5</v>
      </c>
      <c r="AC39" s="156" t="n">
        <v>3</v>
      </c>
      <c r="AD39" s="156" t="n">
        <v>1</v>
      </c>
      <c r="AE39" s="156" t="n">
        <v>2</v>
      </c>
      <c r="AF39" s="156" t="n">
        <v>3</v>
      </c>
      <c r="AG39" s="156" t="inlineStr">
        <is>
          <t>Evidence backed</t>
        </is>
      </c>
    </row>
    <row r="40" ht="75" customHeight="1" s="114">
      <c r="A40" s="156" t="n">
        <v>36</v>
      </c>
      <c r="B40" s="156" t="inlineStr">
        <is>
          <t>Kruz Medical</t>
        </is>
      </c>
      <c r="C40" s="156" t="inlineStr">
        <is>
          <t>クルーズメディカル</t>
        </is>
      </c>
      <c r="D40" s="156" t="inlineStr">
        <is>
          <t>Not found (NTA lookup blocked; dedupe by Japanese name)</t>
        </is>
      </c>
      <c r="E40" s="156" t="inlineStr">
        <is>
          <t>Osaka</t>
        </is>
      </c>
      <c r="F40" s="156" t="inlineStr">
        <is>
          <t>Kansai</t>
        </is>
      </c>
      <c r="G40" s="157" t="inlineStr">
        <is>
          <t>https://kruz-medical.co.jp/</t>
        </is>
      </c>
      <c r="H40" s="156" t="inlineStr">
        <is>
          <t>Vet device sales with clinic opening, relocation and renewal support</t>
        </is>
      </c>
      <c r="I40" s="156" t="inlineStr">
        <is>
          <t>Sells CT and ultrasound among other devices (brands not confirmed)</t>
        </is>
      </c>
      <c r="J40" s="156" t="inlineStr">
        <is>
          <t>Companion</t>
        </is>
      </c>
      <c r="K40" s="156" t="inlineStr">
        <is>
          <t>Osaka base; national openings</t>
        </is>
      </c>
      <c r="L40" s="156" t="inlineStr">
        <is>
          <t>Not found</t>
        </is>
      </c>
      <c r="M40" s="156" t="inlineStr">
        <is>
          <t>n/a</t>
        </is>
      </c>
      <c r="N40" s="156" t="inlineStr">
        <is>
          <t>Not identified</t>
        </is>
      </c>
      <c r="O40" s="156" t="inlineStr">
        <is>
          <t>Not identified</t>
        </is>
      </c>
      <c r="P40" s="156" t="inlineStr">
        <is>
          <t>info@kruz.co.jp</t>
        </is>
      </c>
      <c r="Q40" s="156" t="inlineStr">
        <is>
          <t>06 6190 2500</t>
        </is>
      </c>
      <c r="R40" s="156" t="inlineStr">
        <is>
          <t>Not identified</t>
        </is>
      </c>
      <c r="S40" s="156" t="inlineStr">
        <is>
          <t>Verified (published on own site, read via search); from older company site</t>
        </is>
      </c>
      <c r="T40" s="158">
        <f>SUM(Z40:AF40)</f>
        <v>22</v>
      </c>
      <c r="U40" s="160" t="inlineStr">
        <is>
          <t>V2</t>
        </is>
      </c>
      <c r="V40" s="156" t="inlineStr">
        <is>
          <t>Osaka company running vet clinic openings end to end and selling equipment from CT and ultrasound to consumables. FLAG: Legal name and current ultrasound brand not confirmed.</t>
        </is>
      </c>
      <c r="W40" s="156" t="inlineStr">
        <is>
          <t>Opening package partner: portable plus cart ultrasound in their standard equipment list.</t>
        </is>
      </c>
      <c r="X40" s="156" t="inlineStr">
        <is>
          <t>Not checked (human list not in v17)</t>
        </is>
      </c>
      <c r="Y40" s="156" t="inlineStr">
        <is>
          <t>https://kruz-medical.co.jp/business/ ; https://kruz.co.jp/ ; http://kruz.co.jp/profile.html</t>
        </is>
      </c>
      <c r="Z40" s="156" t="n">
        <v>3</v>
      </c>
      <c r="AA40" s="156" t="n">
        <v>4</v>
      </c>
      <c r="AB40" s="156" t="n">
        <v>3</v>
      </c>
      <c r="AC40" s="156" t="n">
        <v>5</v>
      </c>
      <c r="AD40" s="156" t="n">
        <v>1</v>
      </c>
      <c r="AE40" s="156" t="n">
        <v>3</v>
      </c>
      <c r="AF40" s="156" t="n">
        <v>3</v>
      </c>
      <c r="AG40" s="156" t="inlineStr">
        <is>
          <t>Evidence backed</t>
        </is>
      </c>
    </row>
    <row r="41" ht="75" customHeight="1" s="114">
      <c r="A41" s="156" t="n">
        <v>37</v>
      </c>
      <c r="B41" s="156" t="inlineStr">
        <is>
          <t>AVS Co., Ltd.</t>
        </is>
      </c>
      <c r="C41" s="156" t="inlineStr">
        <is>
          <t>株式会社AVS</t>
        </is>
      </c>
      <c r="D41" s="156" t="inlineStr">
        <is>
          <t>Not found (NTA lookup blocked; dedupe by Japanese name)</t>
        </is>
      </c>
      <c r="E41" s="156" t="inlineStr">
        <is>
          <t>Tokyo</t>
        </is>
      </c>
      <c r="F41" s="156" t="inlineStr">
        <is>
          <t>Kanto</t>
        </is>
      </c>
      <c r="G41" s="156" t="inlineStr">
        <is>
          <t>Not found</t>
        </is>
      </c>
      <c r="H41" s="156" t="inlineStr">
        <is>
          <t>Vet endoscopy systems (JAMO member)</t>
        </is>
      </c>
      <c r="I41" s="156" t="inlineStr">
        <is>
          <t>Vet endoscopes; no ultrasound</t>
        </is>
      </c>
      <c r="J41" s="156" t="inlineStr">
        <is>
          <t>Companion</t>
        </is>
      </c>
      <c r="K41" s="156" t="inlineStr">
        <is>
          <t>Shibuya, Tokyo; national</t>
        </is>
      </c>
      <c r="L41" s="156" t="inlineStr">
        <is>
          <t>Not found</t>
        </is>
      </c>
      <c r="M41" s="156" t="inlineStr">
        <is>
          <t>n/a</t>
        </is>
      </c>
      <c r="N41" s="156" t="inlineStr">
        <is>
          <t>Not identified</t>
        </is>
      </c>
      <c r="O41" s="156" t="inlineStr">
        <is>
          <t>Not identified</t>
        </is>
      </c>
      <c r="P41" s="156" t="inlineStr">
        <is>
          <t>Not published; phone only</t>
        </is>
      </c>
      <c r="Q41" s="156" t="inlineStr">
        <is>
          <t>0120 044 071 (per 2021 notice)</t>
        </is>
      </c>
      <c r="R41" s="156" t="inlineStr">
        <is>
          <t>Not identified</t>
        </is>
      </c>
      <c r="S41" s="156" t="inlineStr">
        <is>
          <t>Unverified; FLAG company dissolved end of March 2022, vet aftersales moved to Olympus Marketing</t>
        </is>
      </c>
      <c r="T41" s="158">
        <f>SUM(Z41:AF41)</f>
        <v>22</v>
      </c>
      <c r="U41" s="160" t="inlineStr">
        <is>
          <t>V2</t>
        </is>
      </c>
      <c r="V41" s="156" t="inlineStr">
        <is>
          <t>Vet endoscopy specialist in JAMO; imaging minded sales team.</t>
        </is>
      </c>
      <c r="W41" s="156" t="inlineStr">
        <is>
          <t>GI imaging bundle: endoscopy plus abdominal ultrasound.</t>
        </is>
      </c>
      <c r="X41" s="156" t="inlineStr">
        <is>
          <t>Not checked (human list not in v17)</t>
        </is>
      </c>
      <c r="Y41" s="156" t="inlineStr">
        <is>
          <t>https://www.jamo.or.jp/member/ ; https://www.avs.co.jp/contact/</t>
        </is>
      </c>
      <c r="Z41" s="156" t="n">
        <v>3</v>
      </c>
      <c r="AA41" s="156" t="n">
        <v>3</v>
      </c>
      <c r="AB41" s="156" t="n">
        <v>5</v>
      </c>
      <c r="AC41" s="156" t="n">
        <v>4</v>
      </c>
      <c r="AD41" s="156" t="n">
        <v>1</v>
      </c>
      <c r="AE41" s="156" t="n">
        <v>3</v>
      </c>
      <c r="AF41" s="156" t="n">
        <v>3</v>
      </c>
      <c r="AG41" s="156" t="inlineStr">
        <is>
          <t>Evidence backed</t>
        </is>
      </c>
    </row>
    <row r="42" ht="75" customHeight="1" s="114">
      <c r="A42" s="156" t="n">
        <v>38</v>
      </c>
      <c r="B42" s="156" t="inlineStr">
        <is>
          <t>Frontier International Co., Ltd.</t>
        </is>
      </c>
      <c r="C42" s="156" t="inlineStr">
        <is>
          <t>株式会社フロンティアインターナショナル</t>
        </is>
      </c>
      <c r="D42" s="156" t="inlineStr">
        <is>
          <t>Not found (NTA lookup blocked; dedupe by Japanese name)</t>
        </is>
      </c>
      <c r="E42" s="156" t="inlineStr">
        <is>
          <t>Kanagawa</t>
        </is>
      </c>
      <c r="F42" s="156" t="inlineStr">
        <is>
          <t>Kanto</t>
        </is>
      </c>
      <c r="G42" s="157" t="inlineStr">
        <is>
          <t>https://frontier-intl.co.jp</t>
        </is>
      </c>
      <c r="H42" s="156" t="inlineStr">
        <is>
          <t>Livestock supplies; sells vet ultrasound to vets and zoos</t>
        </is>
      </c>
      <c r="I42" s="156" t="inlineStr">
        <is>
          <t>IMV imaging (Easi Scan Go, EXAPAD mini, EXAGO)</t>
        </is>
      </c>
      <c r="J42" s="156" t="inlineStr">
        <is>
          <t>Large animal</t>
        </is>
      </c>
      <c r="K42" s="156" t="inlineStr">
        <is>
          <t>National swine and cattle</t>
        </is>
      </c>
      <c r="L42" s="156" t="inlineStr">
        <is>
          <t>Not found</t>
        </is>
      </c>
      <c r="M42" s="156" t="inlineStr">
        <is>
          <t>n/a</t>
        </is>
      </c>
      <c r="N42" s="156" t="inlineStr">
        <is>
          <t>Not identified</t>
        </is>
      </c>
      <c r="O42" s="156" t="inlineStr">
        <is>
          <t>Not identified</t>
        </is>
      </c>
      <c r="P42" s="156" t="inlineStr">
        <is>
          <t>Not published; phone only</t>
        </is>
      </c>
      <c r="Q42" s="156" t="inlineStr">
        <is>
          <t>Not found (use site)</t>
        </is>
      </c>
      <c r="R42" s="156" t="inlineStr">
        <is>
          <t>Not identified</t>
        </is>
      </c>
      <c r="S42" s="156" t="inlineStr">
        <is>
          <t>Company inquiry only (form); HQ Kawasaki (Asao), Kanagawa</t>
        </is>
      </c>
      <c r="T42" s="158">
        <f>SUM(Z42:AF42)</f>
        <v>21</v>
      </c>
      <c r="U42" s="160" t="inlineStr">
        <is>
          <t>V2</t>
        </is>
      </c>
      <c r="V42" s="156" t="inlineStr">
        <is>
          <t>Sells bovine and swine ultrasound to vets; experienced in large animal imaging. FLAG: Carries IMV imaging ultrasound (brand conflict). HQ not confirmed; a same name Tokyo promotion firm is a different company.</t>
        </is>
      </c>
      <c r="W42" s="156" t="inlineStr">
        <is>
          <t>Second source for affordable livestock portables (EBit 50).</t>
        </is>
      </c>
      <c r="X42" s="156" t="inlineStr">
        <is>
          <t>Not checked (human list not in v17)</t>
        </is>
      </c>
      <c r="Y42" s="156" t="inlineStr">
        <is>
          <t>https://frontier-intl.co.jp/product/tyouonpasindankilist/</t>
        </is>
      </c>
      <c r="Z42" s="156" t="n">
        <v>3</v>
      </c>
      <c r="AA42" s="156" t="n">
        <v>5</v>
      </c>
      <c r="AB42" s="156" t="n">
        <v>2</v>
      </c>
      <c r="AC42" s="156" t="n">
        <v>1</v>
      </c>
      <c r="AD42" s="156" t="n">
        <v>5</v>
      </c>
      <c r="AE42" s="156" t="n">
        <v>2</v>
      </c>
      <c r="AF42" s="156" t="n">
        <v>3</v>
      </c>
      <c r="AG42" s="156" t="inlineStr">
        <is>
          <t>Evidence backed</t>
        </is>
      </c>
    </row>
    <row r="43" ht="75" customHeight="1" s="114">
      <c r="A43" s="156" t="n">
        <v>39</v>
      </c>
      <c r="B43" s="156" t="inlineStr">
        <is>
          <t>Osada Medical Co., Ltd.</t>
        </is>
      </c>
      <c r="C43" s="156" t="inlineStr">
        <is>
          <t>株式会社オサダメディカル</t>
        </is>
      </c>
      <c r="D43" s="156" t="inlineStr">
        <is>
          <t>Not found (NTA lookup blocked; dedupe by Japanese name)</t>
        </is>
      </c>
      <c r="E43" s="156" t="inlineStr">
        <is>
          <t>Tokyo</t>
        </is>
      </c>
      <c r="F43" s="156" t="inlineStr">
        <is>
          <t>Kanto</t>
        </is>
      </c>
      <c r="G43" s="156" t="inlineStr">
        <is>
          <t>Not found</t>
        </is>
      </c>
      <c r="H43" s="156" t="inlineStr">
        <is>
          <t>Vet bone surgery, laser, dental, handheld X ray, tables, sterilisers (JAMO member)</t>
        </is>
      </c>
      <c r="I43" s="156" t="inlineStr">
        <is>
          <t>No ultrasound</t>
        </is>
      </c>
      <c r="J43" s="156" t="inlineStr">
        <is>
          <t>Companion</t>
        </is>
      </c>
      <c r="K43" s="156" t="inlineStr">
        <is>
          <t>Shinagawa, Tokyo; national</t>
        </is>
      </c>
      <c r="L43" s="156" t="inlineStr">
        <is>
          <t>Not found</t>
        </is>
      </c>
      <c r="M43" s="156" t="inlineStr">
        <is>
          <t>n/a</t>
        </is>
      </c>
      <c r="N43" s="156" t="inlineStr">
        <is>
          <t>Not identified</t>
        </is>
      </c>
      <c r="O43" s="156" t="inlineStr">
        <is>
          <t>Not identified</t>
        </is>
      </c>
      <c r="P43" s="156" t="inlineStr">
        <is>
          <t>Not published; phone only</t>
        </is>
      </c>
      <c r="Q43" s="156" t="inlineStr">
        <is>
          <t>Not found</t>
        </is>
      </c>
      <c r="R43" s="156" t="inlineStr">
        <is>
          <t>Not identified</t>
        </is>
      </c>
      <c r="S43" s="156" t="inlineStr">
        <is>
          <t>Unverified (no contact found in search)</t>
        </is>
      </c>
      <c r="T43" s="158">
        <f>SUM(Z43:AF43)</f>
        <v>21</v>
      </c>
      <c r="U43" s="160" t="inlineStr">
        <is>
          <t>V2</t>
        </is>
      </c>
      <c r="V43" s="156" t="inlineStr">
        <is>
          <t>Broad vet equipment catalogue including handheld X ray; imaging adjacent with no ultrasound.</t>
        </is>
      </c>
      <c r="W43" s="156" t="inlineStr">
        <is>
          <t>Add a portable ultrasound to their handheld X ray offer.</t>
        </is>
      </c>
      <c r="X43" s="156" t="inlineStr">
        <is>
          <t>Not checked (human list not in v17)</t>
        </is>
      </c>
      <c r="Y43" s="156" t="inlineStr">
        <is>
          <t>https://www.jamo.or.jp/member/</t>
        </is>
      </c>
      <c r="Z43" s="156" t="n">
        <v>3</v>
      </c>
      <c r="AA43" s="156" t="n">
        <v>2</v>
      </c>
      <c r="AB43" s="156" t="n">
        <v>5</v>
      </c>
      <c r="AC43" s="156" t="n">
        <v>4</v>
      </c>
      <c r="AD43" s="156" t="n">
        <v>1</v>
      </c>
      <c r="AE43" s="156" t="n">
        <v>3</v>
      </c>
      <c r="AF43" s="156" t="n">
        <v>3</v>
      </c>
      <c r="AG43" s="156" t="inlineStr">
        <is>
          <t>Evidence backed</t>
        </is>
      </c>
    </row>
    <row r="44" ht="75" customHeight="1" s="114">
      <c r="A44" s="156" t="n">
        <v>40</v>
      </c>
      <c r="B44" s="156" t="inlineStr">
        <is>
          <t>Cornes AG Ltd.</t>
        </is>
      </c>
      <c r="C44" s="156" t="inlineStr">
        <is>
          <t>コーンズ・エージー株式会社</t>
        </is>
      </c>
      <c r="D44" s="156" t="inlineStr">
        <is>
          <t>Not found (NTA lookup blocked; dedupe by Japanese name)</t>
        </is>
      </c>
      <c r="E44" s="156" t="inlineStr">
        <is>
          <t>Hokkaido</t>
        </is>
      </c>
      <c r="F44" s="156" t="inlineStr">
        <is>
          <t>Tohoku and Hokkaido</t>
        </is>
      </c>
      <c r="G44" s="157" t="inlineStr">
        <is>
          <t>https://www.cornesag.com</t>
        </is>
      </c>
      <c r="H44" s="156" t="inlineStr">
        <is>
          <t>Dairy equipment and herd monitoring (Afimilk); vet device licence not confirmed</t>
        </is>
      </c>
      <c r="I44" s="156" t="inlineStr">
        <is>
          <t>No ultrasound identified</t>
        </is>
      </c>
      <c r="J44" s="156" t="inlineStr">
        <is>
          <t>Large animal</t>
        </is>
      </c>
      <c r="K44" s="156" t="inlineStr">
        <is>
          <t>Hokkaido and dairy regions nationwide</t>
        </is>
      </c>
      <c r="L44" s="156" t="inlineStr">
        <is>
          <t>Not found</t>
        </is>
      </c>
      <c r="M44" s="156" t="inlineStr">
        <is>
          <t>n/a</t>
        </is>
      </c>
      <c r="N44" s="156" t="inlineStr">
        <is>
          <t>Not identified</t>
        </is>
      </c>
      <c r="O44" s="156" t="inlineStr">
        <is>
          <t>Not identified</t>
        </is>
      </c>
      <c r="P44" s="156" t="inlineStr">
        <is>
          <t>Not published; inquiry form: https://www.cornesag.com/inquiry/</t>
        </is>
      </c>
      <c r="Q44" s="156" t="inlineStr">
        <is>
          <t>0123 32 1452</t>
        </is>
      </c>
      <c r="R44" s="156" t="inlineStr">
        <is>
          <t>Not identified</t>
        </is>
      </c>
      <c r="S44" s="156" t="inlineStr">
        <is>
          <t>Company inquiry only (form)</t>
        </is>
      </c>
      <c r="T44" s="158">
        <f>SUM(Z44:AF44)</f>
        <v>21</v>
      </c>
      <c r="U44" s="160" t="inlineStr">
        <is>
          <t>V2</t>
        </is>
      </c>
      <c r="V44" s="156" t="inlineStr">
        <is>
          <t>Dairy technology dealer with service engineers on farms; repro monitoring customers also buy pregnancy scanners. FLAG: Vet device sales licence not confirmed.</t>
        </is>
      </c>
      <c r="W44" s="156" t="inlineStr">
        <is>
          <t>Bundle repro ultrasound with their heat detection systems.</t>
        </is>
      </c>
      <c r="X44" s="156" t="inlineStr">
        <is>
          <t>Not checked (human list not in v17)</t>
        </is>
      </c>
      <c r="Y44" s="156" t="inlineStr">
        <is>
          <t>https://www.cornesag.com/product/milking/breeding_management/afimilk_afiact/feature.html ; https://www.cornesag.com/inquiry/</t>
        </is>
      </c>
      <c r="Z44" s="156" t="n">
        <v>2</v>
      </c>
      <c r="AA44" s="156" t="n">
        <v>1</v>
      </c>
      <c r="AB44" s="156" t="n">
        <v>5</v>
      </c>
      <c r="AC44" s="156" t="n">
        <v>1</v>
      </c>
      <c r="AD44" s="156" t="n">
        <v>5</v>
      </c>
      <c r="AE44" s="156" t="n">
        <v>4</v>
      </c>
      <c r="AF44" s="156" t="n">
        <v>3</v>
      </c>
      <c r="AG44" s="156" t="inlineStr">
        <is>
          <t>Evidence backed</t>
        </is>
      </c>
    </row>
    <row r="45" ht="75" customHeight="1" s="114">
      <c r="A45" s="156" t="n">
        <v>41</v>
      </c>
      <c r="B45" s="156" t="inlineStr">
        <is>
          <t>Sakai Medical</t>
        </is>
      </c>
      <c r="C45" s="156" t="inlineStr">
        <is>
          <t>サカイ・メディカル</t>
        </is>
      </c>
      <c r="D45" s="156" t="inlineStr">
        <is>
          <t>Not found (NTA lookup blocked; dedupe by Japanese name)</t>
        </is>
      </c>
      <c r="E45" s="156" t="inlineStr">
        <is>
          <t>Niigata</t>
        </is>
      </c>
      <c r="F45" s="156" t="inlineStr">
        <is>
          <t>Chubu</t>
        </is>
      </c>
      <c r="G45" s="157" t="inlineStr">
        <is>
          <t>https://sakai-me.com/</t>
        </is>
      </c>
      <c r="H45" s="156" t="inlineStr">
        <is>
          <t>Vet device sales and opening support</t>
        </is>
      </c>
      <c r="I45" s="156" t="inlineStr">
        <is>
          <t>Not identified</t>
        </is>
      </c>
      <c r="J45" s="156" t="inlineStr">
        <is>
          <t>Companion</t>
        </is>
      </c>
      <c r="K45" s="156" t="inlineStr">
        <is>
          <t>Niigata</t>
        </is>
      </c>
      <c r="L45" s="156" t="inlineStr">
        <is>
          <t>Not found</t>
        </is>
      </c>
      <c r="M45" s="156" t="inlineStr">
        <is>
          <t>n/a</t>
        </is>
      </c>
      <c r="N45" s="156" t="inlineStr">
        <is>
          <t>Not identified</t>
        </is>
      </c>
      <c r="O45" s="156" t="inlineStr">
        <is>
          <t>Not identified</t>
        </is>
      </c>
      <c r="P45" s="156" t="inlineStr">
        <is>
          <t>Not published; phone only</t>
        </is>
      </c>
      <c r="Q45" s="156" t="inlineStr">
        <is>
          <t>025 387 2144</t>
        </is>
      </c>
      <c r="R45" s="156" t="inlineStr">
        <is>
          <t>Not identified</t>
        </is>
      </c>
      <c r="S45" s="156" t="inlineStr">
        <is>
          <t>Company inquiry only (form)</t>
        </is>
      </c>
      <c r="T45" s="158">
        <f>SUM(Z45:AF45)</f>
        <v>20</v>
      </c>
      <c r="U45" s="160" t="inlineStr">
        <is>
          <t>V2</t>
        </is>
      </c>
      <c r="V45" s="156" t="inlineStr">
        <is>
          <t>One of very few vet dedicated dealers in Niigata and Hokuriku.</t>
        </is>
      </c>
      <c r="W45" s="156" t="inlineStr">
        <is>
          <t>Exclusive Niigata coverage offer with demo stock.</t>
        </is>
      </c>
      <c r="X45" s="156" t="inlineStr">
        <is>
          <t>Not checked (human list not in v17)</t>
        </is>
      </c>
      <c r="Y45" s="156" t="inlineStr">
        <is>
          <t>https://sakai-me.com/</t>
        </is>
      </c>
      <c r="Z45" s="156" t="n">
        <v>3</v>
      </c>
      <c r="AA45" s="156" t="n">
        <v>2</v>
      </c>
      <c r="AB45" s="156" t="n">
        <v>4</v>
      </c>
      <c r="AC45" s="156" t="n">
        <v>4</v>
      </c>
      <c r="AD45" s="156" t="n">
        <v>2</v>
      </c>
      <c r="AE45" s="156" t="n">
        <v>2</v>
      </c>
      <c r="AF45" s="156" t="n">
        <v>3</v>
      </c>
      <c r="AG45" s="156" t="inlineStr">
        <is>
          <t>Evidence backed</t>
        </is>
      </c>
    </row>
    <row r="46" ht="75" customHeight="1" s="114">
      <c r="A46" s="156" t="n">
        <v>42</v>
      </c>
      <c r="B46" s="156" t="inlineStr">
        <is>
          <t>Shinmedico Co., Ltd.</t>
        </is>
      </c>
      <c r="C46" s="156" t="inlineStr">
        <is>
          <t>シンメディコ株式会社</t>
        </is>
      </c>
      <c r="D46" s="156" t="inlineStr">
        <is>
          <t>Not found (NTA lookup blocked; dedupe by Japanese name)</t>
        </is>
      </c>
      <c r="E46" s="156" t="inlineStr">
        <is>
          <t>Chiba</t>
        </is>
      </c>
      <c r="F46" s="156" t="inlineStr">
        <is>
          <t>Kanto</t>
        </is>
      </c>
      <c r="G46" s="157" t="inlineStr">
        <is>
          <t>https://shinmedico.jp/</t>
        </is>
      </c>
      <c r="H46" s="156" t="inlineStr">
        <is>
          <t>Imports and sells vet surgical instruments and devices</t>
        </is>
      </c>
      <c r="I46" s="156" t="inlineStr">
        <is>
          <t>Not identified</t>
        </is>
      </c>
      <c r="J46" s="156" t="inlineStr">
        <is>
          <t>Companion</t>
        </is>
      </c>
      <c r="K46" s="156" t="inlineStr">
        <is>
          <t>Chiba; national</t>
        </is>
      </c>
      <c r="L46" s="156" t="inlineStr">
        <is>
          <t>Not found</t>
        </is>
      </c>
      <c r="M46" s="156" t="inlineStr">
        <is>
          <t>n/a</t>
        </is>
      </c>
      <c r="N46" s="156" t="inlineStr">
        <is>
          <t>Not identified</t>
        </is>
      </c>
      <c r="O46" s="156" t="inlineStr">
        <is>
          <t>Not identified</t>
        </is>
      </c>
      <c r="P46" s="156" t="inlineStr">
        <is>
          <t>info@shinmedico.jp</t>
        </is>
      </c>
      <c r="Q46" s="156" t="inlineStr">
        <is>
          <t>047 369 7799</t>
        </is>
      </c>
      <c r="R46" s="156" t="inlineStr">
        <is>
          <t>Not identified</t>
        </is>
      </c>
      <c r="S46" s="156" t="inlineStr">
        <is>
          <t>Verified (published on own site, read via search)</t>
        </is>
      </c>
      <c r="T46" s="158">
        <f>SUM(Z46:AF46)</f>
        <v>20</v>
      </c>
      <c r="U46" s="160" t="inlineStr">
        <is>
          <t>V2</t>
        </is>
      </c>
      <c r="V46" s="156" t="inlineStr">
        <is>
          <t>Importer of vet surgical devices, so used to foreign makers and MAFF paperwork.</t>
        </is>
      </c>
      <c r="W46" s="156" t="inlineStr">
        <is>
          <t>Peri operative ultrasound as an imported add on line.</t>
        </is>
      </c>
      <c r="X46" s="156" t="inlineStr">
        <is>
          <t>Not checked (human list not in v17)</t>
        </is>
      </c>
      <c r="Y46" s="156" t="inlineStr">
        <is>
          <t>https://baseconnect.in/companies/prefecture/3420045f-8609-4232-9407-75407ae4e6e8/keyword/a68873de-8c54-4a2c-820f-e04c8b93064c ; https://shinmedico.jp/company/ ; https://shinmedico.jp/inquiry/</t>
        </is>
      </c>
      <c r="Z46" s="156" t="n">
        <v>3</v>
      </c>
      <c r="AA46" s="156" t="n">
        <v>1</v>
      </c>
      <c r="AB46" s="156" t="n">
        <v>5</v>
      </c>
      <c r="AC46" s="156" t="n">
        <v>4</v>
      </c>
      <c r="AD46" s="156" t="n">
        <v>1</v>
      </c>
      <c r="AE46" s="156" t="n">
        <v>2</v>
      </c>
      <c r="AF46" s="156" t="n">
        <v>4</v>
      </c>
      <c r="AG46" s="156" t="inlineStr">
        <is>
          <t>Evidence backed</t>
        </is>
      </c>
    </row>
    <row r="47" ht="75" customHeight="1" s="114">
      <c r="A47" s="156" t="n">
        <v>43</v>
      </c>
      <c r="B47" s="156" t="inlineStr">
        <is>
          <t>Asuka Medical Co., Ltd.</t>
        </is>
      </c>
      <c r="C47" s="156" t="inlineStr">
        <is>
          <t>飛鳥メディカル株式会社</t>
        </is>
      </c>
      <c r="D47" s="156" t="inlineStr">
        <is>
          <t>Not found (NTA lookup blocked; dedupe by Japanese name)</t>
        </is>
      </c>
      <c r="E47" s="156" t="inlineStr">
        <is>
          <t>Kyoto</t>
        </is>
      </c>
      <c r="F47" s="156" t="inlineStr">
        <is>
          <t>Kansai</t>
        </is>
      </c>
      <c r="G47" s="157" t="inlineStr">
        <is>
          <t>http://www.asuka-med.com</t>
        </is>
      </c>
      <c r="H47" s="156" t="inlineStr">
        <is>
          <t>Vet laser devices (JAMO member)</t>
        </is>
      </c>
      <c r="I47" s="156" t="inlineStr">
        <is>
          <t>Lasers; no ultrasound</t>
        </is>
      </c>
      <c r="J47" s="156" t="inlineStr">
        <is>
          <t>Both</t>
        </is>
      </c>
      <c r="K47" s="156" t="inlineStr">
        <is>
          <t>Kyoto; national</t>
        </is>
      </c>
      <c r="L47" s="156" t="inlineStr">
        <is>
          <t>Not found</t>
        </is>
      </c>
      <c r="M47" s="156" t="inlineStr">
        <is>
          <t>n/a</t>
        </is>
      </c>
      <c r="N47" s="156" t="inlineStr">
        <is>
          <t>Not identified</t>
        </is>
      </c>
      <c r="O47" s="156" t="inlineStr">
        <is>
          <t>Not identified</t>
        </is>
      </c>
      <c r="P47" s="156" t="inlineStr">
        <is>
          <t>Not published; phone only</t>
        </is>
      </c>
      <c r="Q47" s="156" t="inlineStr">
        <is>
          <t>075 777 6097</t>
        </is>
      </c>
      <c r="R47" s="156" t="inlineStr">
        <is>
          <t>Not identified</t>
        </is>
      </c>
      <c r="S47" s="156" t="inlineStr">
        <is>
          <t>Company inquiry only (form)</t>
        </is>
      </c>
      <c r="T47" s="158">
        <f>SUM(Z47:AF47)</f>
        <v>19</v>
      </c>
      <c r="U47" s="160" t="inlineStr">
        <is>
          <t>V2</t>
        </is>
      </c>
      <c r="V47" s="156" t="inlineStr">
        <is>
          <t>Laser maker and seller for small and large animals, sold through Medical Space; vet focused.</t>
        </is>
      </c>
      <c r="W47" s="156" t="inlineStr">
        <is>
          <t>Rehab and MSK: laser plus high frequency ultrasound.</t>
        </is>
      </c>
      <c r="X47" s="156" t="inlineStr">
        <is>
          <t>Not checked (human list not in v17)</t>
        </is>
      </c>
      <c r="Y47" s="156" t="inlineStr">
        <is>
          <t>https://www.jamo.or.jp/member/ ; https://medical-space.co.jp/products/manufacturer/%E9%A3%9B%E9%B3%A5%E3%83%A1%E3%83%87%E3%82%A3%E3%82%AB%E3%83%AB/</t>
        </is>
      </c>
      <c r="Z47" s="156" t="n">
        <v>3</v>
      </c>
      <c r="AA47" s="156" t="n">
        <v>1</v>
      </c>
      <c r="AB47" s="156" t="n">
        <v>5</v>
      </c>
      <c r="AC47" s="156" t="n">
        <v>3</v>
      </c>
      <c r="AD47" s="156" t="n">
        <v>2</v>
      </c>
      <c r="AE47" s="156" t="n">
        <v>2</v>
      </c>
      <c r="AF47" s="156" t="n">
        <v>3</v>
      </c>
      <c r="AG47" s="156" t="inlineStr">
        <is>
          <t>Evidence backed</t>
        </is>
      </c>
    </row>
    <row r="48" ht="75" customHeight="1" s="114">
      <c r="A48" s="156" t="n">
        <v>44</v>
      </c>
      <c r="B48" s="156" t="inlineStr">
        <is>
          <t>Atom Vets Medical Co., Ltd.</t>
        </is>
      </c>
      <c r="C48" s="156" t="inlineStr">
        <is>
          <t>株式会社アトムベッツメディカル</t>
        </is>
      </c>
      <c r="D48" s="156" t="inlineStr">
        <is>
          <t>Not found (NTA lookup blocked; dedupe by Japanese name)</t>
        </is>
      </c>
      <c r="E48" s="156" t="inlineStr">
        <is>
          <t>Kyoto</t>
        </is>
      </c>
      <c r="F48" s="156" t="inlineStr">
        <is>
          <t>Kansai</t>
        </is>
      </c>
      <c r="G48" s="156" t="inlineStr">
        <is>
          <t>Not found</t>
        </is>
      </c>
      <c r="H48" s="156" t="inlineStr">
        <is>
          <t>Vet device sales (JAMO member)</t>
        </is>
      </c>
      <c r="I48" s="156" t="inlineStr">
        <is>
          <t>Not identified</t>
        </is>
      </c>
      <c r="J48" s="156" t="inlineStr">
        <is>
          <t>Companion</t>
        </is>
      </c>
      <c r="K48" s="156" t="inlineStr">
        <is>
          <t>Kyoto, Kansai</t>
        </is>
      </c>
      <c r="L48" s="156" t="inlineStr">
        <is>
          <t>Not found</t>
        </is>
      </c>
      <c r="M48" s="156" t="inlineStr">
        <is>
          <t>n/a</t>
        </is>
      </c>
      <c r="N48" s="156" t="inlineStr">
        <is>
          <t>Not identified</t>
        </is>
      </c>
      <c r="O48" s="156" t="inlineStr">
        <is>
          <t>Not identified</t>
        </is>
      </c>
      <c r="P48" s="156" t="inlineStr">
        <is>
          <t>Not published; phone only</t>
        </is>
      </c>
      <c r="Q48" s="156" t="inlineStr">
        <is>
          <t>Not found</t>
        </is>
      </c>
      <c r="R48" s="156" t="inlineStr">
        <is>
          <t>Not identified</t>
        </is>
      </c>
      <c r="S48" s="156" t="inlineStr">
        <is>
          <t>Unverified (no contact found in search)</t>
        </is>
      </c>
      <c r="T48" s="158">
        <f>SUM(Z48:AF48)</f>
        <v>19</v>
      </c>
      <c r="U48" s="160" t="inlineStr">
        <is>
          <t>V2</t>
        </is>
      </c>
      <c r="V48" s="156" t="inlineStr">
        <is>
          <t>JAMO member whose business is introducing and selling devices to animal hospitals in Kyoto.</t>
        </is>
      </c>
      <c r="W48" s="156" t="inlineStr">
        <is>
          <t>Kansai partner for portable ultrasound with clinic demos.</t>
        </is>
      </c>
      <c r="X48" s="156" t="inlineStr">
        <is>
          <t>Not checked (human list not in v17)</t>
        </is>
      </c>
      <c r="Y48" s="156" t="inlineStr">
        <is>
          <t>https://www.jamo.or.jp/member/</t>
        </is>
      </c>
      <c r="Z48" s="156" t="n">
        <v>3</v>
      </c>
      <c r="AA48" s="156" t="n">
        <v>2</v>
      </c>
      <c r="AB48" s="156" t="n">
        <v>4</v>
      </c>
      <c r="AC48" s="156" t="n">
        <v>4</v>
      </c>
      <c r="AD48" s="156" t="n">
        <v>1</v>
      </c>
      <c r="AE48" s="156" t="n">
        <v>2</v>
      </c>
      <c r="AF48" s="156" t="n">
        <v>3</v>
      </c>
      <c r="AG48" s="156" t="inlineStr">
        <is>
          <t>Evidence backed</t>
        </is>
      </c>
    </row>
    <row r="49" ht="75" customHeight="1" s="114">
      <c r="A49" s="156" t="n">
        <v>45</v>
      </c>
      <c r="B49" s="156" t="inlineStr">
        <is>
          <t>Emar Ltd.</t>
        </is>
      </c>
      <c r="C49" s="156" t="inlineStr">
        <is>
          <t>エマール有限会社</t>
        </is>
      </c>
      <c r="D49" s="156" t="inlineStr">
        <is>
          <t>Not found (NTA lookup blocked; dedupe by Japanese name)</t>
        </is>
      </c>
      <c r="E49" s="156" t="inlineStr">
        <is>
          <t>Osaka</t>
        </is>
      </c>
      <c r="F49" s="156" t="inlineStr">
        <is>
          <t>Kansai</t>
        </is>
      </c>
      <c r="G49" s="156" t="inlineStr">
        <is>
          <t>Not found</t>
        </is>
      </c>
      <c r="H49" s="156" t="inlineStr">
        <is>
          <t>Vet device sales (listed under medical devices in JP PET NEWS industry map)</t>
        </is>
      </c>
      <c r="I49" s="156" t="inlineStr">
        <is>
          <t>Not identified</t>
        </is>
      </c>
      <c r="J49" s="156" t="inlineStr">
        <is>
          <t>Companion</t>
        </is>
      </c>
      <c r="K49" s="156" t="inlineStr">
        <is>
          <t>Toyonaka, Osaka</t>
        </is>
      </c>
      <c r="L49" s="156" t="inlineStr">
        <is>
          <t>Not found</t>
        </is>
      </c>
      <c r="M49" s="156" t="inlineStr">
        <is>
          <t>n/a</t>
        </is>
      </c>
      <c r="N49" s="156" t="inlineStr">
        <is>
          <t>Not identified</t>
        </is>
      </c>
      <c r="O49" s="156" t="inlineStr">
        <is>
          <t>Not identified</t>
        </is>
      </c>
      <c r="P49" s="156" t="inlineStr">
        <is>
          <t>Not published; phone only</t>
        </is>
      </c>
      <c r="Q49" s="156" t="inlineStr">
        <is>
          <t>06 6854 7607</t>
        </is>
      </c>
      <c r="R49" s="156" t="inlineStr">
        <is>
          <t>Not identified</t>
        </is>
      </c>
      <c r="S49" s="156" t="inlineStr">
        <is>
          <t>Company inquiry only (phone)</t>
        </is>
      </c>
      <c r="T49" s="158">
        <f>SUM(Z49:AF49)</f>
        <v>19</v>
      </c>
      <c r="U49" s="160" t="inlineStr">
        <is>
          <t>V2</t>
        </is>
      </c>
      <c r="V49" s="156" t="inlineStr">
        <is>
          <t>Osaka vet device company listed in the pet industry map; local coverage in north Osaka.</t>
        </is>
      </c>
      <c r="W49" s="156" t="inlineStr">
        <is>
          <t>Kansai sub dealer for SonoEye handhelds.</t>
        </is>
      </c>
      <c r="X49" s="156" t="inlineStr">
        <is>
          <t>Not checked (human list not in v17)</t>
        </is>
      </c>
      <c r="Y49" s="156" t="inlineStr">
        <is>
          <t>https://news.jprpet.com/company/list/175/</t>
        </is>
      </c>
      <c r="Z49" s="156" t="n">
        <v>3</v>
      </c>
      <c r="AA49" s="156" t="n">
        <v>2</v>
      </c>
      <c r="AB49" s="156" t="n">
        <v>4</v>
      </c>
      <c r="AC49" s="156" t="n">
        <v>4</v>
      </c>
      <c r="AD49" s="156" t="n">
        <v>1</v>
      </c>
      <c r="AE49" s="156" t="n">
        <v>2</v>
      </c>
      <c r="AF49" s="156" t="n">
        <v>3</v>
      </c>
      <c r="AG49" s="156" t="inlineStr">
        <is>
          <t>Evidence backed</t>
        </is>
      </c>
    </row>
    <row r="50" ht="75" customHeight="1" s="114">
      <c r="A50" s="156" t="n">
        <v>46</v>
      </c>
      <c r="B50" s="156" t="inlineStr">
        <is>
          <t>Flex Medical Co., Ltd.</t>
        </is>
      </c>
      <c r="C50" s="156" t="inlineStr">
        <is>
          <t>フレックスメディカル株式会社</t>
        </is>
      </c>
      <c r="D50" s="156" t="inlineStr">
        <is>
          <t>Not found (NTA lookup blocked; dedupe by Japanese name)</t>
        </is>
      </c>
      <c r="E50" s="156" t="inlineStr">
        <is>
          <t>Osaka</t>
        </is>
      </c>
      <c r="F50" s="156" t="inlineStr">
        <is>
          <t>Kansai</t>
        </is>
      </c>
      <c r="G50" s="157" t="inlineStr">
        <is>
          <t>https://www.flexmedical.jp/</t>
        </is>
      </c>
      <c r="H50" s="156" t="inlineStr">
        <is>
          <t>Medical instruments and equipment sales to animal hospitals (JAMO member)</t>
        </is>
      </c>
      <c r="I50" s="156" t="inlineStr">
        <is>
          <t>Not identified</t>
        </is>
      </c>
      <c r="J50" s="156" t="inlineStr">
        <is>
          <t>Companion</t>
        </is>
      </c>
      <c r="K50" s="156" t="inlineStr">
        <is>
          <t>Osaka</t>
        </is>
      </c>
      <c r="L50" s="156" t="inlineStr">
        <is>
          <t>Not found</t>
        </is>
      </c>
      <c r="M50" s="156" t="inlineStr">
        <is>
          <t>n/a</t>
        </is>
      </c>
      <c r="N50" s="156" t="inlineStr">
        <is>
          <t>Not identified</t>
        </is>
      </c>
      <c r="O50" s="156" t="inlineStr">
        <is>
          <t>Not identified</t>
        </is>
      </c>
      <c r="P50" s="156" t="inlineStr">
        <is>
          <t>Not published; inquiry form: https://www.flexmedical.jp/contact.html</t>
        </is>
      </c>
      <c r="Q50" s="156" t="inlineStr">
        <is>
          <t>06 6762 2678</t>
        </is>
      </c>
      <c r="R50" s="156" t="inlineStr">
        <is>
          <t>Not identified</t>
        </is>
      </c>
      <c r="S50" s="156" t="inlineStr">
        <is>
          <t>Company inquiry only (form)</t>
        </is>
      </c>
      <c r="T50" s="158">
        <f>SUM(Z50:AF50)</f>
        <v>19</v>
      </c>
      <c r="U50" s="160" t="inlineStr">
        <is>
          <t>V2</t>
        </is>
      </c>
      <c r="V50" s="156" t="inlineStr">
        <is>
          <t>Osaka trading company describing itself as an animal hospital equipment dealer.</t>
        </is>
      </c>
      <c r="W50" s="156" t="inlineStr">
        <is>
          <t>Kansai dealer trial with demo unit.</t>
        </is>
      </c>
      <c r="X50" s="156" t="inlineStr">
        <is>
          <t>Not checked (human list not in v17)</t>
        </is>
      </c>
      <c r="Y50" s="156" t="inlineStr">
        <is>
          <t>https://www.jamo.or.jp/member/ ; https://www.flexmedical.jp/contact.html</t>
        </is>
      </c>
      <c r="Z50" s="156" t="n">
        <v>3</v>
      </c>
      <c r="AA50" s="156" t="n">
        <v>2</v>
      </c>
      <c r="AB50" s="156" t="n">
        <v>4</v>
      </c>
      <c r="AC50" s="156" t="n">
        <v>4</v>
      </c>
      <c r="AD50" s="156" t="n">
        <v>1</v>
      </c>
      <c r="AE50" s="156" t="n">
        <v>2</v>
      </c>
      <c r="AF50" s="156" t="n">
        <v>3</v>
      </c>
      <c r="AG50" s="156" t="inlineStr">
        <is>
          <t>Evidence backed</t>
        </is>
      </c>
    </row>
    <row r="51" ht="75" customHeight="1" s="114">
      <c r="A51" s="156" t="n">
        <v>47</v>
      </c>
      <c r="B51" s="156" t="inlineStr">
        <is>
          <t>Kind Co., Ltd.</t>
        </is>
      </c>
      <c r="C51" s="156" t="inlineStr">
        <is>
          <t>株式会社カインド</t>
        </is>
      </c>
      <c r="D51" s="156" t="inlineStr">
        <is>
          <t>Not found (NTA lookup blocked; dedupe by Japanese name)</t>
        </is>
      </c>
      <c r="E51" s="156" t="inlineStr">
        <is>
          <t>Kanagawa</t>
        </is>
      </c>
      <c r="F51" s="156" t="inlineStr">
        <is>
          <t>Kanto</t>
        </is>
      </c>
      <c r="G51" s="157" t="inlineStr">
        <is>
          <t>https://kind-medical.co.jp/</t>
        </is>
      </c>
      <c r="H51" s="156" t="inlineStr">
        <is>
          <t>Vet devices and consumables sales</t>
        </is>
      </c>
      <c r="I51" s="156" t="inlineStr">
        <is>
          <t>Not identified</t>
        </is>
      </c>
      <c r="J51" s="156" t="inlineStr">
        <is>
          <t>Companion</t>
        </is>
      </c>
      <c r="K51" s="156" t="inlineStr">
        <is>
          <t>Yokohama (Tsuzuki)</t>
        </is>
      </c>
      <c r="L51" s="156" t="inlineStr">
        <is>
          <t>Not found</t>
        </is>
      </c>
      <c r="M51" s="156" t="inlineStr">
        <is>
          <t>n/a</t>
        </is>
      </c>
      <c r="N51" s="156" t="inlineStr">
        <is>
          <t>Not identified</t>
        </is>
      </c>
      <c r="O51" s="156" t="inlineStr">
        <is>
          <t>Not identified</t>
        </is>
      </c>
      <c r="P51" s="156" t="inlineStr">
        <is>
          <t>info@kind-medical.co.jp</t>
        </is>
      </c>
      <c r="Q51" s="156" t="inlineStr">
        <is>
          <t>045 548 9195</t>
        </is>
      </c>
      <c r="R51" s="156" t="inlineStr">
        <is>
          <t>Not identified</t>
        </is>
      </c>
      <c r="S51" s="156" t="inlineStr">
        <is>
          <t>Verified (published on own site, read via search)</t>
        </is>
      </c>
      <c r="T51" s="158">
        <f>SUM(Z51:AF51)</f>
        <v>19</v>
      </c>
      <c r="U51" s="160" t="inlineStr">
        <is>
          <t>V2</t>
        </is>
      </c>
      <c r="V51" s="156" t="inlineStr">
        <is>
          <t>Specialises in animal hospitals in Yokohama, from needles to large equipment, plus clinic opening support.</t>
        </is>
      </c>
      <c r="W51" s="156" t="inlineStr">
        <is>
          <t>Opening support bundle with portable ultrasound.</t>
        </is>
      </c>
      <c r="X51" s="156" t="inlineStr">
        <is>
          <t>Not checked (human list not in v17)</t>
        </is>
      </c>
      <c r="Y51" s="156" t="inlineStr">
        <is>
          <t>https://kind-medical.co.jp/ ; https://kind-medical.co.jp/company/ ; https://kind-medical.co.jp/contact/</t>
        </is>
      </c>
      <c r="Z51" s="156" t="n">
        <v>3</v>
      </c>
      <c r="AA51" s="156" t="n">
        <v>2</v>
      </c>
      <c r="AB51" s="156" t="n">
        <v>4</v>
      </c>
      <c r="AC51" s="156" t="n">
        <v>4</v>
      </c>
      <c r="AD51" s="156" t="n">
        <v>1</v>
      </c>
      <c r="AE51" s="156" t="n">
        <v>2</v>
      </c>
      <c r="AF51" s="156" t="n">
        <v>3</v>
      </c>
      <c r="AG51" s="156" t="inlineStr">
        <is>
          <t>Evidence backed</t>
        </is>
      </c>
    </row>
    <row r="52" ht="75" customHeight="1" s="114">
      <c r="A52" s="156" t="n">
        <v>48</v>
      </c>
      <c r="B52" s="156" t="inlineStr">
        <is>
          <t>M Cast Co., Ltd.</t>
        </is>
      </c>
      <c r="C52" s="156" t="inlineStr">
        <is>
          <t>エム・キャスト株式会社</t>
        </is>
      </c>
      <c r="D52" s="156" t="inlineStr">
        <is>
          <t>Not found (NTA lookup blocked; dedupe by Japanese name)</t>
        </is>
      </c>
      <c r="E52" s="156" t="inlineStr">
        <is>
          <t>Tokyo</t>
        </is>
      </c>
      <c r="F52" s="156" t="inlineStr">
        <is>
          <t>Kanto</t>
        </is>
      </c>
      <c r="G52" s="157" t="inlineStr">
        <is>
          <t>https://www.e-mcast.co.jp</t>
        </is>
      </c>
      <c r="H52" s="156" t="inlineStr">
        <is>
          <t>Used and new equipment; dedicated animal hospital category (Mitsubishi HC Capital group)</t>
        </is>
      </c>
      <c r="I52" s="156" t="inlineStr">
        <is>
          <t>Used multi brand incl. vet ultrasound</t>
        </is>
      </c>
      <c r="J52" s="156" t="inlineStr">
        <is>
          <t>Companion</t>
        </is>
      </c>
      <c r="K52" s="156" t="inlineStr">
        <is>
          <t>National</t>
        </is>
      </c>
      <c r="L52" s="156" t="inlineStr">
        <is>
          <t>Mitsubishi HC Capital group</t>
        </is>
      </c>
      <c r="M52" s="156" t="inlineStr">
        <is>
          <t>n/a</t>
        </is>
      </c>
      <c r="N52" s="156" t="inlineStr">
        <is>
          <t>Not identified</t>
        </is>
      </c>
      <c r="O52" s="156" t="inlineStr">
        <is>
          <t>Not identified</t>
        </is>
      </c>
      <c r="P52" s="156" t="inlineStr">
        <is>
          <t>info@e-mcast.co.jp</t>
        </is>
      </c>
      <c r="Q52" s="156" t="inlineStr">
        <is>
          <t>03 6675 9617</t>
        </is>
      </c>
      <c r="R52" s="156" t="inlineStr">
        <is>
          <t>Not identified</t>
        </is>
      </c>
      <c r="S52" s="156" t="inlineStr">
        <is>
          <t>Verified (published on own site, read via search)</t>
        </is>
      </c>
      <c r="T52" s="158">
        <f>SUM(Z52:AF52)</f>
        <v>19</v>
      </c>
      <c r="U52" s="160" t="inlineStr">
        <is>
          <t>V2</t>
        </is>
      </c>
      <c r="V52" s="156" t="inlineStr">
        <is>
          <t>Runs a dedicated animal hospital equipment section with ultrasound, X ray and CT, and leasing capability.</t>
        </is>
      </c>
      <c r="W52" s="156" t="inlineStr">
        <is>
          <t>Leasing friendly new units for clinic openings.</t>
        </is>
      </c>
      <c r="X52" s="156" t="inlineStr">
        <is>
          <t>Not checked (human list not in v17)</t>
        </is>
      </c>
      <c r="Y52" s="156" t="inlineStr">
        <is>
          <t>https://www.e-mcast.co.jp/shop/r/rdoubutsu/ ; https://www.e-mcast.co.jp/shop/secure/method_index.aspx</t>
        </is>
      </c>
      <c r="Z52" s="156" t="n">
        <v>2</v>
      </c>
      <c r="AA52" s="156" t="n">
        <v>4</v>
      </c>
      <c r="AB52" s="156" t="n">
        <v>3</v>
      </c>
      <c r="AC52" s="156" t="n">
        <v>3</v>
      </c>
      <c r="AD52" s="156" t="n">
        <v>1</v>
      </c>
      <c r="AE52" s="156" t="n">
        <v>3</v>
      </c>
      <c r="AF52" s="156" t="n">
        <v>3</v>
      </c>
      <c r="AG52" s="156" t="inlineStr">
        <is>
          <t>Evidence backed</t>
        </is>
      </c>
    </row>
    <row r="53" ht="75" customHeight="1" s="114">
      <c r="A53" s="156" t="n">
        <v>49</v>
      </c>
      <c r="B53" s="156" t="inlineStr">
        <is>
          <t>Meiyu Co., Ltd.</t>
        </is>
      </c>
      <c r="C53" s="156" t="inlineStr">
        <is>
          <t>株式会社名優</t>
        </is>
      </c>
      <c r="D53" s="156" t="inlineStr">
        <is>
          <t>Not found (NTA lookup blocked; dedupe by Japanese name)</t>
        </is>
      </c>
      <c r="E53" s="156" t="inlineStr">
        <is>
          <t>Chiba</t>
        </is>
      </c>
      <c r="F53" s="156" t="inlineStr">
        <is>
          <t>Kanto</t>
        </is>
      </c>
      <c r="G53" s="157" t="inlineStr">
        <is>
          <t>https://meilleur.co.jp/</t>
        </is>
      </c>
      <c r="H53" s="156" t="inlineStr">
        <is>
          <t>Imports unique EU and US devices; JAMO member</t>
        </is>
      </c>
      <c r="I53" s="156" t="inlineStr">
        <is>
          <t>Not identified</t>
        </is>
      </c>
      <c r="J53" s="156" t="inlineStr">
        <is>
          <t>Companion</t>
        </is>
      </c>
      <c r="K53" s="156" t="inlineStr">
        <is>
          <t>Yachiyo, Chiba</t>
        </is>
      </c>
      <c r="L53" s="156" t="inlineStr">
        <is>
          <t>Not found</t>
        </is>
      </c>
      <c r="M53" s="156" t="inlineStr">
        <is>
          <t>n/a</t>
        </is>
      </c>
      <c r="N53" s="156" t="inlineStr">
        <is>
          <t>Not identified</t>
        </is>
      </c>
      <c r="O53" s="156" t="inlineStr">
        <is>
          <t>Not identified</t>
        </is>
      </c>
      <c r="P53" s="156" t="inlineStr">
        <is>
          <t>Not published; inquiry form: https://meilleur.co.jp/contact/</t>
        </is>
      </c>
      <c r="Q53" s="156" t="inlineStr">
        <is>
          <t>047 480 6161</t>
        </is>
      </c>
      <c r="R53" s="156" t="inlineStr">
        <is>
          <t>Not identified</t>
        </is>
      </c>
      <c r="S53" s="156" t="inlineStr">
        <is>
          <t>Company inquiry only (form)</t>
        </is>
      </c>
      <c r="T53" s="158">
        <f>SUM(Z53:AF53)</f>
        <v>19</v>
      </c>
      <c r="U53" s="160" t="inlineStr">
        <is>
          <t>V2</t>
        </is>
      </c>
      <c r="V53" s="156" t="inlineStr">
        <is>
          <t>Importer in the vet device association, open to foreign brands.</t>
        </is>
      </c>
      <c r="W53" s="156" t="inlineStr">
        <is>
          <t>Introduce CHISON as an OEM grade portable.</t>
        </is>
      </c>
      <c r="X53" s="156" t="inlineStr">
        <is>
          <t>Not checked (human list not in v17)</t>
        </is>
      </c>
      <c r="Y53" s="156" t="inlineStr">
        <is>
          <t>https://www.jamo.or.jp/member/ ; https://meilleur.co.jp/contact/</t>
        </is>
      </c>
      <c r="Z53" s="156" t="n">
        <v>3</v>
      </c>
      <c r="AA53" s="156" t="n">
        <v>1</v>
      </c>
      <c r="AB53" s="156" t="n">
        <v>5</v>
      </c>
      <c r="AC53" s="156" t="n">
        <v>3</v>
      </c>
      <c r="AD53" s="156" t="n">
        <v>1</v>
      </c>
      <c r="AE53" s="156" t="n">
        <v>2</v>
      </c>
      <c r="AF53" s="156" t="n">
        <v>4</v>
      </c>
      <c r="AG53" s="156" t="inlineStr">
        <is>
          <t>Evidence backed</t>
        </is>
      </c>
    </row>
    <row r="54" ht="75" customHeight="1" s="114">
      <c r="A54" s="156" t="n">
        <v>50</v>
      </c>
      <c r="B54" s="156" t="inlineStr">
        <is>
          <t>Nihon Iryo Co., Ltd.</t>
        </is>
      </c>
      <c r="C54" s="156" t="inlineStr">
        <is>
          <t>日本医療株式会社</t>
        </is>
      </c>
      <c r="D54" s="156" t="inlineStr">
        <is>
          <t>Not found (NTA lookup blocked; dedupe by Japanese name)</t>
        </is>
      </c>
      <c r="E54" s="156" t="inlineStr">
        <is>
          <t>Tokyo</t>
        </is>
      </c>
      <c r="F54" s="156" t="inlineStr">
        <is>
          <t>Kanto</t>
        </is>
      </c>
      <c r="G54" s="157" t="inlineStr">
        <is>
          <t>http://www.nihoniryo.co.jp/</t>
        </is>
      </c>
      <c r="H54" s="156" t="inlineStr">
        <is>
          <t>Vet device sales (JP PET NEWS medical device category)</t>
        </is>
      </c>
      <c r="I54" s="156" t="inlineStr">
        <is>
          <t>Not identified</t>
        </is>
      </c>
      <c r="J54" s="156" t="inlineStr">
        <is>
          <t>Companion</t>
        </is>
      </c>
      <c r="K54" s="156" t="inlineStr">
        <is>
          <t>Setagaya, Tokyo</t>
        </is>
      </c>
      <c r="L54" s="156" t="inlineStr">
        <is>
          <t>Not found</t>
        </is>
      </c>
      <c r="M54" s="156" t="inlineStr">
        <is>
          <t>n/a</t>
        </is>
      </c>
      <c r="N54" s="156" t="inlineStr">
        <is>
          <t>Not identified</t>
        </is>
      </c>
      <c r="O54" s="156" t="inlineStr">
        <is>
          <t>Not identified</t>
        </is>
      </c>
      <c r="P54" s="156" t="inlineStr">
        <is>
          <t>Not published; phone only</t>
        </is>
      </c>
      <c r="Q54" s="156" t="inlineStr">
        <is>
          <t>03 3416 7511</t>
        </is>
      </c>
      <c r="R54" s="156" t="inlineStr">
        <is>
          <t>Not identified</t>
        </is>
      </c>
      <c r="S54" s="156" t="inlineStr">
        <is>
          <t>Company inquiry only (phone)</t>
        </is>
      </c>
      <c r="T54" s="158">
        <f>SUM(Z54:AF54)</f>
        <v>19</v>
      </c>
      <c r="U54" s="160" t="inlineStr">
        <is>
          <t>V2</t>
        </is>
      </c>
      <c r="V54" s="156" t="inlineStr">
        <is>
          <t>Tokyo vet device company in the pet industry map; Setagaya is dense in animal hospitals.</t>
        </is>
      </c>
      <c r="W54" s="156" t="inlineStr">
        <is>
          <t>Tokyo west sub dealer.</t>
        </is>
      </c>
      <c r="X54" s="156" t="inlineStr">
        <is>
          <t>Not checked (human list not in v17)</t>
        </is>
      </c>
      <c r="Y54" s="156" t="inlineStr">
        <is>
          <t>https://news.jprpet.com/company/list/175/</t>
        </is>
      </c>
      <c r="Z54" s="156" t="n">
        <v>3</v>
      </c>
      <c r="AA54" s="156" t="n">
        <v>2</v>
      </c>
      <c r="AB54" s="156" t="n">
        <v>4</v>
      </c>
      <c r="AC54" s="156" t="n">
        <v>4</v>
      </c>
      <c r="AD54" s="156" t="n">
        <v>1</v>
      </c>
      <c r="AE54" s="156" t="n">
        <v>2</v>
      </c>
      <c r="AF54" s="156" t="n">
        <v>3</v>
      </c>
      <c r="AG54" s="156" t="inlineStr">
        <is>
          <t>Evidence backed</t>
        </is>
      </c>
    </row>
    <row r="55" ht="75" customHeight="1" s="114">
      <c r="A55" s="156" t="n">
        <v>51</v>
      </c>
      <c r="B55" s="156" t="inlineStr">
        <is>
          <t>Vet Partners Co., Ltd.</t>
        </is>
      </c>
      <c r="C55" s="156" t="inlineStr">
        <is>
          <t>株式会社ベットパートナーズ</t>
        </is>
      </c>
      <c r="D55" s="156" t="inlineStr">
        <is>
          <t>Not found (NTA lookup blocked; dedupe by Japanese name)</t>
        </is>
      </c>
      <c r="E55" s="156" t="inlineStr">
        <is>
          <t>Tokyo</t>
        </is>
      </c>
      <c r="F55" s="156" t="inlineStr">
        <is>
          <t>Kanto</t>
        </is>
      </c>
      <c r="G55" s="157" t="inlineStr">
        <is>
          <t>https://www.vetpartners.co.jp/</t>
        </is>
      </c>
      <c r="H55" s="156" t="inlineStr">
        <is>
          <t>Device and software sales to animal hospitals (job ad)</t>
        </is>
      </c>
      <c r="I55" s="156" t="inlineStr">
        <is>
          <t>Not identified</t>
        </is>
      </c>
      <c r="J55" s="156" t="inlineStr">
        <is>
          <t>Companion</t>
        </is>
      </c>
      <c r="K55" s="156" t="inlineStr">
        <is>
          <t>Nagareyama, Chiba</t>
        </is>
      </c>
      <c r="L55" s="156" t="inlineStr">
        <is>
          <t>Not found</t>
        </is>
      </c>
      <c r="M55" s="156" t="inlineStr">
        <is>
          <t>n/a</t>
        </is>
      </c>
      <c r="N55" s="156" t="inlineStr">
        <is>
          <t>Not identified</t>
        </is>
      </c>
      <c r="O55" s="156" t="inlineStr">
        <is>
          <t>Not identified</t>
        </is>
      </c>
      <c r="P55" s="156" t="inlineStr">
        <is>
          <t>Not published; inquiry form: https://www.vetpartners.co.jp/contact/</t>
        </is>
      </c>
      <c r="Q55" s="156" t="inlineStr">
        <is>
          <t>03 6673 4135</t>
        </is>
      </c>
      <c r="R55" s="156" t="inlineStr">
        <is>
          <t>Not identified</t>
        </is>
      </c>
      <c r="S55" s="156" t="inlineStr">
        <is>
          <t>Company inquiry only (form)</t>
        </is>
      </c>
      <c r="T55" s="158">
        <f>SUM(Z55:AF55)</f>
        <v>19</v>
      </c>
      <c r="U55" s="160" t="inlineStr">
        <is>
          <t>V2</t>
        </is>
      </c>
      <c r="V55" s="156" t="inlineStr">
        <is>
          <t>Hiring sales staff to sell devices and software to animal hospitals, signalling expansion.</t>
        </is>
      </c>
      <c r="W55" s="156" t="inlineStr">
        <is>
          <t>Growth line: portable ultrasound.</t>
        </is>
      </c>
      <c r="X55" s="156" t="inlineStr">
        <is>
          <t>Not checked (human list not in v17)</t>
        </is>
      </c>
      <c r="Y55" s="156" t="inlineStr">
        <is>
          <t>https://www.rdsupport-tenshoku.jp/search/JOB40843 ; https://www.vetpartners.co.jp/ ; https://www.vetpartners.co.jp/contact/</t>
        </is>
      </c>
      <c r="Z55" s="156" t="n">
        <v>3</v>
      </c>
      <c r="AA55" s="156" t="n">
        <v>2</v>
      </c>
      <c r="AB55" s="156" t="n">
        <v>4</v>
      </c>
      <c r="AC55" s="156" t="n">
        <v>4</v>
      </c>
      <c r="AD55" s="156" t="n">
        <v>1</v>
      </c>
      <c r="AE55" s="156" t="n">
        <v>2</v>
      </c>
      <c r="AF55" s="156" t="n">
        <v>3</v>
      </c>
      <c r="AG55" s="156" t="inlineStr">
        <is>
          <t>Evidence backed</t>
        </is>
      </c>
    </row>
    <row r="56" ht="75" customHeight="1" s="114">
      <c r="A56" s="156" t="n">
        <v>52</v>
      </c>
      <c r="B56" s="156" t="inlineStr">
        <is>
          <t>Animal Pharmacy</t>
        </is>
      </c>
      <c r="C56" s="156" t="inlineStr">
        <is>
          <t>アニマルファーマシー</t>
        </is>
      </c>
      <c r="D56" s="156" t="inlineStr">
        <is>
          <t>Not found (NTA lookup blocked; dedupe by Japanese name)</t>
        </is>
      </c>
      <c r="E56" s="156" t="inlineStr">
        <is>
          <t>Kanagawa</t>
        </is>
      </c>
      <c r="F56" s="156" t="inlineStr">
        <is>
          <t>Kanto</t>
        </is>
      </c>
      <c r="G56" s="157" t="inlineStr">
        <is>
          <t>https://www.animalpharmacy.jp/</t>
        </is>
      </c>
      <c r="H56" s="156" t="inlineStr">
        <is>
          <t>Import agency for vets' personal imports of drugs and devices</t>
        </is>
      </c>
      <c r="I56" s="156" t="inlineStr">
        <is>
          <t>Not identified</t>
        </is>
      </c>
      <c r="J56" s="156" t="inlineStr">
        <is>
          <t>Companion</t>
        </is>
      </c>
      <c r="K56" s="156" t="inlineStr">
        <is>
          <t>National online</t>
        </is>
      </c>
      <c r="L56" s="156" t="inlineStr">
        <is>
          <t>Not found</t>
        </is>
      </c>
      <c r="M56" s="156" t="inlineStr">
        <is>
          <t>n/a</t>
        </is>
      </c>
      <c r="N56" s="156" t="inlineStr">
        <is>
          <t>Not identified</t>
        </is>
      </c>
      <c r="O56" s="156" t="inlineStr">
        <is>
          <t>Not identified</t>
        </is>
      </c>
      <c r="P56" s="156" t="inlineStr">
        <is>
          <t>Not published; inquiry form: https://www.animalpharmacy.jp/contact/</t>
        </is>
      </c>
      <c r="Q56" s="156" t="inlineStr">
        <is>
          <t>045 900 9719</t>
        </is>
      </c>
      <c r="R56" s="156" t="inlineStr">
        <is>
          <t>Not identified</t>
        </is>
      </c>
      <c r="S56" s="156" t="inlineStr">
        <is>
          <t>Company inquiry only (form); operator Animal Pharmacy 合同会社, Yokohama</t>
        </is>
      </c>
      <c r="T56" s="158">
        <f>SUM(Z56:AF56)</f>
        <v>18</v>
      </c>
      <c r="U56" s="160" t="inlineStr">
        <is>
          <t>V2</t>
        </is>
      </c>
      <c r="V56" s="156" t="inlineStr">
        <is>
          <t>Specialist in getting foreign vet products to Japanese vets. FLAG: Personal import agency, not a full distributor.</t>
        </is>
      </c>
      <c r="W56" s="156" t="inlineStr">
        <is>
          <t>Interim route for KOL evaluation units only.</t>
        </is>
      </c>
      <c r="X56" s="156" t="inlineStr">
        <is>
          <t>Not checked (human list not in v17)</t>
        </is>
      </c>
      <c r="Y56" s="156" t="inlineStr">
        <is>
          <t>https://www.animalpharmacy.jp/ ; https://www.animalpharmacy.jp/contact/</t>
        </is>
      </c>
      <c r="Z56" s="156" t="n">
        <v>2</v>
      </c>
      <c r="AA56" s="156" t="n">
        <v>1</v>
      </c>
      <c r="AB56" s="156" t="n">
        <v>5</v>
      </c>
      <c r="AC56" s="156" t="n">
        <v>3</v>
      </c>
      <c r="AD56" s="156" t="n">
        <v>1</v>
      </c>
      <c r="AE56" s="156" t="n">
        <v>1</v>
      </c>
      <c r="AF56" s="156" t="n">
        <v>5</v>
      </c>
      <c r="AG56" s="156" t="inlineStr">
        <is>
          <t>Evidence backed</t>
        </is>
      </c>
    </row>
    <row r="57" ht="75" customHeight="1" s="114">
      <c r="A57" s="156" t="n">
        <v>53</v>
      </c>
      <c r="B57" s="156" t="inlineStr">
        <is>
          <t>Arrows Healthcare Co., Ltd.</t>
        </is>
      </c>
      <c r="C57" s="156" t="inlineStr">
        <is>
          <t>株式会社アローズヘルスケア</t>
        </is>
      </c>
      <c r="D57" s="156" t="inlineStr">
        <is>
          <t>Not found (NTA lookup blocked; dedupe by Japanese name)</t>
        </is>
      </c>
      <c r="E57" s="156" t="inlineStr">
        <is>
          <t>Tokyo</t>
        </is>
      </c>
      <c r="F57" s="156" t="inlineStr">
        <is>
          <t>Kanto</t>
        </is>
      </c>
      <c r="G57" s="157" t="inlineStr">
        <is>
          <t>https://arrows-healthcare.com</t>
        </is>
      </c>
      <c r="H57" s="156" t="inlineStr">
        <is>
          <t>Used medical equipment; lists vet ultrasound with 3 probes</t>
        </is>
      </c>
      <c r="I57" s="156" t="inlineStr">
        <is>
          <t>Used multi brand</t>
        </is>
      </c>
      <c r="J57" s="156" t="inlineStr">
        <is>
          <t>Companion</t>
        </is>
      </c>
      <c r="K57" s="156" t="inlineStr">
        <is>
          <t>National</t>
        </is>
      </c>
      <c r="L57" s="156" t="inlineStr">
        <is>
          <t>Not found</t>
        </is>
      </c>
      <c r="M57" s="156" t="inlineStr">
        <is>
          <t>n/a</t>
        </is>
      </c>
      <c r="N57" s="156" t="inlineStr">
        <is>
          <t>Not identified</t>
        </is>
      </c>
      <c r="O57" s="156" t="inlineStr">
        <is>
          <t>Not identified</t>
        </is>
      </c>
      <c r="P57" s="156" t="inlineStr">
        <is>
          <t>Not published; inquiry form: https://arrows-healthcare.com/inquiry</t>
        </is>
      </c>
      <c r="Q57" s="156" t="inlineStr">
        <is>
          <t>03 6658 4170</t>
        </is>
      </c>
      <c r="R57" s="156" t="inlineStr">
        <is>
          <t>Not identified</t>
        </is>
      </c>
      <c r="S57" s="156" t="inlineStr">
        <is>
          <t>Company inquiry only (form)</t>
        </is>
      </c>
      <c r="T57" s="158">
        <f>SUM(Z57:AF57)</f>
        <v>18</v>
      </c>
      <c r="U57" s="160" t="inlineStr">
        <is>
          <t>V2</t>
        </is>
      </c>
      <c r="V57" s="156" t="inlineStr">
        <is>
          <t>Used equipment dealer actively listing vet ultrasound; reaches price sensitive clinics.</t>
        </is>
      </c>
      <c r="W57" s="156" t="inlineStr">
        <is>
          <t>New entry tier units against used stock.</t>
        </is>
      </c>
      <c r="X57" s="156" t="inlineStr">
        <is>
          <t>Not checked (human list not in v17)</t>
        </is>
      </c>
      <c r="Y57" s="156" t="inlineStr">
        <is>
          <t>https://arrows-healthcare.com/product/product_list?ccd=1017 ; https://2ndlabo.com/M530/ ; https://arrows-healthcare.com/inquiry</t>
        </is>
      </c>
      <c r="Z57" s="156" t="n">
        <v>2</v>
      </c>
      <c r="AA57" s="156" t="n">
        <v>4</v>
      </c>
      <c r="AB57" s="156" t="n">
        <v>3</v>
      </c>
      <c r="AC57" s="156" t="n">
        <v>3</v>
      </c>
      <c r="AD57" s="156" t="n">
        <v>1</v>
      </c>
      <c r="AE57" s="156" t="n">
        <v>2</v>
      </c>
      <c r="AF57" s="156" t="n">
        <v>3</v>
      </c>
      <c r="AG57" s="156" t="inlineStr">
        <is>
          <t>Evidence backed</t>
        </is>
      </c>
    </row>
    <row r="58" ht="75" customHeight="1" s="114">
      <c r="A58" s="156" t="n">
        <v>54</v>
      </c>
      <c r="B58" s="156" t="inlineStr">
        <is>
          <t>Cycloop Co., Ltd.</t>
        </is>
      </c>
      <c r="C58" s="156" t="inlineStr">
        <is>
          <t>サイクループ株式会社</t>
        </is>
      </c>
      <c r="D58" s="156" t="inlineStr">
        <is>
          <t>Not found (NTA lookup blocked; dedupe by Japanese name)</t>
        </is>
      </c>
      <c r="E58" s="156" t="inlineStr">
        <is>
          <t>Osaka</t>
        </is>
      </c>
      <c r="F58" s="156" t="inlineStr">
        <is>
          <t>Kansai</t>
        </is>
      </c>
      <c r="G58" s="156" t="inlineStr">
        <is>
          <t>Not found</t>
        </is>
      </c>
      <c r="H58" s="156" t="inlineStr">
        <is>
          <t>Animal device wholesale (Baseconnect category)</t>
        </is>
      </c>
      <c r="I58" s="156" t="inlineStr">
        <is>
          <t>Not identified</t>
        </is>
      </c>
      <c r="J58" s="156" t="inlineStr">
        <is>
          <t>Companion</t>
        </is>
      </c>
      <c r="K58" s="156" t="inlineStr">
        <is>
          <t>Osaka</t>
        </is>
      </c>
      <c r="L58" s="156" t="inlineStr">
        <is>
          <t>Not found</t>
        </is>
      </c>
      <c r="M58" s="156" t="inlineStr">
        <is>
          <t>n/a</t>
        </is>
      </c>
      <c r="N58" s="156" t="inlineStr">
        <is>
          <t>Not identified</t>
        </is>
      </c>
      <c r="O58" s="156" t="inlineStr">
        <is>
          <t>Not identified</t>
        </is>
      </c>
      <c r="P58" s="156" t="inlineStr">
        <is>
          <t>contact@cycloop.jp</t>
        </is>
      </c>
      <c r="Q58" s="156" t="inlineStr">
        <is>
          <t>03 5946 8521</t>
        </is>
      </c>
      <c r="R58" s="156" t="inlineStr">
        <is>
          <t>Not identified</t>
        </is>
      </c>
      <c r="S58" s="156" t="inlineStr">
        <is>
          <t>Verified (published on own site, read via search); FLAG business now mainly e bike subscriptions, vet device activity not current</t>
        </is>
      </c>
      <c r="T58" s="158">
        <f>SUM(Z58:AF58)</f>
        <v>17</v>
      </c>
      <c r="U58" s="160" t="inlineStr">
        <is>
          <t>V2</t>
        </is>
      </c>
      <c r="V58" s="156" t="inlineStr">
        <is>
          <t>Listed as an Osaka animal device wholesaler. FLAG: Also sells wastewater equipment; vet depth unclear.</t>
        </is>
      </c>
      <c r="W58" s="156" t="inlineStr">
        <is>
          <t>Qualify by phone; possible Kansai sub dealer.</t>
        </is>
      </c>
      <c r="X58" s="156" t="inlineStr">
        <is>
          <t>Not checked (human list not in v17)</t>
        </is>
      </c>
      <c r="Y58" s="156" t="inlineStr">
        <is>
          <t>https://baseconnect.in/companies/prefecture/d80b180e-5fd9-4082-8cdc-a510179a3475/keyword/c53ff370-90f7-45dc-a0ee-e22bda2cde5e ; https://cycloop.co.jp/about/</t>
        </is>
      </c>
      <c r="Z58" s="156" t="n">
        <v>3</v>
      </c>
      <c r="AA58" s="156" t="n">
        <v>1</v>
      </c>
      <c r="AB58" s="156" t="n">
        <v>4</v>
      </c>
      <c r="AC58" s="156" t="n">
        <v>3</v>
      </c>
      <c r="AD58" s="156" t="n">
        <v>1</v>
      </c>
      <c r="AE58" s="156" t="n">
        <v>2</v>
      </c>
      <c r="AF58" s="156" t="n">
        <v>3</v>
      </c>
      <c r="AG58" s="156" t="inlineStr">
        <is>
          <t>Evidence backed</t>
        </is>
      </c>
    </row>
    <row r="59" ht="75" customHeight="1" s="114">
      <c r="A59" s="156" t="n">
        <v>55</v>
      </c>
      <c r="B59" s="156" t="inlineStr">
        <is>
          <t>QIX Inc.</t>
        </is>
      </c>
      <c r="C59" s="156" t="inlineStr">
        <is>
          <t>株式会社QIX</t>
        </is>
      </c>
      <c r="D59" s="156" t="inlineStr">
        <is>
          <t>Not found (NTA lookup blocked; dedupe by Japanese name)</t>
        </is>
      </c>
      <c r="E59" s="156" t="inlineStr">
        <is>
          <t>Tokyo</t>
        </is>
      </c>
      <c r="F59" s="156" t="inlineStr">
        <is>
          <t>Kanto</t>
        </is>
      </c>
      <c r="G59" s="157" t="inlineStr">
        <is>
          <t>https://www.qix.co.jp</t>
        </is>
      </c>
      <c r="H59" s="156" t="inlineStr">
        <is>
          <t>Vet products maker and seller; clinic management support (no device licence confirmed)</t>
        </is>
      </c>
      <c r="I59" s="156" t="inlineStr">
        <is>
          <t>Supplements, skin care; no ultrasound</t>
        </is>
      </c>
      <c r="J59" s="156" t="inlineStr">
        <is>
          <t>Companion</t>
        </is>
      </c>
      <c r="K59" s="156" t="inlineStr">
        <is>
          <t>Machida, Tokyo; national vet hospital base</t>
        </is>
      </c>
      <c r="L59" s="156" t="inlineStr">
        <is>
          <t>Founded 2009</t>
        </is>
      </c>
      <c r="M59" s="156" t="inlineStr">
        <is>
          <t>n/a</t>
        </is>
      </c>
      <c r="N59" s="156" t="inlineStr">
        <is>
          <t>Not identified</t>
        </is>
      </c>
      <c r="O59" s="156" t="inlineStr">
        <is>
          <t>Not identified</t>
        </is>
      </c>
      <c r="P59" s="156" t="inlineStr">
        <is>
          <t>info@qix.co.jp</t>
        </is>
      </c>
      <c r="Q59" s="156" t="inlineStr">
        <is>
          <t>042 860 7462</t>
        </is>
      </c>
      <c r="R59" s="156" t="inlineStr">
        <is>
          <t>Not identified</t>
        </is>
      </c>
      <c r="S59" s="156" t="inlineStr">
        <is>
          <t>Verified (published on own site, read via search)</t>
        </is>
      </c>
      <c r="T59" s="158">
        <f>SUM(Z59:AF59)</f>
        <v>17</v>
      </c>
      <c r="U59" s="160" t="inlineStr">
        <is>
          <t>V2</t>
        </is>
      </c>
      <c r="V59" s="156" t="inlineStr">
        <is>
          <t>Vet only company selling products, education and management support to animal hospitals; exhibits at JSVAS with luncheon seminars and partnered with Benesse on hospital support. FLAG: Device sales licence not confirmed.</t>
        </is>
      </c>
      <c r="W59" s="156" t="inlineStr">
        <is>
          <t>Education partnership: ultrasound wet labs within their vet seminar programme.</t>
        </is>
      </c>
      <c r="X59" s="156" t="inlineStr">
        <is>
          <t>Not checked (human list not in v17)</t>
        </is>
      </c>
      <c r="Y59" s="156" t="inlineStr">
        <is>
          <t>https://www.qix.co.jp/news/322 ; https://www.value-press.com/pressrelease/289075 ; https://www.qix.co.jp/law/</t>
        </is>
      </c>
      <c r="Z59" s="156" t="n">
        <v>2</v>
      </c>
      <c r="AA59" s="156" t="n">
        <v>1</v>
      </c>
      <c r="AB59" s="156" t="n">
        <v>5</v>
      </c>
      <c r="AC59" s="156" t="n">
        <v>4</v>
      </c>
      <c r="AD59" s="156" t="n">
        <v>1</v>
      </c>
      <c r="AE59" s="156" t="n">
        <v>1</v>
      </c>
      <c r="AF59" s="156" t="n">
        <v>3</v>
      </c>
      <c r="AG59" s="156" t="inlineStr">
        <is>
          <t>Evidence backed</t>
        </is>
      </c>
    </row>
    <row r="60" ht="75" customHeight="1" s="114">
      <c r="A60" s="156" t="n">
        <v>56</v>
      </c>
      <c r="B60" s="156" t="inlineStr">
        <is>
          <t>Telcom Co., Ltd.</t>
        </is>
      </c>
      <c r="C60" s="156" t="inlineStr">
        <is>
          <t>テルコム株式会社</t>
        </is>
      </c>
      <c r="D60" s="156" t="inlineStr">
        <is>
          <t>Not found (NTA lookup blocked; dedupe by Japanese name)</t>
        </is>
      </c>
      <c r="E60" s="156" t="inlineStr">
        <is>
          <t>Kanagawa</t>
        </is>
      </c>
      <c r="F60" s="156" t="inlineStr">
        <is>
          <t>Kanto</t>
        </is>
      </c>
      <c r="G60" s="157" t="inlineStr">
        <is>
          <t>https://www.terucom.co.jp/</t>
        </is>
      </c>
      <c r="H60" s="156" t="inlineStr">
        <is>
          <t>Vet device business (JAMO member)</t>
        </is>
      </c>
      <c r="I60" s="156" t="inlineStr">
        <is>
          <t>Not identified</t>
        </is>
      </c>
      <c r="J60" s="156" t="inlineStr">
        <is>
          <t>Companion</t>
        </is>
      </c>
      <c r="K60" s="156" t="inlineStr">
        <is>
          <t>Yokohama; national</t>
        </is>
      </c>
      <c r="L60" s="156" t="inlineStr">
        <is>
          <t>Not found</t>
        </is>
      </c>
      <c r="M60" s="156" t="inlineStr">
        <is>
          <t>n/a</t>
        </is>
      </c>
      <c r="N60" s="156" t="inlineStr">
        <is>
          <t>Not identified</t>
        </is>
      </c>
      <c r="O60" s="156" t="inlineStr">
        <is>
          <t>Not identified</t>
        </is>
      </c>
      <c r="P60" s="156" t="inlineStr">
        <is>
          <t>terucom_info@terucom.co.jp</t>
        </is>
      </c>
      <c r="Q60" s="156" t="inlineStr">
        <is>
          <t>045 947 2904</t>
        </is>
      </c>
      <c r="R60" s="156" t="inlineStr">
        <is>
          <t>Not identified</t>
        </is>
      </c>
      <c r="S60" s="156" t="inlineStr">
        <is>
          <t>Verified (published on own site, read via search); maker of pet oxygen houses</t>
        </is>
      </c>
      <c r="T60" s="158">
        <f>SUM(Z60:AF60)</f>
        <v>17</v>
      </c>
      <c r="U60" s="160" t="inlineStr">
        <is>
          <t>V2</t>
        </is>
      </c>
      <c r="V60" s="156" t="inlineStr">
        <is>
          <t>Yokohama member of the vet device association JAMO. FLAG: Product focus not confirmed.</t>
        </is>
      </c>
      <c r="W60" s="156" t="inlineStr">
        <is>
          <t>Qualify product focus; possible Kanagawa sub dealer.</t>
        </is>
      </c>
      <c r="X60" s="156" t="inlineStr">
        <is>
          <t>Not checked (human list not in v17)</t>
        </is>
      </c>
      <c r="Y60" s="156" t="inlineStr">
        <is>
          <t>https://www.jamo.or.jp/member/ ; https://www.terucom.co.jp/company/outline/</t>
        </is>
      </c>
      <c r="Z60" s="156" t="n">
        <v>3</v>
      </c>
      <c r="AA60" s="156" t="n">
        <v>1</v>
      </c>
      <c r="AB60" s="156" t="n">
        <v>4</v>
      </c>
      <c r="AC60" s="156" t="n">
        <v>3</v>
      </c>
      <c r="AD60" s="156" t="n">
        <v>1</v>
      </c>
      <c r="AE60" s="156" t="n">
        <v>2</v>
      </c>
      <c r="AF60" s="156" t="n">
        <v>3</v>
      </c>
      <c r="AG60" s="156" t="inlineStr">
        <is>
          <t>Evidence backed</t>
        </is>
      </c>
    </row>
    <row r="61" ht="75" customHeight="1" s="114">
      <c r="A61" s="156" t="n">
        <v>57</v>
      </c>
      <c r="B61" s="156" t="inlineStr">
        <is>
          <t>Taishodo Co., Ltd.</t>
        </is>
      </c>
      <c r="C61" s="156" t="inlineStr">
        <is>
          <t>株式会社大正堂</t>
        </is>
      </c>
      <c r="D61" s="156" t="inlineStr">
        <is>
          <t>Not found (NTA lookup blocked; dedupe by Japanese name)</t>
        </is>
      </c>
      <c r="E61" s="156" t="inlineStr">
        <is>
          <t>Tochigi</t>
        </is>
      </c>
      <c r="F61" s="156" t="inlineStr">
        <is>
          <t>Kanto</t>
        </is>
      </c>
      <c r="G61" s="157" t="inlineStr">
        <is>
          <t>https://taishodou.jp/</t>
        </is>
      </c>
      <c r="H61" s="156" t="inlineStr">
        <is>
          <t>動物用医薬品 卸売販売業 (JADIDA member); equipment sales capability to confirm</t>
        </is>
      </c>
      <c r="I61" s="156" t="inlineStr">
        <is>
          <t>No ultrasound line identified</t>
        </is>
      </c>
      <c r="J61" s="156" t="inlineStr">
        <is>
          <t>Both</t>
        </is>
      </c>
      <c r="K61" s="156" t="inlineStr">
        <is>
          <t>Hokkaido (Obihiro) and Gunma office</t>
        </is>
      </c>
      <c r="L61" s="156" t="inlineStr">
        <is>
          <t>Not found</t>
        </is>
      </c>
      <c r="M61" s="156" t="inlineStr">
        <is>
          <t>n/a</t>
        </is>
      </c>
      <c r="N61" s="156" t="inlineStr">
        <is>
          <t>Not identified</t>
        </is>
      </c>
      <c r="O61" s="156" t="inlineStr">
        <is>
          <t>Not identified</t>
        </is>
      </c>
      <c r="P61" s="156" t="inlineStr">
        <is>
          <t>Not published; inquiry form: https://taishodou.jp/contact/</t>
        </is>
      </c>
      <c r="Q61" s="156" t="inlineStr">
        <is>
          <t>0155 66 5411 (Obihiro); HQ 0287 65 1211</t>
        </is>
      </c>
      <c r="R61" s="156" t="inlineStr">
        <is>
          <t>Not identified</t>
        </is>
      </c>
      <c r="S61" s="156" t="inlineStr">
        <is>
          <t>Company inquiry only (form); HQ is in Tochigi, Hokkaido division in Obihiro</t>
        </is>
      </c>
      <c r="T61" s="158">
        <f>SUM(Z61:AF61)</f>
        <v>23</v>
      </c>
      <c r="U61" s="161" t="inlineStr">
        <is>
          <t>V3</t>
        </is>
      </c>
      <c r="V61" s="156" t="inlineStr">
        <is>
          <t>JADIDA member with a Hokkaido division in Obihiro, the heart of Tokachi dairy, plus a Gunma office.</t>
        </is>
      </c>
      <c r="W61" s="156" t="inlineStr">
        <is>
          <t>Rep carried demo of a pocket or portable scanner on existing drug routes; no stock commitment at first.</t>
        </is>
      </c>
      <c r="X61" s="156" t="inlineStr">
        <is>
          <t>Not checked (human list not in v17)</t>
        </is>
      </c>
      <c r="Y61" s="156" t="inlineStr">
        <is>
          <t>https://jadida.or.jp/doc/KaiinList20250401.pdf ; https://taishodou.jp/contact/</t>
        </is>
      </c>
      <c r="Z61" s="156" t="n">
        <v>3</v>
      </c>
      <c r="AA61" s="156" t="n">
        <v>1</v>
      </c>
      <c r="AB61" s="156" t="n">
        <v>5</v>
      </c>
      <c r="AC61" s="156" t="n">
        <v>4</v>
      </c>
      <c r="AD61" s="156" t="n">
        <v>5</v>
      </c>
      <c r="AE61" s="156" t="n">
        <v>2</v>
      </c>
      <c r="AF61" s="156" t="n">
        <v>3</v>
      </c>
      <c r="AG61" s="156" t="inlineStr">
        <is>
          <t>Evidence backed</t>
        </is>
      </c>
    </row>
    <row r="62" ht="75" customHeight="1" s="114">
      <c r="A62" s="156" t="n">
        <v>58</v>
      </c>
      <c r="B62" s="156" t="inlineStr">
        <is>
          <t>Atol Co., Ltd.</t>
        </is>
      </c>
      <c r="C62" s="156" t="inlineStr">
        <is>
          <t>株式会社アトル</t>
        </is>
      </c>
      <c r="D62" s="156" t="inlineStr">
        <is>
          <t>Not found (NTA lookup blocked; dedupe by Japanese name)</t>
        </is>
      </c>
      <c r="E62" s="156" t="inlineStr">
        <is>
          <t>Fukuoka</t>
        </is>
      </c>
      <c r="F62" s="156" t="inlineStr">
        <is>
          <t>Kyushu and Okinawa</t>
        </is>
      </c>
      <c r="G62" s="157" t="inlineStr">
        <is>
          <t>https://www.atol-com.co.jp/</t>
        </is>
      </c>
      <c r="H62" s="156" t="inlineStr">
        <is>
          <t>動物用医薬品 卸売販売業 (JADIDA member); equipment sales capability to confirm</t>
        </is>
      </c>
      <c r="I62" s="156" t="inlineStr">
        <is>
          <t>No ultrasound line identified</t>
        </is>
      </c>
      <c r="J62" s="156" t="inlineStr">
        <is>
          <t>Both</t>
        </is>
      </c>
      <c r="K62" s="156" t="inlineStr">
        <is>
          <t>Kyushu</t>
        </is>
      </c>
      <c r="L62" s="156" t="inlineStr">
        <is>
          <t>Not found</t>
        </is>
      </c>
      <c r="M62" s="156" t="inlineStr">
        <is>
          <t>n/a</t>
        </is>
      </c>
      <c r="N62" s="156" t="inlineStr">
        <is>
          <t>Not identified</t>
        </is>
      </c>
      <c r="O62" s="156" t="inlineStr">
        <is>
          <t>Not identified</t>
        </is>
      </c>
      <c r="P62" s="156" t="inlineStr">
        <is>
          <t>Not published; phone only</t>
        </is>
      </c>
      <c r="Q62" s="156" t="inlineStr">
        <is>
          <t>092 665 7150 (Fukuoka sales)</t>
        </is>
      </c>
      <c r="R62" s="156" t="inlineStr">
        <is>
          <t>Not identified</t>
        </is>
      </c>
      <c r="S62" s="156" t="inlineStr">
        <is>
          <t>Company inquiry only (form)</t>
        </is>
      </c>
      <c r="T62" s="158">
        <f>SUM(Z62:AF62)</f>
        <v>23</v>
      </c>
      <c r="U62" s="161" t="inlineStr">
        <is>
          <t>V3</t>
        </is>
      </c>
      <c r="V62" s="156" t="inlineStr">
        <is>
          <t>Fukuoka based wholesaler listed among Japan's animal drug wholesalers; Kyushu livestock and companion coverage.</t>
        </is>
      </c>
      <c r="W62" s="156" t="inlineStr">
        <is>
          <t>Rep carried demo of a pocket or portable scanner on existing drug routes; no stock commitment at first.</t>
        </is>
      </c>
      <c r="X62" s="156" t="inlineStr">
        <is>
          <t>Not checked (human list not in v17)</t>
        </is>
      </c>
      <c r="Y62" s="156" t="inlineStr">
        <is>
          <t>https://news.jprpet.com/company/list/174/</t>
        </is>
      </c>
      <c r="Z62" s="156" t="n">
        <v>3</v>
      </c>
      <c r="AA62" s="156" t="n">
        <v>1</v>
      </c>
      <c r="AB62" s="156" t="n">
        <v>5</v>
      </c>
      <c r="AC62" s="156" t="n">
        <v>4</v>
      </c>
      <c r="AD62" s="156" t="n">
        <v>5</v>
      </c>
      <c r="AE62" s="156" t="n">
        <v>2</v>
      </c>
      <c r="AF62" s="156" t="n">
        <v>3</v>
      </c>
      <c r="AG62" s="156" t="inlineStr">
        <is>
          <t>Evidence backed</t>
        </is>
      </c>
    </row>
    <row r="63" ht="75" customHeight="1" s="114">
      <c r="A63" s="156" t="n">
        <v>59</v>
      </c>
      <c r="B63" s="156" t="inlineStr">
        <is>
          <t>Kyushu Mitaka Co., Ltd.</t>
        </is>
      </c>
      <c r="C63" s="156" t="inlineStr">
        <is>
          <t>株式会社九州ミタカ</t>
        </is>
      </c>
      <c r="D63" s="156" t="inlineStr">
        <is>
          <t>Not found (NTA lookup blocked; dedupe by Japanese name)</t>
        </is>
      </c>
      <c r="E63" s="156" t="inlineStr">
        <is>
          <t>Kumamoto</t>
        </is>
      </c>
      <c r="F63" s="156" t="inlineStr">
        <is>
          <t>Kyushu and Okinawa</t>
        </is>
      </c>
      <c r="G63" s="157" t="inlineStr">
        <is>
          <t>https://www.kyusyumitaka.com/</t>
        </is>
      </c>
      <c r="H63" s="156" t="inlineStr">
        <is>
          <t>動物用医薬品 卸売販売業 (JADIDA member); equipment sales capability to confirm</t>
        </is>
      </c>
      <c r="I63" s="156" t="inlineStr">
        <is>
          <t>No ultrasound line identified</t>
        </is>
      </c>
      <c r="J63" s="156" t="inlineStr">
        <is>
          <t>Both</t>
        </is>
      </c>
      <c r="K63" s="156" t="inlineStr">
        <is>
          <t>Kumamoto and Kyushu livestock</t>
        </is>
      </c>
      <c r="L63" s="156" t="inlineStr">
        <is>
          <t>Not found</t>
        </is>
      </c>
      <c r="M63" s="156" t="inlineStr">
        <is>
          <t>n/a</t>
        </is>
      </c>
      <c r="N63" s="156" t="inlineStr">
        <is>
          <t>Not identified</t>
        </is>
      </c>
      <c r="O63" s="156" t="inlineStr">
        <is>
          <t>Not identified</t>
        </is>
      </c>
      <c r="P63" s="156" t="inlineStr">
        <is>
          <t>info@kyusyumitaka.com</t>
        </is>
      </c>
      <c r="Q63" s="156" t="inlineStr">
        <is>
          <t>096 292 7200</t>
        </is>
      </c>
      <c r="R63" s="156" t="inlineStr">
        <is>
          <t>Not identified</t>
        </is>
      </c>
      <c r="S63" s="156" t="inlineStr">
        <is>
          <t>Verified (published on own site, read via search); FLAG acquired by Sanyo Trading group (YP Tech) Oct 2025</t>
        </is>
      </c>
      <c r="T63" s="158">
        <f>SUM(Z63:AF63)</f>
        <v>23</v>
      </c>
      <c r="U63" s="161" t="inlineStr">
        <is>
          <t>V3</t>
        </is>
      </c>
      <c r="V63" s="156" t="inlineStr">
        <is>
          <t>Kyoritsu group animal drug seller founded 1983 that also sells livestock equipment in Kumamoto. FLAG: Kyoritsu group (Kyoritsu Seiyaku sells its own CTS800 ultrasound); check group conflict.</t>
        </is>
      </c>
      <c r="W63" s="156" t="inlineStr">
        <is>
          <t>Rep carried demo of a pocket or portable scanner on existing drug routes; no stock commitment at first.</t>
        </is>
      </c>
      <c r="X63" s="156" t="inlineStr">
        <is>
          <t>Not checked (human list not in v17)</t>
        </is>
      </c>
      <c r="Y63" s="156" t="inlineStr">
        <is>
          <t>https://www.kyusyumitaka.com/ ; https://www.kyusyumitaka.com/%E4%BC%9A%E7%A4%BE%E6%83%85%E5%A0%B1</t>
        </is>
      </c>
      <c r="Z63" s="156" t="n">
        <v>3</v>
      </c>
      <c r="AA63" s="156" t="n">
        <v>1</v>
      </c>
      <c r="AB63" s="156" t="n">
        <v>5</v>
      </c>
      <c r="AC63" s="156" t="n">
        <v>4</v>
      </c>
      <c r="AD63" s="156" t="n">
        <v>5</v>
      </c>
      <c r="AE63" s="156" t="n">
        <v>2</v>
      </c>
      <c r="AF63" s="156" t="n">
        <v>3</v>
      </c>
      <c r="AG63" s="156" t="inlineStr">
        <is>
          <t>Evidence backed</t>
        </is>
      </c>
    </row>
    <row r="64" ht="75" customHeight="1" s="114">
      <c r="A64" s="156" t="n">
        <v>60</v>
      </c>
      <c r="B64" s="156" t="inlineStr">
        <is>
          <t>Nagasaki Juiyakuhin Co., Ltd.</t>
        </is>
      </c>
      <c r="C64" s="156" t="inlineStr">
        <is>
          <t>長崎獣医薬品株式会社</t>
        </is>
      </c>
      <c r="D64" s="156" t="inlineStr">
        <is>
          <t>Not found (NTA lookup blocked; dedupe by Japanese name)</t>
        </is>
      </c>
      <c r="E64" s="156" t="inlineStr">
        <is>
          <t>Nagasaki</t>
        </is>
      </c>
      <c r="F64" s="156" t="inlineStr">
        <is>
          <t>Kyushu and Okinawa</t>
        </is>
      </c>
      <c r="G64" s="156" t="inlineStr">
        <is>
          <t>Not found</t>
        </is>
      </c>
      <c r="H64" s="156" t="inlineStr">
        <is>
          <t>動物用医薬品 卸売販売業 (JADIDA member); equipment sales capability to confirm</t>
        </is>
      </c>
      <c r="I64" s="156" t="inlineStr">
        <is>
          <t>No ultrasound line identified</t>
        </is>
      </c>
      <c r="J64" s="156" t="inlineStr">
        <is>
          <t>Both</t>
        </is>
      </c>
      <c r="K64" s="156" t="inlineStr">
        <is>
          <t>Nagasaki</t>
        </is>
      </c>
      <c r="L64" s="156" t="inlineStr">
        <is>
          <t>Not found</t>
        </is>
      </c>
      <c r="M64" s="156" t="inlineStr">
        <is>
          <t>n/a</t>
        </is>
      </c>
      <c r="N64" s="156" t="inlineStr">
        <is>
          <t>Not identified</t>
        </is>
      </c>
      <c r="O64" s="156" t="inlineStr">
        <is>
          <t>Not identified</t>
        </is>
      </c>
      <c r="P64" s="156" t="inlineStr">
        <is>
          <t>Not published; phone only</t>
        </is>
      </c>
      <c r="Q64" s="156" t="inlineStr">
        <is>
          <t>0957 22 0164</t>
        </is>
      </c>
      <c r="R64" s="156" t="inlineStr">
        <is>
          <t>Not identified</t>
        </is>
      </c>
      <c r="S64" s="156" t="inlineStr">
        <is>
          <t>Company inquiry only (phone)</t>
        </is>
      </c>
      <c r="T64" s="158">
        <f>SUM(Z64:AF64)</f>
        <v>23</v>
      </c>
      <c r="U64" s="161" t="inlineStr">
        <is>
          <t>V3</t>
        </is>
      </c>
      <c r="V64" s="156" t="inlineStr">
        <is>
          <t>Nagasaki vet drug wholesaler (JADIDA Kyushu block).</t>
        </is>
      </c>
      <c r="W64" s="156" t="inlineStr">
        <is>
          <t>Rep carried demo of a pocket or portable scanner on existing drug routes; no stock commitment at first.</t>
        </is>
      </c>
      <c r="X64" s="156" t="inlineStr">
        <is>
          <t>Not checked (human list not in v17)</t>
        </is>
      </c>
      <c r="Y64" s="156" t="inlineStr">
        <is>
          <t>https://jadida.or.jp/doc/KaiinList20250407.pdf</t>
        </is>
      </c>
      <c r="Z64" s="156" t="n">
        <v>3</v>
      </c>
      <c r="AA64" s="156" t="n">
        <v>1</v>
      </c>
      <c r="AB64" s="156" t="n">
        <v>5</v>
      </c>
      <c r="AC64" s="156" t="n">
        <v>4</v>
      </c>
      <c r="AD64" s="156" t="n">
        <v>5</v>
      </c>
      <c r="AE64" s="156" t="n">
        <v>2</v>
      </c>
      <c r="AF64" s="156" t="n">
        <v>3</v>
      </c>
      <c r="AG64" s="156" t="inlineStr">
        <is>
          <t>Evidence backed</t>
        </is>
      </c>
    </row>
    <row r="65" ht="75" customHeight="1" s="114">
      <c r="A65" s="156" t="n">
        <v>61</v>
      </c>
      <c r="B65" s="156" t="inlineStr">
        <is>
          <t>Acti Co., Ltd.</t>
        </is>
      </c>
      <c r="C65" s="156" t="inlineStr">
        <is>
          <t>アクティ株式会社</t>
        </is>
      </c>
      <c r="D65" s="156" t="inlineStr">
        <is>
          <t>Not found (NTA lookup blocked; dedupe by Japanese name)</t>
        </is>
      </c>
      <c r="E65" s="156" t="inlineStr">
        <is>
          <t>Nagano</t>
        </is>
      </c>
      <c r="F65" s="156" t="inlineStr">
        <is>
          <t>Chubu</t>
        </is>
      </c>
      <c r="G65" s="156" t="inlineStr">
        <is>
          <t>Not found</t>
        </is>
      </c>
      <c r="H65" s="156" t="inlineStr">
        <is>
          <t>動物用医薬品 卸売販売業 (JADIDA member); equipment sales capability to confirm</t>
        </is>
      </c>
      <c r="I65" s="156" t="inlineStr">
        <is>
          <t>No ultrasound line identified</t>
        </is>
      </c>
      <c r="J65" s="156" t="inlineStr">
        <is>
          <t>Both</t>
        </is>
      </c>
      <c r="K65" s="156" t="inlineStr">
        <is>
          <t>Nagano HQ; Koshinetsu incl. Yamanashi</t>
        </is>
      </c>
      <c r="L65" s="156" t="inlineStr">
        <is>
          <t>Not found</t>
        </is>
      </c>
      <c r="M65" s="156" t="inlineStr">
        <is>
          <t>n/a</t>
        </is>
      </c>
      <c r="N65" s="156" t="inlineStr">
        <is>
          <t>Not identified</t>
        </is>
      </c>
      <c r="O65" s="156" t="inlineStr">
        <is>
          <t>Not identified</t>
        </is>
      </c>
      <c r="P65" s="156" t="inlineStr">
        <is>
          <t>animal-health@acty-kk.com</t>
        </is>
      </c>
      <c r="Q65" s="156" t="inlineStr">
        <is>
          <t>0263 87 7246 (animal health)</t>
        </is>
      </c>
      <c r="R65" s="156" t="inlineStr">
        <is>
          <t>Not identified</t>
        </is>
      </c>
      <c r="S65" s="156" t="inlineStr">
        <is>
          <t>Verified (published on own site, read via search)</t>
        </is>
      </c>
      <c r="T65" s="158">
        <f>SUM(Z65:AF65)</f>
        <v>22</v>
      </c>
      <c r="U65" s="161" t="inlineStr">
        <is>
          <t>V3</t>
        </is>
      </c>
      <c r="V65" s="156" t="inlineStr">
        <is>
          <t>Regional vet drug wholesaler named in Fuji Keizai's 2025 vet dealer ranking study.</t>
        </is>
      </c>
      <c r="W65" s="156" t="inlineStr">
        <is>
          <t>Rep carried demo of a pocket or portable scanner on existing drug routes; no stock commitment at first.</t>
        </is>
      </c>
      <c r="X65" s="156" t="inlineStr">
        <is>
          <t>Not checked (human list not in v17)</t>
        </is>
      </c>
      <c r="Y65" s="156" t="inlineStr">
        <is>
          <t>https://news.jprpet.com/company/list/174/ ; https://www.fuji-keizai.co.jp/report/detail.html?code=122410710&amp;la=ja&amp;la=en ; https://www.acty-kk.com/contact/contact.html</t>
        </is>
      </c>
      <c r="Z65" s="156" t="n">
        <v>3</v>
      </c>
      <c r="AA65" s="156" t="n">
        <v>1</v>
      </c>
      <c r="AB65" s="156" t="n">
        <v>5</v>
      </c>
      <c r="AC65" s="156" t="n">
        <v>4</v>
      </c>
      <c r="AD65" s="156" t="n">
        <v>4</v>
      </c>
      <c r="AE65" s="156" t="n">
        <v>2</v>
      </c>
      <c r="AF65" s="156" t="n">
        <v>3</v>
      </c>
      <c r="AG65" s="156" t="inlineStr">
        <is>
          <t>Evidence backed</t>
        </is>
      </c>
    </row>
    <row r="66" ht="75" customHeight="1" s="114">
      <c r="A66" s="156" t="n">
        <v>62</v>
      </c>
      <c r="B66" s="156" t="inlineStr">
        <is>
          <t>Chubu Kasei Yakuhin Co., Ltd.</t>
        </is>
      </c>
      <c r="C66" s="156" t="inlineStr">
        <is>
          <t>中部化成薬品株式会社</t>
        </is>
      </c>
      <c r="D66" s="156" t="inlineStr">
        <is>
          <t>Not found (NTA lookup blocked; dedupe by Japanese name)</t>
        </is>
      </c>
      <c r="E66" s="156" t="inlineStr">
        <is>
          <t>Gifu</t>
        </is>
      </c>
      <c r="F66" s="156" t="inlineStr">
        <is>
          <t>Chubu</t>
        </is>
      </c>
      <c r="G66" s="157" t="inlineStr">
        <is>
          <t>https://chubukasei.jp/</t>
        </is>
      </c>
      <c r="H66" s="156" t="inlineStr">
        <is>
          <t>動物用医薬品 卸売販売業 (JADIDA member); equipment sales capability to confirm</t>
        </is>
      </c>
      <c r="I66" s="156" t="inlineStr">
        <is>
          <t>No ultrasound line identified</t>
        </is>
      </c>
      <c r="J66" s="156" t="inlineStr">
        <is>
          <t>Both</t>
        </is>
      </c>
      <c r="K66" s="156" t="inlineStr">
        <is>
          <t>Gifu</t>
        </is>
      </c>
      <c r="L66" s="156" t="inlineStr">
        <is>
          <t>Not found</t>
        </is>
      </c>
      <c r="M66" s="156" t="inlineStr">
        <is>
          <t>n/a</t>
        </is>
      </c>
      <c r="N66" s="156" t="inlineStr">
        <is>
          <t>Not identified</t>
        </is>
      </c>
      <c r="O66" s="156" t="inlineStr">
        <is>
          <t>Not identified</t>
        </is>
      </c>
      <c r="P66" s="156" t="inlineStr">
        <is>
          <t>honsya@chubukasei.jp</t>
        </is>
      </c>
      <c r="Q66" s="156" t="inlineStr">
        <is>
          <t>058 264 3291</t>
        </is>
      </c>
      <c r="R66" s="156" t="inlineStr">
        <is>
          <t>Not identified</t>
        </is>
      </c>
      <c r="S66" s="156" t="inlineStr">
        <is>
          <t>Verified (published on own site, read via search); also sells 動物用機器</t>
        </is>
      </c>
      <c r="T66" s="158">
        <f>SUM(Z66:AF66)</f>
        <v>22</v>
      </c>
      <c r="U66" s="161" t="inlineStr">
        <is>
          <t>V3</t>
        </is>
      </c>
      <c r="V66" s="156" t="inlineStr">
        <is>
          <t>Gifu JADIDA member.</t>
        </is>
      </c>
      <c r="W66" s="156" t="inlineStr">
        <is>
          <t>Rep carried demo of a pocket or portable scanner on existing drug routes; no stock commitment at first.</t>
        </is>
      </c>
      <c r="X66" s="156" t="inlineStr">
        <is>
          <t>Not checked (human list not in v17)</t>
        </is>
      </c>
      <c r="Y66" s="156" t="inlineStr">
        <is>
          <t>https://jadida.or.jp/doc/KaiinList20250401.pdf ; https://chubukasei.jp/about/company-profile/ ; https://chubukasei.jp/contact/</t>
        </is>
      </c>
      <c r="Z66" s="156" t="n">
        <v>3</v>
      </c>
      <c r="AA66" s="156" t="n">
        <v>1</v>
      </c>
      <c r="AB66" s="156" t="n">
        <v>5</v>
      </c>
      <c r="AC66" s="156" t="n">
        <v>4</v>
      </c>
      <c r="AD66" s="156" t="n">
        <v>4</v>
      </c>
      <c r="AE66" s="156" t="n">
        <v>2</v>
      </c>
      <c r="AF66" s="156" t="n">
        <v>3</v>
      </c>
      <c r="AG66" s="156" t="inlineStr">
        <is>
          <t>Evidence backed</t>
        </is>
      </c>
    </row>
    <row r="67" ht="75" customHeight="1" s="114">
      <c r="A67" s="156" t="n">
        <v>63</v>
      </c>
      <c r="B67" s="156" t="inlineStr">
        <is>
          <t>Dowa Kagaku Co., Ltd.</t>
        </is>
      </c>
      <c r="C67" s="156" t="inlineStr">
        <is>
          <t>同和化学株式会社</t>
        </is>
      </c>
      <c r="D67" s="156" t="inlineStr">
        <is>
          <t>Not found (NTA lookup blocked; dedupe by Japanese name)</t>
        </is>
      </c>
      <c r="E67" s="156" t="inlineStr">
        <is>
          <t>Aichi</t>
        </is>
      </c>
      <c r="F67" s="156" t="inlineStr">
        <is>
          <t>Chubu</t>
        </is>
      </c>
      <c r="G67" s="156" t="inlineStr">
        <is>
          <t>Not found</t>
        </is>
      </c>
      <c r="H67" s="156" t="inlineStr">
        <is>
          <t>動物用医薬品 卸売販売業 (JADIDA member); equipment sales capability to confirm</t>
        </is>
      </c>
      <c r="I67" s="156" t="inlineStr">
        <is>
          <t>No ultrasound line identified</t>
        </is>
      </c>
      <c r="J67" s="156" t="inlineStr">
        <is>
          <t>Both</t>
        </is>
      </c>
      <c r="K67" s="156" t="inlineStr">
        <is>
          <t>Tokai</t>
        </is>
      </c>
      <c r="L67" s="156" t="inlineStr">
        <is>
          <t>Not found</t>
        </is>
      </c>
      <c r="M67" s="156" t="inlineStr">
        <is>
          <t>n/a</t>
        </is>
      </c>
      <c r="N67" s="156" t="inlineStr">
        <is>
          <t>Not identified</t>
        </is>
      </c>
      <c r="O67" s="156" t="inlineStr">
        <is>
          <t>Not identified</t>
        </is>
      </c>
      <c r="P67" s="156" t="inlineStr">
        <is>
          <t>Not published; phone only</t>
        </is>
      </c>
      <c r="Q67" s="156" t="inlineStr">
        <is>
          <t>052 901 3101</t>
        </is>
      </c>
      <c r="R67" s="156" t="inlineStr">
        <is>
          <t>Not identified</t>
        </is>
      </c>
      <c r="S67" s="156" t="inlineStr">
        <is>
          <t>Company inquiry only (phone); FLAG ASCO group company (ASCO is on the Japan Dealers tab)</t>
        </is>
      </c>
      <c r="T67" s="158">
        <f>SUM(Z67:AF67)</f>
        <v>22</v>
      </c>
      <c r="U67" s="161" t="inlineStr">
        <is>
          <t>V3</t>
        </is>
      </c>
      <c r="V67" s="156" t="inlineStr">
        <is>
          <t>Nagoya wholesaler whose executive leads the JADIDA Chubu block.</t>
        </is>
      </c>
      <c r="W67" s="156" t="inlineStr">
        <is>
          <t>Rep carried demo of a pocket or portable scanner on existing drug routes; no stock commitment at first.</t>
        </is>
      </c>
      <c r="X67" s="156" t="inlineStr">
        <is>
          <t>Not checked (human list not in v17)</t>
        </is>
      </c>
      <c r="Y67" s="156" t="inlineStr">
        <is>
          <t>https://news.jprpet.com/company/list/174/ ; https://jadida.or.jp/doc/KaiinList20250401.pdf</t>
        </is>
      </c>
      <c r="Z67" s="156" t="n">
        <v>3</v>
      </c>
      <c r="AA67" s="156" t="n">
        <v>1</v>
      </c>
      <c r="AB67" s="156" t="n">
        <v>5</v>
      </c>
      <c r="AC67" s="156" t="n">
        <v>4</v>
      </c>
      <c r="AD67" s="156" t="n">
        <v>4</v>
      </c>
      <c r="AE67" s="156" t="n">
        <v>2</v>
      </c>
      <c r="AF67" s="156" t="n">
        <v>3</v>
      </c>
      <c r="AG67" s="156" t="inlineStr">
        <is>
          <t>Evidence backed</t>
        </is>
      </c>
    </row>
    <row r="68" ht="75" customHeight="1" s="114">
      <c r="A68" s="156" t="n">
        <v>64</v>
      </c>
      <c r="B68" s="156" t="inlineStr">
        <is>
          <t>Niigata Fuji Yakuhin Co., Ltd.</t>
        </is>
      </c>
      <c r="C68" s="156" t="inlineStr">
        <is>
          <t>株式会社新潟富士薬品</t>
        </is>
      </c>
      <c r="D68" s="156" t="inlineStr">
        <is>
          <t>Not found (NTA lookup blocked; dedupe by Japanese name)</t>
        </is>
      </c>
      <c r="E68" s="156" t="inlineStr">
        <is>
          <t>Niigata</t>
        </is>
      </c>
      <c r="F68" s="156" t="inlineStr">
        <is>
          <t>Chubu</t>
        </is>
      </c>
      <c r="G68" s="157" t="inlineStr">
        <is>
          <t>http://www.niigatafuji.co.jp</t>
        </is>
      </c>
      <c r="H68" s="156" t="inlineStr">
        <is>
          <t>動物用医薬品 卸売販売業 (JADIDA member); equipment sales capability to confirm</t>
        </is>
      </c>
      <c r="I68" s="156" t="inlineStr">
        <is>
          <t>No ultrasound line identified</t>
        </is>
      </c>
      <c r="J68" s="156" t="inlineStr">
        <is>
          <t>Both</t>
        </is>
      </c>
      <c r="K68" s="156" t="inlineStr">
        <is>
          <t>Niigata</t>
        </is>
      </c>
      <c r="L68" s="156" t="inlineStr">
        <is>
          <t>Not found</t>
        </is>
      </c>
      <c r="M68" s="156" t="inlineStr">
        <is>
          <t>n/a</t>
        </is>
      </c>
      <c r="N68" s="156" t="inlineStr">
        <is>
          <t>Not identified</t>
        </is>
      </c>
      <c r="O68" s="156" t="inlineStr">
        <is>
          <t>Not identified</t>
        </is>
      </c>
      <c r="P68" s="156" t="inlineStr">
        <is>
          <t>pharmacy@niigatafuji.co.jp</t>
        </is>
      </c>
      <c r="Q68" s="156" t="inlineStr">
        <is>
          <t>025 229 1256</t>
        </is>
      </c>
      <c r="R68" s="156" t="inlineStr">
        <is>
          <t>Not identified</t>
        </is>
      </c>
      <c r="S68" s="156" t="inlineStr">
        <is>
          <t>Likely (third party listing); pharmacy desk address, ask to forward</t>
        </is>
      </c>
      <c r="T68" s="158">
        <f>SUM(Z68:AF68)</f>
        <v>22</v>
      </c>
      <c r="U68" s="161" t="inlineStr">
        <is>
          <t>V3</t>
        </is>
      </c>
      <c r="V68" s="156" t="inlineStr">
        <is>
          <t>Niigata JADIDA member.</t>
        </is>
      </c>
      <c r="W68" s="156" t="inlineStr">
        <is>
          <t>Rep carried demo of a pocket or portable scanner on existing drug routes; no stock commitment at first.</t>
        </is>
      </c>
      <c r="X68" s="156" t="inlineStr">
        <is>
          <t>Not checked (human list not in v17)</t>
        </is>
      </c>
      <c r="Y68" s="156" t="inlineStr">
        <is>
          <t>https://www.jadida.or.jp/doc/KaiinList20241001.pdf ; https://www.iryou.teikyouseido.mhlw.go.jp/znk-web/juminkanja/S2430/initialize?kikanCd=YANCX00288&amp;kikanKbn=5&amp;prefCd=15</t>
        </is>
      </c>
      <c r="Z68" s="156" t="n">
        <v>3</v>
      </c>
      <c r="AA68" s="156" t="n">
        <v>1</v>
      </c>
      <c r="AB68" s="156" t="n">
        <v>5</v>
      </c>
      <c r="AC68" s="156" t="n">
        <v>4</v>
      </c>
      <c r="AD68" s="156" t="n">
        <v>4</v>
      </c>
      <c r="AE68" s="156" t="n">
        <v>2</v>
      </c>
      <c r="AF68" s="156" t="n">
        <v>3</v>
      </c>
      <c r="AG68" s="156" t="inlineStr">
        <is>
          <t>Evidence backed</t>
        </is>
      </c>
    </row>
    <row r="69" ht="75" customHeight="1" s="114">
      <c r="A69" s="156" t="n">
        <v>65</v>
      </c>
      <c r="B69" s="156" t="inlineStr">
        <is>
          <t>Oohira Yosaburo Shoten Co., Ltd.</t>
        </is>
      </c>
      <c r="C69" s="156" t="inlineStr">
        <is>
          <t>株式会社大平與三郎商店</t>
        </is>
      </c>
      <c r="D69" s="156" t="inlineStr">
        <is>
          <t>Not found (NTA lookup blocked; dedupe by Japanese name)</t>
        </is>
      </c>
      <c r="E69" s="156" t="inlineStr">
        <is>
          <t>Niigata</t>
        </is>
      </c>
      <c r="F69" s="156" t="inlineStr">
        <is>
          <t>Chubu</t>
        </is>
      </c>
      <c r="G69" s="156" t="inlineStr">
        <is>
          <t>Not found</t>
        </is>
      </c>
      <c r="H69" s="156" t="inlineStr">
        <is>
          <t>動物用医薬品 卸売販売業 (JADIDA member); equipment sales capability to confirm</t>
        </is>
      </c>
      <c r="I69" s="156" t="inlineStr">
        <is>
          <t>No ultrasound line identified</t>
        </is>
      </c>
      <c r="J69" s="156" t="inlineStr">
        <is>
          <t>Both</t>
        </is>
      </c>
      <c r="K69" s="156" t="inlineStr">
        <is>
          <t>Niigata</t>
        </is>
      </c>
      <c r="L69" s="156" t="inlineStr">
        <is>
          <t>Not found</t>
        </is>
      </c>
      <c r="M69" s="156" t="inlineStr">
        <is>
          <t>n/a</t>
        </is>
      </c>
      <c r="N69" s="156" t="inlineStr">
        <is>
          <t>Not identified</t>
        </is>
      </c>
      <c r="O69" s="156" t="inlineStr">
        <is>
          <t>Not identified</t>
        </is>
      </c>
      <c r="P69" s="156" t="inlineStr">
        <is>
          <t>Not published; phone only</t>
        </is>
      </c>
      <c r="Q69" s="156" t="inlineStr">
        <is>
          <t>0256 97 2012</t>
        </is>
      </c>
      <c r="R69" s="156" t="inlineStr">
        <is>
          <t>Not identified</t>
        </is>
      </c>
      <c r="S69" s="156" t="inlineStr">
        <is>
          <t>Company inquiry only (phone)</t>
        </is>
      </c>
      <c r="T69" s="158">
        <f>SUM(Z69:AF69)</f>
        <v>22</v>
      </c>
      <c r="U69" s="161" t="inlineStr">
        <is>
          <t>V3</t>
        </is>
      </c>
      <c r="V69" s="156" t="inlineStr">
        <is>
          <t>Long established Niigata JADIDA member.</t>
        </is>
      </c>
      <c r="W69" s="156" t="inlineStr">
        <is>
          <t>Rep carried demo of a pocket or portable scanner on existing drug routes; no stock commitment at first.</t>
        </is>
      </c>
      <c r="X69" s="156" t="inlineStr">
        <is>
          <t>Not checked (human list not in v17)</t>
        </is>
      </c>
      <c r="Y69" s="156" t="inlineStr">
        <is>
          <t>https://jadida.or.jp/doc/KaiinList20250822.pdf</t>
        </is>
      </c>
      <c r="Z69" s="156" t="n">
        <v>3</v>
      </c>
      <c r="AA69" s="156" t="n">
        <v>1</v>
      </c>
      <c r="AB69" s="156" t="n">
        <v>5</v>
      </c>
      <c r="AC69" s="156" t="n">
        <v>4</v>
      </c>
      <c r="AD69" s="156" t="n">
        <v>4</v>
      </c>
      <c r="AE69" s="156" t="n">
        <v>2</v>
      </c>
      <c r="AF69" s="156" t="n">
        <v>3</v>
      </c>
      <c r="AG69" s="156" t="inlineStr">
        <is>
          <t>Evidence backed</t>
        </is>
      </c>
    </row>
    <row r="70" ht="75" customHeight="1" s="114">
      <c r="A70" s="156" t="n">
        <v>66</v>
      </c>
      <c r="B70" s="156" t="inlineStr">
        <is>
          <t>Osada Yakuho Co., Ltd.</t>
        </is>
      </c>
      <c r="C70" s="156" t="inlineStr">
        <is>
          <t>株式会社長田薬舗</t>
        </is>
      </c>
      <c r="D70" s="156" t="inlineStr">
        <is>
          <t>Not found (NTA lookup blocked; dedupe by Japanese name)</t>
        </is>
      </c>
      <c r="E70" s="156" t="inlineStr">
        <is>
          <t>Toyama</t>
        </is>
      </c>
      <c r="F70" s="156" t="inlineStr">
        <is>
          <t>Chubu</t>
        </is>
      </c>
      <c r="G70" s="156" t="inlineStr">
        <is>
          <t>Not found</t>
        </is>
      </c>
      <c r="H70" s="156" t="inlineStr">
        <is>
          <t>動物用医薬品 卸売販売業 (JADIDA member); equipment sales capability to confirm</t>
        </is>
      </c>
      <c r="I70" s="156" t="inlineStr">
        <is>
          <t>No ultrasound line identified</t>
        </is>
      </c>
      <c r="J70" s="156" t="inlineStr">
        <is>
          <t>Both</t>
        </is>
      </c>
      <c r="K70" s="156" t="inlineStr">
        <is>
          <t>Ishikawa (Kanazawa)</t>
        </is>
      </c>
      <c r="L70" s="156" t="inlineStr">
        <is>
          <t>Not found</t>
        </is>
      </c>
      <c r="M70" s="156" t="inlineStr">
        <is>
          <t>n/a</t>
        </is>
      </c>
      <c r="N70" s="156" t="inlineStr">
        <is>
          <t>Not identified</t>
        </is>
      </c>
      <c r="O70" s="156" t="inlineStr">
        <is>
          <t>Not identified</t>
        </is>
      </c>
      <c r="P70" s="156" t="inlineStr">
        <is>
          <t>Not published; phone only</t>
        </is>
      </c>
      <c r="Q70" s="156" t="inlineStr">
        <is>
          <t>0766 23 9503</t>
        </is>
      </c>
      <c r="R70" s="156" t="inlineStr">
        <is>
          <t>Not identified</t>
        </is>
      </c>
      <c r="S70" s="156" t="inlineStr">
        <is>
          <t>Company inquiry only (phone); HQ is Takaoka, Toyama</t>
        </is>
      </c>
      <c r="T70" s="158">
        <f>SUM(Z70:AF70)</f>
        <v>22</v>
      </c>
      <c r="U70" s="161" t="inlineStr">
        <is>
          <t>V3</t>
        </is>
      </c>
      <c r="V70" s="156" t="inlineStr">
        <is>
          <t>Its head chairs the Ishikawa vet drug and equipment association.</t>
        </is>
      </c>
      <c r="W70" s="156" t="inlineStr">
        <is>
          <t>Rep carried demo of a pocket or portable scanner on existing drug routes; no stock commitment at first.</t>
        </is>
      </c>
      <c r="X70" s="156" t="inlineStr">
        <is>
          <t>Not checked (human list not in v17)</t>
        </is>
      </c>
      <c r="Y70" s="156" t="inlineStr">
        <is>
          <t>https://jadida.or.jp/doc/KaiinList20250822.pdf</t>
        </is>
      </c>
      <c r="Z70" s="156" t="n">
        <v>3</v>
      </c>
      <c r="AA70" s="156" t="n">
        <v>1</v>
      </c>
      <c r="AB70" s="156" t="n">
        <v>5</v>
      </c>
      <c r="AC70" s="156" t="n">
        <v>4</v>
      </c>
      <c r="AD70" s="156" t="n">
        <v>4</v>
      </c>
      <c r="AE70" s="156" t="n">
        <v>2</v>
      </c>
      <c r="AF70" s="156" t="n">
        <v>3</v>
      </c>
      <c r="AG70" s="156" t="inlineStr">
        <is>
          <t>Evidence backed</t>
        </is>
      </c>
    </row>
    <row r="71" ht="75" customHeight="1" s="114">
      <c r="A71" s="156" t="n">
        <v>67</v>
      </c>
      <c r="B71" s="156" t="inlineStr">
        <is>
          <t>Shinbo Edix Co., Ltd.</t>
        </is>
      </c>
      <c r="C71" s="156" t="inlineStr">
        <is>
          <t>株式会社信防エディックス</t>
        </is>
      </c>
      <c r="D71" s="156" t="inlineStr">
        <is>
          <t>Not found (NTA lookup blocked; dedupe by Japanese name)</t>
        </is>
      </c>
      <c r="E71" s="156" t="inlineStr">
        <is>
          <t>Nagano</t>
        </is>
      </c>
      <c r="F71" s="156" t="inlineStr">
        <is>
          <t>Chubu</t>
        </is>
      </c>
      <c r="G71" s="157" t="inlineStr">
        <is>
          <t>https://sinbou.co.jp/</t>
        </is>
      </c>
      <c r="H71" s="156" t="inlineStr">
        <is>
          <t>動物用医薬品 卸売販売業 (JADIDA member); equipment sales capability to confirm</t>
        </is>
      </c>
      <c r="I71" s="156" t="inlineStr">
        <is>
          <t>No ultrasound line identified</t>
        </is>
      </c>
      <c r="J71" s="156" t="inlineStr">
        <is>
          <t>Both</t>
        </is>
      </c>
      <c r="K71" s="156" t="inlineStr">
        <is>
          <t>Nagano</t>
        </is>
      </c>
      <c r="L71" s="156" t="inlineStr">
        <is>
          <t>Not found</t>
        </is>
      </c>
      <c r="M71" s="156" t="inlineStr">
        <is>
          <t>n/a</t>
        </is>
      </c>
      <c r="N71" s="156" t="inlineStr">
        <is>
          <t>Not identified</t>
        </is>
      </c>
      <c r="O71" s="156" t="inlineStr">
        <is>
          <t>Not identified</t>
        </is>
      </c>
      <c r="P71" s="156" t="inlineStr">
        <is>
          <t>sinbou@sinbou.co.jp</t>
        </is>
      </c>
      <c r="Q71" s="156" t="inlineStr">
        <is>
          <t>026 228 4161</t>
        </is>
      </c>
      <c r="R71" s="156" t="inlineStr">
        <is>
          <t>Not identified</t>
        </is>
      </c>
      <c r="S71" s="156" t="inlineStr">
        <is>
          <t>Likely (third party listing)</t>
        </is>
      </c>
      <c r="T71" s="158">
        <f>SUM(Z71:AF71)</f>
        <v>22</v>
      </c>
      <c r="U71" s="161" t="inlineStr">
        <is>
          <t>V3</t>
        </is>
      </c>
      <c r="V71" s="156" t="inlineStr">
        <is>
          <t>Nagano JADIDA member.</t>
        </is>
      </c>
      <c r="W71" s="156" t="inlineStr">
        <is>
          <t>Rep carried demo of a pocket or portable scanner on existing drug routes; no stock commitment at first.</t>
        </is>
      </c>
      <c r="X71" s="156" t="inlineStr">
        <is>
          <t>Not checked (human list not in v17)</t>
        </is>
      </c>
      <c r="Y71" s="156" t="inlineStr">
        <is>
          <t>https://jadida.or.jp/doc/KaiinList20250822.pdf ; http://www.nagano-arcs.jp/member/%E6%A0%AA%E5%BC%8F%E4%BC%9A%E7%A4%BE%E4%BF%A1%E9%98%B2%E3%82%A8%E3%83%87%E3%82%A3%E3%83%83%E3%82%AF%E3%82%B9/ ; https://sinbou.co.jp/contact/</t>
        </is>
      </c>
      <c r="Z71" s="156" t="n">
        <v>3</v>
      </c>
      <c r="AA71" s="156" t="n">
        <v>1</v>
      </c>
      <c r="AB71" s="156" t="n">
        <v>5</v>
      </c>
      <c r="AC71" s="156" t="n">
        <v>4</v>
      </c>
      <c r="AD71" s="156" t="n">
        <v>4</v>
      </c>
      <c r="AE71" s="156" t="n">
        <v>2</v>
      </c>
      <c r="AF71" s="156" t="n">
        <v>3</v>
      </c>
      <c r="AG71" s="156" t="inlineStr">
        <is>
          <t>Evidence backed</t>
        </is>
      </c>
    </row>
    <row r="72" ht="75" customHeight="1" s="114">
      <c r="A72" s="156" t="n">
        <v>68</v>
      </c>
      <c r="B72" s="156" t="inlineStr">
        <is>
          <t>Hikari Sakamoto Co., Ltd.</t>
        </is>
      </c>
      <c r="C72" s="156" t="inlineStr">
        <is>
          <t>ヒカリサカモト株式会社</t>
        </is>
      </c>
      <c r="D72" s="156" t="inlineStr">
        <is>
          <t>Not found (NTA lookup blocked; dedupe by Japanese name)</t>
        </is>
      </c>
      <c r="E72" s="156" t="inlineStr">
        <is>
          <t>Hiroshima</t>
        </is>
      </c>
      <c r="F72" s="156" t="inlineStr">
        <is>
          <t>Chugoku and Shikoku</t>
        </is>
      </c>
      <c r="G72" s="156" t="inlineStr">
        <is>
          <t>Not found</t>
        </is>
      </c>
      <c r="H72" s="156" t="inlineStr">
        <is>
          <t>動物用医薬品 卸売販売業 (JADIDA member); equipment sales capability to confirm</t>
        </is>
      </c>
      <c r="I72" s="156" t="inlineStr">
        <is>
          <t>No ultrasound line identified</t>
        </is>
      </c>
      <c r="J72" s="156" t="inlineStr">
        <is>
          <t>Both</t>
        </is>
      </c>
      <c r="K72" s="156" t="inlineStr">
        <is>
          <t>Hiroshima and Yamaguchi</t>
        </is>
      </c>
      <c r="L72" s="156" t="inlineStr">
        <is>
          <t>Not found</t>
        </is>
      </c>
      <c r="M72" s="156" t="inlineStr">
        <is>
          <t>n/a</t>
        </is>
      </c>
      <c r="N72" s="156" t="inlineStr">
        <is>
          <t>Not identified</t>
        </is>
      </c>
      <c r="O72" s="156" t="inlineStr">
        <is>
          <t>Not identified</t>
        </is>
      </c>
      <c r="P72" s="156" t="inlineStr">
        <is>
          <t>Not published; phone only</t>
        </is>
      </c>
      <c r="Q72" s="156" t="inlineStr">
        <is>
          <t>082 231 6990</t>
        </is>
      </c>
      <c r="R72" s="156" t="inlineStr">
        <is>
          <t>Not identified</t>
        </is>
      </c>
      <c r="S72" s="156" t="inlineStr">
        <is>
          <t>Company inquiry only (phone)</t>
        </is>
      </c>
      <c r="T72" s="158">
        <f>SUM(Z72:AF72)</f>
        <v>22</v>
      </c>
      <c r="U72" s="161" t="inlineStr">
        <is>
          <t>V3</t>
        </is>
      </c>
      <c r="V72" s="156" t="inlineStr">
        <is>
          <t>Hiroshima JADIDA member with a Yamaguchi office.</t>
        </is>
      </c>
      <c r="W72" s="156" t="inlineStr">
        <is>
          <t>Rep carried demo of a pocket or portable scanner on existing drug routes; no stock commitment at first.</t>
        </is>
      </c>
      <c r="X72" s="156" t="inlineStr">
        <is>
          <t>Not checked (human list not in v17)</t>
        </is>
      </c>
      <c r="Y72" s="156" t="inlineStr">
        <is>
          <t>https://www.jadida.or.jp/doc/KaiinList20241001.pdf ; https://jadida.or.jp/doc/KaiinList20250822.pdf</t>
        </is>
      </c>
      <c r="Z72" s="156" t="n">
        <v>3</v>
      </c>
      <c r="AA72" s="156" t="n">
        <v>1</v>
      </c>
      <c r="AB72" s="156" t="n">
        <v>5</v>
      </c>
      <c r="AC72" s="156" t="n">
        <v>4</v>
      </c>
      <c r="AD72" s="156" t="n">
        <v>4</v>
      </c>
      <c r="AE72" s="156" t="n">
        <v>2</v>
      </c>
      <c r="AF72" s="156" t="n">
        <v>3</v>
      </c>
      <c r="AG72" s="156" t="inlineStr">
        <is>
          <t>Evidence backed</t>
        </is>
      </c>
    </row>
    <row r="73" ht="75" customHeight="1" s="114">
      <c r="A73" s="156" t="n">
        <v>69</v>
      </c>
      <c r="B73" s="156" t="inlineStr">
        <is>
          <t>Juchiku Co., Ltd.</t>
        </is>
      </c>
      <c r="C73" s="156" t="inlineStr">
        <is>
          <t>株式会社ジュウチク</t>
        </is>
      </c>
      <c r="D73" s="156" t="inlineStr">
        <is>
          <t>Not found (NTA lookup blocked; dedupe by Japanese name)</t>
        </is>
      </c>
      <c r="E73" s="156" t="inlineStr">
        <is>
          <t>Okayama</t>
        </is>
      </c>
      <c r="F73" s="156" t="inlineStr">
        <is>
          <t>Chugoku and Shikoku</t>
        </is>
      </c>
      <c r="G73" s="157" t="inlineStr">
        <is>
          <t>https://jyuchiku.co.jp/</t>
        </is>
      </c>
      <c r="H73" s="156" t="inlineStr">
        <is>
          <t>動物用医薬品 卸売販売業 (JADIDA member); equipment sales capability to confirm</t>
        </is>
      </c>
      <c r="I73" s="156" t="inlineStr">
        <is>
          <t>No ultrasound line identified</t>
        </is>
      </c>
      <c r="J73" s="156" t="inlineStr">
        <is>
          <t>Both</t>
        </is>
      </c>
      <c r="K73" s="156" t="inlineStr">
        <is>
          <t>Okayama</t>
        </is>
      </c>
      <c r="L73" s="156" t="inlineStr">
        <is>
          <t>Not found</t>
        </is>
      </c>
      <c r="M73" s="156" t="inlineStr">
        <is>
          <t>n/a</t>
        </is>
      </c>
      <c r="N73" s="156" t="inlineStr">
        <is>
          <t>Not identified</t>
        </is>
      </c>
      <c r="O73" s="156" t="inlineStr">
        <is>
          <t>Not identified</t>
        </is>
      </c>
      <c r="P73" s="156" t="inlineStr">
        <is>
          <t>Not published; phone only</t>
        </is>
      </c>
      <c r="Q73" s="156" t="inlineStr">
        <is>
          <t>086 295 9230</t>
        </is>
      </c>
      <c r="R73" s="156" t="inlineStr">
        <is>
          <t>Not identified</t>
        </is>
      </c>
      <c r="S73" s="156" t="inlineStr">
        <is>
          <t>Company inquiry only (form); FLAG acquired by and Vet (Jul 2025), same group as and Vet row</t>
        </is>
      </c>
      <c r="T73" s="158">
        <f>SUM(Z73:AF73)</f>
        <v>22</v>
      </c>
      <c r="U73" s="161" t="inlineStr">
        <is>
          <t>V3</t>
        </is>
      </c>
      <c r="V73" s="156" t="inlineStr">
        <is>
          <t>Okayama JADIDA member.</t>
        </is>
      </c>
      <c r="W73" s="156" t="inlineStr">
        <is>
          <t>Rep carried demo of a pocket or portable scanner on existing drug routes; no stock commitment at first.</t>
        </is>
      </c>
      <c r="X73" s="156" t="inlineStr">
        <is>
          <t>Not checked (human list not in v17)</t>
        </is>
      </c>
      <c r="Y73" s="156" t="inlineStr">
        <is>
          <t>https://jadida.or.jp/doc/KaiinList20250822.pdf</t>
        </is>
      </c>
      <c r="Z73" s="156" t="n">
        <v>3</v>
      </c>
      <c r="AA73" s="156" t="n">
        <v>1</v>
      </c>
      <c r="AB73" s="156" t="n">
        <v>5</v>
      </c>
      <c r="AC73" s="156" t="n">
        <v>4</v>
      </c>
      <c r="AD73" s="156" t="n">
        <v>4</v>
      </c>
      <c r="AE73" s="156" t="n">
        <v>2</v>
      </c>
      <c r="AF73" s="156" t="n">
        <v>3</v>
      </c>
      <c r="AG73" s="156" t="inlineStr">
        <is>
          <t>Evidence backed</t>
        </is>
      </c>
    </row>
    <row r="74" ht="75" customHeight="1" s="114">
      <c r="A74" s="156" t="n">
        <v>70</v>
      </c>
      <c r="B74" s="156" t="inlineStr">
        <is>
          <t>Matsuda Iyakuhin Co., Ltd.</t>
        </is>
      </c>
      <c r="C74" s="156" t="inlineStr">
        <is>
          <t>松田医薬品株式会社</t>
        </is>
      </c>
      <c r="D74" s="156" t="inlineStr">
        <is>
          <t>Not found (NTA lookup blocked; dedupe by Japanese name)</t>
        </is>
      </c>
      <c r="E74" s="156" t="inlineStr">
        <is>
          <t>Kochi</t>
        </is>
      </c>
      <c r="F74" s="156" t="inlineStr">
        <is>
          <t>Chugoku and Shikoku</t>
        </is>
      </c>
      <c r="G74" s="157" t="inlineStr">
        <is>
          <t>https://www.matsudaiyaku.co.jp/</t>
        </is>
      </c>
      <c r="H74" s="156" t="inlineStr">
        <is>
          <t>動物用医薬品 卸売販売業 (JADIDA member); equipment sales capability to confirm</t>
        </is>
      </c>
      <c r="I74" s="156" t="inlineStr">
        <is>
          <t>No ultrasound line identified</t>
        </is>
      </c>
      <c r="J74" s="156" t="inlineStr">
        <is>
          <t>Both</t>
        </is>
      </c>
      <c r="K74" s="156" t="inlineStr">
        <is>
          <t>All four Shikoku prefectures (Tokushima, Kagawa, Matsuyama offices)</t>
        </is>
      </c>
      <c r="L74" s="156" t="inlineStr">
        <is>
          <t>Not found</t>
        </is>
      </c>
      <c r="M74" s="156" t="inlineStr">
        <is>
          <t>n/a</t>
        </is>
      </c>
      <c r="N74" s="156" t="inlineStr">
        <is>
          <t>Not identified</t>
        </is>
      </c>
      <c r="O74" s="156" t="inlineStr">
        <is>
          <t>Not identified</t>
        </is>
      </c>
      <c r="P74" s="156" t="inlineStr">
        <is>
          <t>Not published; inquiry form: https://www.matsudaiyaku.co.jp/_inquiry/inquiry.html</t>
        </is>
      </c>
      <c r="Q74" s="156" t="inlineStr">
        <is>
          <t>088 843 5111</t>
        </is>
      </c>
      <c r="R74" s="156" t="inlineStr">
        <is>
          <t>Not identified</t>
        </is>
      </c>
      <c r="S74" s="156" t="inlineStr">
        <is>
          <t>Company inquiry only (form)</t>
        </is>
      </c>
      <c r="T74" s="158">
        <f>SUM(Z74:AF74)</f>
        <v>22</v>
      </c>
      <c r="U74" s="161" t="inlineStr">
        <is>
          <t>V3</t>
        </is>
      </c>
      <c r="V74" s="156" t="inlineStr">
        <is>
          <t>Shikoku wide vet drug wholesaler; its head chairs the Kochi association.</t>
        </is>
      </c>
      <c r="W74" s="156" t="inlineStr">
        <is>
          <t>Rep carried demo of a pocket or portable scanner on existing drug routes; no stock commitment at first.</t>
        </is>
      </c>
      <c r="X74" s="156" t="inlineStr">
        <is>
          <t>Not checked (human list not in v17)</t>
        </is>
      </c>
      <c r="Y74" s="156" t="inlineStr">
        <is>
          <t>https://jadida.or.jp/doc/KaiinList20250401.pdf ; https://jadida.or.jp/doc/KaiinList20250822.pdf ; https://www.matsudaiyaku.co.jp/_inquiry/inquiry.html</t>
        </is>
      </c>
      <c r="Z74" s="156" t="n">
        <v>3</v>
      </c>
      <c r="AA74" s="156" t="n">
        <v>1</v>
      </c>
      <c r="AB74" s="156" t="n">
        <v>5</v>
      </c>
      <c r="AC74" s="156" t="n">
        <v>4</v>
      </c>
      <c r="AD74" s="156" t="n">
        <v>4</v>
      </c>
      <c r="AE74" s="156" t="n">
        <v>2</v>
      </c>
      <c r="AF74" s="156" t="n">
        <v>3</v>
      </c>
      <c r="AG74" s="156" t="inlineStr">
        <is>
          <t>Evidence backed</t>
        </is>
      </c>
    </row>
    <row r="75" ht="75" customHeight="1" s="114">
      <c r="A75" s="156" t="n">
        <v>71</v>
      </c>
      <c r="B75" s="156" t="inlineStr">
        <is>
          <t>Saito Shoten Ltd.</t>
        </is>
      </c>
      <c r="C75" s="156" t="inlineStr">
        <is>
          <t>有限会社斎藤商店</t>
        </is>
      </c>
      <c r="D75" s="156" t="inlineStr">
        <is>
          <t>Not found (NTA lookup blocked; dedupe by Japanese name)</t>
        </is>
      </c>
      <c r="E75" s="156" t="inlineStr">
        <is>
          <t>Shimane</t>
        </is>
      </c>
      <c r="F75" s="156" t="inlineStr">
        <is>
          <t>Chugoku and Shikoku</t>
        </is>
      </c>
      <c r="G75" s="156" t="inlineStr">
        <is>
          <t>Not found</t>
        </is>
      </c>
      <c r="H75" s="156" t="inlineStr">
        <is>
          <t>動物用医薬品 卸売販売業 (JADIDA member); equipment sales capability to confirm</t>
        </is>
      </c>
      <c r="I75" s="156" t="inlineStr">
        <is>
          <t>No ultrasound line identified</t>
        </is>
      </c>
      <c r="J75" s="156" t="inlineStr">
        <is>
          <t>Both</t>
        </is>
      </c>
      <c r="K75" s="156" t="inlineStr">
        <is>
          <t>Shimane</t>
        </is>
      </c>
      <c r="L75" s="156" t="inlineStr">
        <is>
          <t>Not found</t>
        </is>
      </c>
      <c r="M75" s="156" t="inlineStr">
        <is>
          <t>n/a</t>
        </is>
      </c>
      <c r="N75" s="156" t="inlineStr">
        <is>
          <t>Not identified</t>
        </is>
      </c>
      <c r="O75" s="156" t="inlineStr">
        <is>
          <t>Not identified</t>
        </is>
      </c>
      <c r="P75" s="156" t="inlineStr">
        <is>
          <t>Not published; phone only</t>
        </is>
      </c>
      <c r="Q75" s="156" t="inlineStr">
        <is>
          <t>Not found</t>
        </is>
      </c>
      <c r="R75" s="156" t="inlineStr">
        <is>
          <t>Not identified</t>
        </is>
      </c>
      <c r="S75" s="156" t="inlineStr">
        <is>
          <t>Unverified (no contact found in search)</t>
        </is>
      </c>
      <c r="T75" s="158">
        <f>SUM(Z75:AF75)</f>
        <v>22</v>
      </c>
      <c r="U75" s="161" t="inlineStr">
        <is>
          <t>V3</t>
        </is>
      </c>
      <c r="V75" s="156" t="inlineStr">
        <is>
          <t>Shimane JADIDA member.</t>
        </is>
      </c>
      <c r="W75" s="156" t="inlineStr">
        <is>
          <t>Rep carried demo of a pocket or portable scanner on existing drug routes; no stock commitment at first.</t>
        </is>
      </c>
      <c r="X75" s="156" t="inlineStr">
        <is>
          <t>Not checked (human list not in v17)</t>
        </is>
      </c>
      <c r="Y75" s="156" t="inlineStr">
        <is>
          <t>https://www.jadida.or.jp/doc/KaiinList20241001.pdf</t>
        </is>
      </c>
      <c r="Z75" s="156" t="n">
        <v>3</v>
      </c>
      <c r="AA75" s="156" t="n">
        <v>1</v>
      </c>
      <c r="AB75" s="156" t="n">
        <v>5</v>
      </c>
      <c r="AC75" s="156" t="n">
        <v>4</v>
      </c>
      <c r="AD75" s="156" t="n">
        <v>4</v>
      </c>
      <c r="AE75" s="156" t="n">
        <v>2</v>
      </c>
      <c r="AF75" s="156" t="n">
        <v>3</v>
      </c>
      <c r="AG75" s="156" t="inlineStr">
        <is>
          <t>Evidence backed</t>
        </is>
      </c>
    </row>
    <row r="76" ht="75" customHeight="1" s="114">
      <c r="A76" s="156" t="n">
        <v>72</v>
      </c>
      <c r="B76" s="156" t="inlineStr">
        <is>
          <t>Wako Shoji Co., Ltd.</t>
        </is>
      </c>
      <c r="C76" s="156" t="inlineStr">
        <is>
          <t>和光商事株式会社</t>
        </is>
      </c>
      <c r="D76" s="156" t="inlineStr">
        <is>
          <t>Not found (NTA lookup blocked; dedupe by Japanese name)</t>
        </is>
      </c>
      <c r="E76" s="156" t="inlineStr">
        <is>
          <t>Kochi</t>
        </is>
      </c>
      <c r="F76" s="156" t="inlineStr">
        <is>
          <t>Chugoku and Shikoku</t>
        </is>
      </c>
      <c r="G76" s="157" t="inlineStr">
        <is>
          <t>http://www.wakoshoji.jp/</t>
        </is>
      </c>
      <c r="H76" s="156" t="inlineStr">
        <is>
          <t>動物用医薬品 卸売販売業 (JADIDA member); equipment sales capability to confirm</t>
        </is>
      </c>
      <c r="I76" s="156" t="inlineStr">
        <is>
          <t>No ultrasound line identified</t>
        </is>
      </c>
      <c r="J76" s="156" t="inlineStr">
        <is>
          <t>Both</t>
        </is>
      </c>
      <c r="K76" s="156" t="inlineStr">
        <is>
          <t>Kochi</t>
        </is>
      </c>
      <c r="L76" s="156" t="inlineStr">
        <is>
          <t>Not found</t>
        </is>
      </c>
      <c r="M76" s="156" t="inlineStr">
        <is>
          <t>n/a</t>
        </is>
      </c>
      <c r="N76" s="156" t="inlineStr">
        <is>
          <t>Not identified</t>
        </is>
      </c>
      <c r="O76" s="156" t="inlineStr">
        <is>
          <t>Not identified</t>
        </is>
      </c>
      <c r="P76" s="156" t="inlineStr">
        <is>
          <t>gyoumu@wakoshoji.jp</t>
        </is>
      </c>
      <c r="Q76" s="156" t="inlineStr">
        <is>
          <t>088 883 3185</t>
        </is>
      </c>
      <c r="R76" s="156" t="inlineStr">
        <is>
          <t>Not identified</t>
        </is>
      </c>
      <c r="S76" s="156" t="inlineStr">
        <is>
          <t>Likely (third party listing)</t>
        </is>
      </c>
      <c r="T76" s="158">
        <f>SUM(Z76:AF76)</f>
        <v>22</v>
      </c>
      <c r="U76" s="161" t="inlineStr">
        <is>
          <t>V3</t>
        </is>
      </c>
      <c r="V76" s="156" t="inlineStr">
        <is>
          <t>Its executive leads the JADIDA Kinki, Chugoku and Shikoku block.</t>
        </is>
      </c>
      <c r="W76" s="156" t="inlineStr">
        <is>
          <t>Rep carried demo of a pocket or portable scanner on existing drug routes; no stock commitment at first.</t>
        </is>
      </c>
      <c r="X76" s="156" t="inlineStr">
        <is>
          <t>Not checked (human list not in v17)</t>
        </is>
      </c>
      <c r="Y76" s="156" t="inlineStr">
        <is>
          <t>https://jadida.or.jp/doc/KaiinList20250401.pdf ; https://oroshidanchi.or.jp/union/%E5%92%8C%E5%85%89%E5%95%86%E4%BA%8B%E3%80%80%E6%A0%AA%E5%BC%8F%E4%BC%9A%E7%A4%BE/</t>
        </is>
      </c>
      <c r="Z76" s="156" t="n">
        <v>3</v>
      </c>
      <c r="AA76" s="156" t="n">
        <v>1</v>
      </c>
      <c r="AB76" s="156" t="n">
        <v>5</v>
      </c>
      <c r="AC76" s="156" t="n">
        <v>4</v>
      </c>
      <c r="AD76" s="156" t="n">
        <v>4</v>
      </c>
      <c r="AE76" s="156" t="n">
        <v>2</v>
      </c>
      <c r="AF76" s="156" t="n">
        <v>3</v>
      </c>
      <c r="AG76" s="156" t="inlineStr">
        <is>
          <t>Evidence backed</t>
        </is>
      </c>
    </row>
    <row r="77" ht="75" customHeight="1" s="114">
      <c r="A77" s="156" t="n">
        <v>73</v>
      </c>
      <c r="B77" s="156" t="inlineStr">
        <is>
          <t>Kitagaki Yakuhin Co., Ltd.</t>
        </is>
      </c>
      <c r="C77" s="156" t="inlineStr">
        <is>
          <t>北垣薬品株式会社</t>
        </is>
      </c>
      <c r="D77" s="156" t="inlineStr">
        <is>
          <t>Not found (NTA lookup blocked; dedupe by Japanese name)</t>
        </is>
      </c>
      <c r="E77" s="156" t="inlineStr">
        <is>
          <t>Osaka</t>
        </is>
      </c>
      <c r="F77" s="156" t="inlineStr">
        <is>
          <t>Kansai</t>
        </is>
      </c>
      <c r="G77" s="156" t="inlineStr">
        <is>
          <t>Not found</t>
        </is>
      </c>
      <c r="H77" s="156" t="inlineStr">
        <is>
          <t>動物用医薬品 卸売販売業 (JADIDA member); equipment sales capability to confirm</t>
        </is>
      </c>
      <c r="I77" s="156" t="inlineStr">
        <is>
          <t>No ultrasound line identified</t>
        </is>
      </c>
      <c r="J77" s="156" t="inlineStr">
        <is>
          <t>Both</t>
        </is>
      </c>
      <c r="K77" s="156" t="inlineStr">
        <is>
          <t>Kansai</t>
        </is>
      </c>
      <c r="L77" s="156" t="inlineStr">
        <is>
          <t>Not found</t>
        </is>
      </c>
      <c r="M77" s="156" t="inlineStr">
        <is>
          <t>n/a</t>
        </is>
      </c>
      <c r="N77" s="156" t="inlineStr">
        <is>
          <t>Not identified</t>
        </is>
      </c>
      <c r="O77" s="156" t="inlineStr">
        <is>
          <t>Not identified</t>
        </is>
      </c>
      <c r="P77" s="156" t="inlineStr">
        <is>
          <t>Not published; phone only</t>
        </is>
      </c>
      <c r="Q77" s="156" t="inlineStr">
        <is>
          <t>06 6231 2273</t>
        </is>
      </c>
      <c r="R77" s="156" t="inlineStr">
        <is>
          <t>Not identified</t>
        </is>
      </c>
      <c r="S77" s="156" t="inlineStr">
        <is>
          <t>Company inquiry only (phone)</t>
        </is>
      </c>
      <c r="T77" s="158">
        <f>SUM(Z77:AF77)</f>
        <v>22</v>
      </c>
      <c r="U77" s="161" t="inlineStr">
        <is>
          <t>V3</t>
        </is>
      </c>
      <c r="V77" s="156" t="inlineStr">
        <is>
          <t>Doshomachi vet drug maker and wholesaler included in Fuji Keizai's vet dealer study.</t>
        </is>
      </c>
      <c r="W77" s="156" t="inlineStr">
        <is>
          <t>Rep carried demo of a pocket or portable scanner on existing drug routes; no stock commitment at first.</t>
        </is>
      </c>
      <c r="X77" s="156" t="inlineStr">
        <is>
          <t>Not checked (human list not in v17)</t>
        </is>
      </c>
      <c r="Y77" s="156" t="inlineStr">
        <is>
          <t>https://news.jprpet.com/company/list/174/ ; https://www.jadida.or.jp/doc/KaiinList20241001.pdf</t>
        </is>
      </c>
      <c r="Z77" s="156" t="n">
        <v>3</v>
      </c>
      <c r="AA77" s="156" t="n">
        <v>1</v>
      </c>
      <c r="AB77" s="156" t="n">
        <v>5</v>
      </c>
      <c r="AC77" s="156" t="n">
        <v>4</v>
      </c>
      <c r="AD77" s="156" t="n">
        <v>4</v>
      </c>
      <c r="AE77" s="156" t="n">
        <v>2</v>
      </c>
      <c r="AF77" s="156" t="n">
        <v>3</v>
      </c>
      <c r="AG77" s="156" t="inlineStr">
        <is>
          <t>Evidence backed</t>
        </is>
      </c>
    </row>
    <row r="78" ht="75" customHeight="1" s="114">
      <c r="A78" s="156" t="n">
        <v>74</v>
      </c>
      <c r="B78" s="156" t="inlineStr">
        <is>
          <t>Shinwa Sangyo Co., Ltd.</t>
        </is>
      </c>
      <c r="C78" s="156" t="inlineStr">
        <is>
          <t>新和産業株式会社</t>
        </is>
      </c>
      <c r="D78" s="156" t="inlineStr">
        <is>
          <t>Not found (NTA lookup blocked; dedupe by Japanese name)</t>
        </is>
      </c>
      <c r="E78" s="156" t="inlineStr">
        <is>
          <t>Mie</t>
        </is>
      </c>
      <c r="F78" s="156" t="inlineStr">
        <is>
          <t>Kansai</t>
        </is>
      </c>
      <c r="G78" s="156" t="inlineStr">
        <is>
          <t>Not found</t>
        </is>
      </c>
      <c r="H78" s="156" t="inlineStr">
        <is>
          <t>動物用医薬品 卸売販売業 (JADIDA member); equipment sales capability to confirm</t>
        </is>
      </c>
      <c r="I78" s="156" t="inlineStr">
        <is>
          <t>No ultrasound line identified</t>
        </is>
      </c>
      <c r="J78" s="156" t="inlineStr">
        <is>
          <t>Both</t>
        </is>
      </c>
      <c r="K78" s="156" t="inlineStr">
        <is>
          <t>Mie</t>
        </is>
      </c>
      <c r="L78" s="156" t="inlineStr">
        <is>
          <t>Not found</t>
        </is>
      </c>
      <c r="M78" s="156" t="inlineStr">
        <is>
          <t>n/a</t>
        </is>
      </c>
      <c r="N78" s="156" t="inlineStr">
        <is>
          <t>Not identified</t>
        </is>
      </c>
      <c r="O78" s="156" t="inlineStr">
        <is>
          <t>Not identified</t>
        </is>
      </c>
      <c r="P78" s="156" t="inlineStr">
        <is>
          <t>Not published; inquiry form: https://sinwasangyo.co.jp/contact/</t>
        </is>
      </c>
      <c r="Q78" s="156" t="inlineStr">
        <is>
          <t>0596 25 2288</t>
        </is>
      </c>
      <c r="R78" s="156" t="inlineStr">
        <is>
          <t>Not identified</t>
        </is>
      </c>
      <c r="S78" s="156" t="inlineStr">
        <is>
          <t>Company inquiry only (form)</t>
        </is>
      </c>
      <c r="T78" s="158">
        <f>SUM(Z78:AF78)</f>
        <v>22</v>
      </c>
      <c r="U78" s="161" t="inlineStr">
        <is>
          <t>V3</t>
        </is>
      </c>
      <c r="V78" s="156" t="inlineStr">
        <is>
          <t>Mie JADIDA member.</t>
        </is>
      </c>
      <c r="W78" s="156" t="inlineStr">
        <is>
          <t>Rep carried demo of a pocket or portable scanner on existing drug routes; no stock commitment at first.</t>
        </is>
      </c>
      <c r="X78" s="156" t="inlineStr">
        <is>
          <t>Not checked (human list not in v17)</t>
        </is>
      </c>
      <c r="Y78" s="156" t="inlineStr">
        <is>
          <t>https://jadida.or.jp/doc/KaiinList20250822.pdf ; https://sinwasangyo.co.jp/contact/</t>
        </is>
      </c>
      <c r="Z78" s="156" t="n">
        <v>3</v>
      </c>
      <c r="AA78" s="156" t="n">
        <v>1</v>
      </c>
      <c r="AB78" s="156" t="n">
        <v>5</v>
      </c>
      <c r="AC78" s="156" t="n">
        <v>4</v>
      </c>
      <c r="AD78" s="156" t="n">
        <v>4</v>
      </c>
      <c r="AE78" s="156" t="n">
        <v>2</v>
      </c>
      <c r="AF78" s="156" t="n">
        <v>3</v>
      </c>
      <c r="AG78" s="156" t="inlineStr">
        <is>
          <t>Evidence backed</t>
        </is>
      </c>
    </row>
    <row r="79" ht="75" customHeight="1" s="114">
      <c r="A79" s="156" t="n">
        <v>75</v>
      </c>
      <c r="B79" s="156" t="inlineStr">
        <is>
          <t>Yuwa Yakuhin Co., Ltd.</t>
        </is>
      </c>
      <c r="C79" s="156" t="inlineStr">
        <is>
          <t>裕和薬品株式会社</t>
        </is>
      </c>
      <c r="D79" s="156" t="inlineStr">
        <is>
          <t>Not found (NTA lookup blocked; dedupe by Japanese name)</t>
        </is>
      </c>
      <c r="E79" s="156" t="inlineStr">
        <is>
          <t>Osaka</t>
        </is>
      </c>
      <c r="F79" s="156" t="inlineStr">
        <is>
          <t>Kansai</t>
        </is>
      </c>
      <c r="G79" s="157" t="inlineStr">
        <is>
          <t>https://www.yuuwa-yakuhin.co.jp/</t>
        </is>
      </c>
      <c r="H79" s="156" t="inlineStr">
        <is>
          <t>動物用医薬品 and device wholesale (JADIDA member)</t>
        </is>
      </c>
      <c r="I79" s="156" t="inlineStr">
        <is>
          <t>Surgical instruments; no ultrasound identified</t>
        </is>
      </c>
      <c r="J79" s="156" t="inlineStr">
        <is>
          <t>Companion</t>
        </is>
      </c>
      <c r="K79" s="156" t="inlineStr">
        <is>
          <t>Kinki 2 prefectures and 5 counties</t>
        </is>
      </c>
      <c r="L79" s="156" t="inlineStr">
        <is>
          <t>Founded 1961; capital JPY 10M</t>
        </is>
      </c>
      <c r="M79" s="156" t="inlineStr">
        <is>
          <t>n/a</t>
        </is>
      </c>
      <c r="N79" s="156" t="inlineStr">
        <is>
          <t>Not identified</t>
        </is>
      </c>
      <c r="O79" s="156" t="inlineStr">
        <is>
          <t>Not identified</t>
        </is>
      </c>
      <c r="P79" s="156" t="inlineStr">
        <is>
          <t>Not published; phone only</t>
        </is>
      </c>
      <c r="Q79" s="156" t="inlineStr">
        <is>
          <t>06 6942 4531</t>
        </is>
      </c>
      <c r="R79" s="156" t="inlineStr">
        <is>
          <t>Not identified</t>
        </is>
      </c>
      <c r="S79" s="156" t="inlineStr">
        <is>
          <t>Company inquiry only (phone)</t>
        </is>
      </c>
      <c r="T79" s="158">
        <f>SUM(Z79:AF79)</f>
        <v>22</v>
      </c>
      <c r="U79" s="161" t="inlineStr">
        <is>
          <t>V3</t>
        </is>
      </c>
      <c r="V79" s="156" t="inlineStr">
        <is>
          <t>Wholesales both drugs and devices, including surgical instruments, to vets across Kinki.</t>
        </is>
      </c>
      <c r="W79" s="156" t="inlineStr">
        <is>
          <t>Kansai device line extension with demo pool.</t>
        </is>
      </c>
      <c r="X79" s="156" t="inlineStr">
        <is>
          <t>Not checked (human list not in v17)</t>
        </is>
      </c>
      <c r="Y79" s="156" t="inlineStr">
        <is>
          <t>https://news.jprpet.com/company/list/174/ ; https://baseconnect.in/companies/12d863e2-b869-4893-946b-29648c0a5d00 ; https://www.yuuwa-yakuhin.co.jp/</t>
        </is>
      </c>
      <c r="Z79" s="156" t="n">
        <v>3</v>
      </c>
      <c r="AA79" s="156" t="n">
        <v>2</v>
      </c>
      <c r="AB79" s="156" t="n">
        <v>5</v>
      </c>
      <c r="AC79" s="156" t="n">
        <v>5</v>
      </c>
      <c r="AD79" s="156" t="n">
        <v>2</v>
      </c>
      <c r="AE79" s="156" t="n">
        <v>2</v>
      </c>
      <c r="AF79" s="156" t="n">
        <v>3</v>
      </c>
      <c r="AG79" s="156" t="inlineStr">
        <is>
          <t>Evidence backed</t>
        </is>
      </c>
    </row>
    <row r="80" ht="75" customHeight="1" s="114">
      <c r="A80" s="156" t="n">
        <v>76</v>
      </c>
      <c r="B80" s="156" t="inlineStr">
        <is>
          <t>Chuo Orion Co., Ltd.</t>
        </is>
      </c>
      <c r="C80" s="156" t="inlineStr">
        <is>
          <t>中央オリオン株式会社</t>
        </is>
      </c>
      <c r="D80" s="156" t="inlineStr">
        <is>
          <t>Not found (NTA lookup blocked; dedupe by Japanese name)</t>
        </is>
      </c>
      <c r="E80" s="156" t="inlineStr">
        <is>
          <t>Saitama</t>
        </is>
      </c>
      <c r="F80" s="156" t="inlineStr">
        <is>
          <t>Kanto</t>
        </is>
      </c>
      <c r="G80" s="157" t="inlineStr">
        <is>
          <t>http://www.chuo-orion.co.jp/</t>
        </is>
      </c>
      <c r="H80" s="156" t="inlineStr">
        <is>
          <t>動物用医薬品 卸売販売業 (JADIDA member); equipment sales capability to confirm</t>
        </is>
      </c>
      <c r="I80" s="156" t="inlineStr">
        <is>
          <t>No ultrasound line identified</t>
        </is>
      </c>
      <c r="J80" s="156" t="inlineStr">
        <is>
          <t>Both</t>
        </is>
      </c>
      <c r="K80" s="156" t="inlineStr">
        <is>
          <t>Nagano and Gunma (Maebashi office)</t>
        </is>
      </c>
      <c r="L80" s="156" t="inlineStr">
        <is>
          <t>Not found</t>
        </is>
      </c>
      <c r="M80" s="156" t="inlineStr">
        <is>
          <t>n/a</t>
        </is>
      </c>
      <c r="N80" s="156" t="inlineStr">
        <is>
          <t>Not identified</t>
        </is>
      </c>
      <c r="O80" s="156" t="inlineStr">
        <is>
          <t>Not identified</t>
        </is>
      </c>
      <c r="P80" s="156" t="inlineStr">
        <is>
          <t>Not published; inquiry form: http://www.chuo-orion.co.jp/contact/</t>
        </is>
      </c>
      <c r="Q80" s="156" t="inlineStr">
        <is>
          <t>048 522 5395 (HQ); 0265 82 3157 (Nagano)</t>
        </is>
      </c>
      <c r="R80" s="156" t="inlineStr">
        <is>
          <t>Not identified</t>
        </is>
      </c>
      <c r="S80" s="156" t="inlineStr">
        <is>
          <t>Company inquiry only (form); HQ Kumagaya, Saitama (Orion Kikai group)</t>
        </is>
      </c>
      <c r="T80" s="158">
        <f>SUM(Z80:AF80)</f>
        <v>22</v>
      </c>
      <c r="U80" s="161" t="inlineStr">
        <is>
          <t>V3</t>
        </is>
      </c>
      <c r="V80" s="156" t="inlineStr">
        <is>
          <t>JADIDA member in Nagano with a Gunma branch; covers Kanto and Koshinetsu livestock.</t>
        </is>
      </c>
      <c r="W80" s="156" t="inlineStr">
        <is>
          <t>Rep carried demo of a pocket or portable scanner on existing drug routes; no stock commitment at first.</t>
        </is>
      </c>
      <c r="X80" s="156" t="inlineStr">
        <is>
          <t>Not checked (human list not in v17)</t>
        </is>
      </c>
      <c r="Y80" s="156" t="inlineStr">
        <is>
          <t>https://jadida.or.jp/doc/KaiinList20250822.pdf ; https://jadida.or.jp/doc/KaiinList20250401.pdf ; http://www.chuo-orion.co.jp/contact/</t>
        </is>
      </c>
      <c r="Z80" s="156" t="n">
        <v>3</v>
      </c>
      <c r="AA80" s="156" t="n">
        <v>1</v>
      </c>
      <c r="AB80" s="156" t="n">
        <v>5</v>
      </c>
      <c r="AC80" s="156" t="n">
        <v>4</v>
      </c>
      <c r="AD80" s="156" t="n">
        <v>4</v>
      </c>
      <c r="AE80" s="156" t="n">
        <v>2</v>
      </c>
      <c r="AF80" s="156" t="n">
        <v>3</v>
      </c>
      <c r="AG80" s="156" t="inlineStr">
        <is>
          <t>Evidence backed</t>
        </is>
      </c>
    </row>
    <row r="81" ht="75" customHeight="1" s="114">
      <c r="A81" s="156" t="n">
        <v>77</v>
      </c>
      <c r="B81" s="156" t="inlineStr">
        <is>
          <t>Kondo Yakuhin Ltd.</t>
        </is>
      </c>
      <c r="C81" s="156" t="inlineStr">
        <is>
          <t>近藤薬品有限会社</t>
        </is>
      </c>
      <c r="D81" s="156" t="inlineStr">
        <is>
          <t>Not found (NTA lookup blocked; dedupe by Japanese name)</t>
        </is>
      </c>
      <c r="E81" s="156" t="inlineStr">
        <is>
          <t>Ibaraki</t>
        </is>
      </c>
      <c r="F81" s="156" t="inlineStr">
        <is>
          <t>Kanto</t>
        </is>
      </c>
      <c r="G81" s="156" t="inlineStr">
        <is>
          <t>Not found</t>
        </is>
      </c>
      <c r="H81" s="156" t="inlineStr">
        <is>
          <t>動物用医薬品 卸売販売業 (JADIDA member); equipment sales capability to confirm</t>
        </is>
      </c>
      <c r="I81" s="156" t="inlineStr">
        <is>
          <t>No ultrasound line identified</t>
        </is>
      </c>
      <c r="J81" s="156" t="inlineStr">
        <is>
          <t>Both</t>
        </is>
      </c>
      <c r="K81" s="156" t="inlineStr">
        <is>
          <t>Ibaraki (Omitama)</t>
        </is>
      </c>
      <c r="L81" s="156" t="inlineStr">
        <is>
          <t>Not found</t>
        </is>
      </c>
      <c r="M81" s="156" t="inlineStr">
        <is>
          <t>n/a</t>
        </is>
      </c>
      <c r="N81" s="156" t="inlineStr">
        <is>
          <t>Not identified</t>
        </is>
      </c>
      <c r="O81" s="156" t="inlineStr">
        <is>
          <t>Not identified</t>
        </is>
      </c>
      <c r="P81" s="156" t="inlineStr">
        <is>
          <t>Not published; phone only</t>
        </is>
      </c>
      <c r="Q81" s="156" t="inlineStr">
        <is>
          <t>Not found</t>
        </is>
      </c>
      <c r="R81" s="156" t="inlineStr">
        <is>
          <t>Not identified</t>
        </is>
      </c>
      <c r="S81" s="156" t="inlineStr">
        <is>
          <t>Unverified (no contact found in search)</t>
        </is>
      </c>
      <c r="T81" s="158">
        <f>SUM(Z81:AF81)</f>
        <v>22</v>
      </c>
      <c r="U81" s="161" t="inlineStr">
        <is>
          <t>V3</t>
        </is>
      </c>
      <c r="V81" s="156" t="inlineStr">
        <is>
          <t>Ibaraki JADIDA member in a strong dairy and pig area.</t>
        </is>
      </c>
      <c r="W81" s="156" t="inlineStr">
        <is>
          <t>Rep carried demo of a pocket or portable scanner on existing drug routes; no stock commitment at first.</t>
        </is>
      </c>
      <c r="X81" s="156" t="inlineStr">
        <is>
          <t>Not checked (human list not in v17)</t>
        </is>
      </c>
      <c r="Y81" s="156" t="inlineStr">
        <is>
          <t>https://www.jadida.or.jp/doc/KaiinList20241001.pdf</t>
        </is>
      </c>
      <c r="Z81" s="156" t="n">
        <v>3</v>
      </c>
      <c r="AA81" s="156" t="n">
        <v>1</v>
      </c>
      <c r="AB81" s="156" t="n">
        <v>5</v>
      </c>
      <c r="AC81" s="156" t="n">
        <v>4</v>
      </c>
      <c r="AD81" s="156" t="n">
        <v>4</v>
      </c>
      <c r="AE81" s="156" t="n">
        <v>2</v>
      </c>
      <c r="AF81" s="156" t="n">
        <v>3</v>
      </c>
      <c r="AG81" s="156" t="inlineStr">
        <is>
          <t>Evidence backed</t>
        </is>
      </c>
    </row>
    <row r="82" ht="75" customHeight="1" s="114">
      <c r="A82" s="156" t="n">
        <v>78</v>
      </c>
      <c r="B82" s="156" t="inlineStr">
        <is>
          <t>Nihon Dobutsu Yakuhin Co., Ltd.</t>
        </is>
      </c>
      <c r="C82" s="156" t="inlineStr">
        <is>
          <t>日本動物薬品株式会社</t>
        </is>
      </c>
      <c r="D82" s="156" t="inlineStr">
        <is>
          <t>9011801003669</t>
        </is>
      </c>
      <c r="E82" s="156" t="inlineStr">
        <is>
          <t>Tokyo</t>
        </is>
      </c>
      <c r="F82" s="156" t="inlineStr">
        <is>
          <t>Kanto</t>
        </is>
      </c>
      <c r="G82" s="157" t="inlineStr">
        <is>
          <t>https://www.jpd-nd.com/</t>
        </is>
      </c>
      <c r="H82" s="156" t="inlineStr">
        <is>
          <t>動物用医薬品 卸売販売業 (JADIDA member); equipment sales capability to confirm</t>
        </is>
      </c>
      <c r="I82" s="156" t="inlineStr">
        <is>
          <t>No ultrasound line identified</t>
        </is>
      </c>
      <c r="J82" s="156" t="inlineStr">
        <is>
          <t>Both</t>
        </is>
      </c>
      <c r="K82" s="156" t="inlineStr">
        <is>
          <t>Tokyo (Katsushika)</t>
        </is>
      </c>
      <c r="L82" s="156" t="inlineStr">
        <is>
          <t>Not found</t>
        </is>
      </c>
      <c r="M82" s="156" t="inlineStr">
        <is>
          <t>n/a</t>
        </is>
      </c>
      <c r="N82" s="156" t="inlineStr">
        <is>
          <t>Not identified</t>
        </is>
      </c>
      <c r="O82" s="156" t="inlineStr">
        <is>
          <t>Not identified</t>
        </is>
      </c>
      <c r="P82" s="156" t="inlineStr">
        <is>
          <t>Not published; phone only</t>
        </is>
      </c>
      <c r="Q82" s="156" t="inlineStr">
        <is>
          <t>03 3694 1725</t>
        </is>
      </c>
      <c r="R82" s="156" t="inlineStr">
        <is>
          <t>Not identified</t>
        </is>
      </c>
      <c r="S82" s="156" t="inlineStr">
        <is>
          <t>Company inquiry only (form); FLAG focus is ornamental fish and pet drugs (Nichido)</t>
        </is>
      </c>
      <c r="T82" s="158">
        <f>SUM(Z82:AF82)</f>
        <v>22</v>
      </c>
      <c r="U82" s="161" t="inlineStr">
        <is>
          <t>V3</t>
        </is>
      </c>
      <c r="V82" s="156" t="inlineStr">
        <is>
          <t>Tokyo animal drug wholesaler; corporate number confirmed via gBizINFO.</t>
        </is>
      </c>
      <c r="W82" s="156" t="inlineStr">
        <is>
          <t>Rep carried demo of a pocket or portable scanner on existing drug routes; no stock commitment at first.</t>
        </is>
      </c>
      <c r="X82" s="156" t="inlineStr">
        <is>
          <t>Not checked (human list not in v17)</t>
        </is>
      </c>
      <c r="Y82" s="156" t="inlineStr">
        <is>
          <t>https://info.gbiz.go.jp/hojin/ichiran?hojinBango=9011801003669</t>
        </is>
      </c>
      <c r="Z82" s="156" t="n">
        <v>3</v>
      </c>
      <c r="AA82" s="156" t="n">
        <v>1</v>
      </c>
      <c r="AB82" s="156" t="n">
        <v>5</v>
      </c>
      <c r="AC82" s="156" t="n">
        <v>4</v>
      </c>
      <c r="AD82" s="156" t="n">
        <v>4</v>
      </c>
      <c r="AE82" s="156" t="n">
        <v>2</v>
      </c>
      <c r="AF82" s="156" t="n">
        <v>3</v>
      </c>
      <c r="AG82" s="156" t="inlineStr">
        <is>
          <t>Evidence backed</t>
        </is>
      </c>
    </row>
    <row r="83" ht="75" customHeight="1" s="114">
      <c r="A83" s="156" t="n">
        <v>79</v>
      </c>
      <c r="B83" s="156" t="inlineStr">
        <is>
          <t>San Ibis Co., Ltd.</t>
        </is>
      </c>
      <c r="C83" s="156" t="inlineStr">
        <is>
          <t>サンアイビス株式会社</t>
        </is>
      </c>
      <c r="D83" s="156" t="inlineStr">
        <is>
          <t>Not found (NTA lookup blocked; dedupe by Japanese name)</t>
        </is>
      </c>
      <c r="E83" s="156" t="inlineStr">
        <is>
          <t>Saitama</t>
        </is>
      </c>
      <c r="F83" s="156" t="inlineStr">
        <is>
          <t>Kanto</t>
        </is>
      </c>
      <c r="G83" s="157" t="inlineStr">
        <is>
          <t>https://www.sunibis.co.jp/</t>
        </is>
      </c>
      <c r="H83" s="156" t="inlineStr">
        <is>
          <t>動物用医薬品 卸売販売業 (JADIDA member); equipment sales capability to confirm</t>
        </is>
      </c>
      <c r="I83" s="156" t="inlineStr">
        <is>
          <t>No ultrasound line identified</t>
        </is>
      </c>
      <c r="J83" s="156" t="inlineStr">
        <is>
          <t>Both</t>
        </is>
      </c>
      <c r="K83" s="156" t="inlineStr">
        <is>
          <t>Kanto; West Japan office in Kyoto</t>
        </is>
      </c>
      <c r="L83" s="156" t="inlineStr">
        <is>
          <t>Not found</t>
        </is>
      </c>
      <c r="M83" s="156" t="inlineStr">
        <is>
          <t>n/a</t>
        </is>
      </c>
      <c r="N83" s="156" t="inlineStr">
        <is>
          <t>Not identified</t>
        </is>
      </c>
      <c r="O83" s="156" t="inlineStr">
        <is>
          <t>Not identified</t>
        </is>
      </c>
      <c r="P83" s="156" t="inlineStr">
        <is>
          <t>sunibis@sunibis.co.jp</t>
        </is>
      </c>
      <c r="Q83" s="156" t="inlineStr">
        <is>
          <t>048 633 0102</t>
        </is>
      </c>
      <c r="R83" s="156" t="inlineStr">
        <is>
          <t>Not identified</t>
        </is>
      </c>
      <c r="S83" s="156" t="inlineStr">
        <is>
          <t>Verified (published on own site, read via search); listed as privacy contact, ask to forward</t>
        </is>
      </c>
      <c r="T83" s="158">
        <f>SUM(Z83:AF83)</f>
        <v>22</v>
      </c>
      <c r="U83" s="161" t="inlineStr">
        <is>
          <t>V3</t>
        </is>
      </c>
      <c r="V83" s="156" t="inlineStr">
        <is>
          <t>Saitama vet drug wholesaler with a West Japan sales office in Kyoto.</t>
        </is>
      </c>
      <c r="W83" s="156" t="inlineStr">
        <is>
          <t>Rep carried demo of a pocket or portable scanner on existing drug routes; no stock commitment at first.</t>
        </is>
      </c>
      <c r="X83" s="156" t="inlineStr">
        <is>
          <t>Not checked (human list not in v17)</t>
        </is>
      </c>
      <c r="Y83" s="156" t="inlineStr">
        <is>
          <t>https://news.jprpet.com/company/list/174/ ; https://www.jadida.or.jp/doc/KaiinList20241001.pdf ; https://www.sunibis.co.jp/privacy/ ; https://www.sunibis.co.jp/contact-us/</t>
        </is>
      </c>
      <c r="Z83" s="156" t="n">
        <v>3</v>
      </c>
      <c r="AA83" s="156" t="n">
        <v>1</v>
      </c>
      <c r="AB83" s="156" t="n">
        <v>5</v>
      </c>
      <c r="AC83" s="156" t="n">
        <v>4</v>
      </c>
      <c r="AD83" s="156" t="n">
        <v>4</v>
      </c>
      <c r="AE83" s="156" t="n">
        <v>2</v>
      </c>
      <c r="AF83" s="156" t="n">
        <v>3</v>
      </c>
      <c r="AG83" s="156" t="inlineStr">
        <is>
          <t>Evidence backed</t>
        </is>
      </c>
    </row>
    <row r="84" ht="75" customHeight="1" s="114">
      <c r="A84" s="156" t="n">
        <v>80</v>
      </c>
      <c r="B84" s="156" t="inlineStr">
        <is>
          <t>Okimei Co., Ltd.</t>
        </is>
      </c>
      <c r="C84" s="156" t="inlineStr">
        <is>
          <t>株式会社沖明</t>
        </is>
      </c>
      <c r="D84" s="156" t="inlineStr">
        <is>
          <t>Not found (NTA lookup blocked; dedupe by Japanese name)</t>
        </is>
      </c>
      <c r="E84" s="156" t="inlineStr">
        <is>
          <t>Okinawa</t>
        </is>
      </c>
      <c r="F84" s="156" t="inlineStr">
        <is>
          <t>Kyushu and Okinawa</t>
        </is>
      </c>
      <c r="G84" s="157" t="inlineStr">
        <is>
          <t>https://www.okimei.co.jp/</t>
        </is>
      </c>
      <c r="H84" s="156" t="inlineStr">
        <is>
          <t>動物用医薬品 卸売販売業 (JADIDA member); equipment sales capability to confirm</t>
        </is>
      </c>
      <c r="I84" s="156" t="inlineStr">
        <is>
          <t>No ultrasound line identified</t>
        </is>
      </c>
      <c r="J84" s="156" t="inlineStr">
        <is>
          <t>Both</t>
        </is>
      </c>
      <c r="K84" s="156" t="inlineStr">
        <is>
          <t>Okinawa (Yonabaru)</t>
        </is>
      </c>
      <c r="L84" s="156" t="inlineStr">
        <is>
          <t>Not found</t>
        </is>
      </c>
      <c r="M84" s="156" t="inlineStr">
        <is>
          <t>n/a</t>
        </is>
      </c>
      <c r="N84" s="156" t="inlineStr">
        <is>
          <t>Not identified</t>
        </is>
      </c>
      <c r="O84" s="156" t="inlineStr">
        <is>
          <t>Not identified</t>
        </is>
      </c>
      <c r="P84" s="156" t="inlineStr">
        <is>
          <t>Not published; phone only</t>
        </is>
      </c>
      <c r="Q84" s="156" t="inlineStr">
        <is>
          <t>098 944 2233</t>
        </is>
      </c>
      <c r="R84" s="156" t="inlineStr">
        <is>
          <t>Not identified</t>
        </is>
      </c>
      <c r="S84" s="156" t="inlineStr">
        <is>
          <t>Company inquiry only (phone)</t>
        </is>
      </c>
      <c r="T84" s="158">
        <f>SUM(Z84:AF84)</f>
        <v>22</v>
      </c>
      <c r="U84" s="161" t="inlineStr">
        <is>
          <t>V3</t>
        </is>
      </c>
      <c r="V84" s="156" t="inlineStr">
        <is>
          <t>Okinawa JADIDA member; one of very few vet wholesalers on the island.</t>
        </is>
      </c>
      <c r="W84" s="156" t="inlineStr">
        <is>
          <t>Rep carried demo of a pocket or portable scanner on existing drug routes; no stock commitment at first.</t>
        </is>
      </c>
      <c r="X84" s="156" t="inlineStr">
        <is>
          <t>Not checked (human list not in v17)</t>
        </is>
      </c>
      <c r="Y84" s="156" t="inlineStr">
        <is>
          <t>https://jadida.or.jp/doc/KaiinList20250401.pdf</t>
        </is>
      </c>
      <c r="Z84" s="156" t="n">
        <v>3</v>
      </c>
      <c r="AA84" s="156" t="n">
        <v>1</v>
      </c>
      <c r="AB84" s="156" t="n">
        <v>5</v>
      </c>
      <c r="AC84" s="156" t="n">
        <v>4</v>
      </c>
      <c r="AD84" s="156" t="n">
        <v>4</v>
      </c>
      <c r="AE84" s="156" t="n">
        <v>2</v>
      </c>
      <c r="AF84" s="156" t="n">
        <v>3</v>
      </c>
      <c r="AG84" s="156" t="inlineStr">
        <is>
          <t>Evidence backed</t>
        </is>
      </c>
    </row>
    <row r="85" ht="75" customHeight="1" s="114">
      <c r="A85" s="156" t="n">
        <v>81</v>
      </c>
      <c r="B85" s="156" t="inlineStr">
        <is>
          <t>Kakizawa Zenkaido Pharmacy Ltd.</t>
        </is>
      </c>
      <c r="C85" s="156" t="inlineStr">
        <is>
          <t>有限会社柿沢全快堂薬局</t>
        </is>
      </c>
      <c r="D85" s="156" t="inlineStr">
        <is>
          <t>Not found (NTA lookup blocked; dedupe by Japanese name)</t>
        </is>
      </c>
      <c r="E85" s="156" t="inlineStr">
        <is>
          <t>Toyama</t>
        </is>
      </c>
      <c r="F85" s="156" t="inlineStr">
        <is>
          <t>Chubu</t>
        </is>
      </c>
      <c r="G85" s="156" t="inlineStr">
        <is>
          <t>Not found</t>
        </is>
      </c>
      <c r="H85" s="156" t="inlineStr">
        <is>
          <t>動物用医薬品 卸売販売業 (JADIDA member); equipment sales capability to confirm</t>
        </is>
      </c>
      <c r="I85" s="156" t="inlineStr">
        <is>
          <t>No ultrasound line identified</t>
        </is>
      </c>
      <c r="J85" s="156" t="inlineStr">
        <is>
          <t>Both</t>
        </is>
      </c>
      <c r="K85" s="156" t="inlineStr">
        <is>
          <t>Toyama</t>
        </is>
      </c>
      <c r="L85" s="156" t="inlineStr">
        <is>
          <t>Not found</t>
        </is>
      </c>
      <c r="M85" s="156" t="inlineStr">
        <is>
          <t>n/a</t>
        </is>
      </c>
      <c r="N85" s="156" t="inlineStr">
        <is>
          <t>Not identified</t>
        </is>
      </c>
      <c r="O85" s="156" t="inlineStr">
        <is>
          <t>Not identified</t>
        </is>
      </c>
      <c r="P85" s="156" t="inlineStr">
        <is>
          <t>Not published; phone only</t>
        </is>
      </c>
      <c r="Q85" s="156" t="inlineStr">
        <is>
          <t>076 425 5776</t>
        </is>
      </c>
      <c r="R85" s="156" t="inlineStr">
        <is>
          <t>Not identified</t>
        </is>
      </c>
      <c r="S85" s="156" t="inlineStr">
        <is>
          <t>Company inquiry only (phone)</t>
        </is>
      </c>
      <c r="T85" s="158">
        <f>SUM(Z85:AF85)</f>
        <v>21</v>
      </c>
      <c r="U85" s="161" t="inlineStr">
        <is>
          <t>V3</t>
        </is>
      </c>
      <c r="V85" s="156" t="inlineStr">
        <is>
          <t>Its head chairs the Toyama vet drug and equipment association. FLAG: Small business; equipment capacity likely limited.</t>
        </is>
      </c>
      <c r="W85" s="156" t="inlineStr">
        <is>
          <t>Rep carried demo of a pocket or portable scanner on existing drug routes; no stock commitment at first.</t>
        </is>
      </c>
      <c r="X85" s="156" t="inlineStr">
        <is>
          <t>Not checked (human list not in v17)</t>
        </is>
      </c>
      <c r="Y85" s="156" t="inlineStr">
        <is>
          <t>https://jadida.or.jp/doc/KaiinList20250401.pdf</t>
        </is>
      </c>
      <c r="Z85" s="156" t="n">
        <v>3</v>
      </c>
      <c r="AA85" s="156" t="n">
        <v>1</v>
      </c>
      <c r="AB85" s="156" t="n">
        <v>5</v>
      </c>
      <c r="AC85" s="156" t="n">
        <v>4</v>
      </c>
      <c r="AD85" s="156" t="n">
        <v>3</v>
      </c>
      <c r="AE85" s="156" t="n">
        <v>2</v>
      </c>
      <c r="AF85" s="156" t="n">
        <v>3</v>
      </c>
      <c r="AG85" s="156" t="inlineStr">
        <is>
          <t>Evidence backed</t>
        </is>
      </c>
    </row>
    <row r="86" ht="75" customHeight="1" s="114">
      <c r="A86" s="156" t="n">
        <v>82</v>
      </c>
      <c r="B86" s="156" t="inlineStr">
        <is>
          <t>Nakakita Yakuhin Co., Ltd.</t>
        </is>
      </c>
      <c r="C86" s="156" t="inlineStr">
        <is>
          <t>中北薬品株式会社</t>
        </is>
      </c>
      <c r="D86" s="156" t="inlineStr">
        <is>
          <t>Not found (NTA lookup blocked; dedupe by Japanese name)</t>
        </is>
      </c>
      <c r="E86" s="156" t="inlineStr">
        <is>
          <t>Aichi</t>
        </is>
      </c>
      <c r="F86" s="156" t="inlineStr">
        <is>
          <t>Chubu</t>
        </is>
      </c>
      <c r="G86" s="156" t="inlineStr">
        <is>
          <t>Not found</t>
        </is>
      </c>
      <c r="H86" s="156" t="inlineStr">
        <is>
          <t>動物用医薬品 卸売販売業 (JADIDA member); equipment sales capability to confirm</t>
        </is>
      </c>
      <c r="I86" s="156" t="inlineStr">
        <is>
          <t>No ultrasound line identified</t>
        </is>
      </c>
      <c r="J86" s="156" t="inlineStr">
        <is>
          <t>Both</t>
        </is>
      </c>
      <c r="K86" s="156" t="inlineStr">
        <is>
          <t>Tokai incl. Hamamatsu and Tsu branches</t>
        </is>
      </c>
      <c r="L86" s="156" t="inlineStr">
        <is>
          <t>Not found</t>
        </is>
      </c>
      <c r="M86" s="156" t="inlineStr">
        <is>
          <t>n/a</t>
        </is>
      </c>
      <c r="N86" s="156" t="inlineStr">
        <is>
          <t>Not identified</t>
        </is>
      </c>
      <c r="O86" s="156" t="inlineStr">
        <is>
          <t>Not identified</t>
        </is>
      </c>
      <c r="P86" s="156" t="inlineStr">
        <is>
          <t>Not published; phone only</t>
        </is>
      </c>
      <c r="Q86" s="156" t="inlineStr">
        <is>
          <t>Not found</t>
        </is>
      </c>
      <c r="R86" s="156" t="inlineStr">
        <is>
          <t>Not identified</t>
        </is>
      </c>
      <c r="S86" s="156" t="inlineStr">
        <is>
          <t>Unverified (no contact found in search)</t>
        </is>
      </c>
      <c r="T86" s="158">
        <f>SUM(Z86:AF86)</f>
        <v>21</v>
      </c>
      <c r="U86" s="161" t="inlineStr">
        <is>
          <t>V3</t>
        </is>
      </c>
      <c r="V86" s="156" t="inlineStr">
        <is>
          <t>Large Nagoya pharma wholesaler with an animal health business in Fuji Keizai's 2025 vet dealer ranking; JADIDA branches in Shizuoka and Mie.</t>
        </is>
      </c>
      <c r="W86" s="156" t="inlineStr">
        <is>
          <t>Rep carried demo of a pocket or portable scanner on existing drug routes; no stock commitment at first.</t>
        </is>
      </c>
      <c r="X86" s="156" t="inlineStr">
        <is>
          <t>Not checked (human list not in v17)</t>
        </is>
      </c>
      <c r="Y86" s="156" t="inlineStr">
        <is>
          <t>https://www.fuji-keizai.co.jp/report/detail.html?code=122410710&amp;la=ja&amp;la=en ; https://jadida.or.jp/doc/KaiinList20250822.pdf</t>
        </is>
      </c>
      <c r="Z86" s="156" t="n">
        <v>3</v>
      </c>
      <c r="AA86" s="156" t="n">
        <v>1</v>
      </c>
      <c r="AB86" s="156" t="n">
        <v>5</v>
      </c>
      <c r="AC86" s="156" t="n">
        <v>4</v>
      </c>
      <c r="AD86" s="156" t="n">
        <v>3</v>
      </c>
      <c r="AE86" s="156" t="n">
        <v>2</v>
      </c>
      <c r="AF86" s="156" t="n">
        <v>3</v>
      </c>
      <c r="AG86" s="156" t="inlineStr">
        <is>
          <t>Evidence backed</t>
        </is>
      </c>
    </row>
    <row r="87" ht="75" customHeight="1" s="114">
      <c r="A87" s="156" t="n">
        <v>83</v>
      </c>
      <c r="B87" s="156" t="inlineStr">
        <is>
          <t>Daiwa Yakuhin Ltd.</t>
        </is>
      </c>
      <c r="C87" s="156" t="inlineStr">
        <is>
          <t>有限会社ダイワ薬品</t>
        </is>
      </c>
      <c r="D87" s="156" t="inlineStr">
        <is>
          <t>Not found (NTA lookup blocked; dedupe by Japanese name)</t>
        </is>
      </c>
      <c r="E87" s="156" t="inlineStr">
        <is>
          <t>Nara</t>
        </is>
      </c>
      <c r="F87" s="156" t="inlineStr">
        <is>
          <t>Kansai</t>
        </is>
      </c>
      <c r="G87" s="156" t="inlineStr">
        <is>
          <t>Not found</t>
        </is>
      </c>
      <c r="H87" s="156" t="inlineStr">
        <is>
          <t>動物用医薬品 卸売販売業 (JADIDA member); equipment sales capability to confirm</t>
        </is>
      </c>
      <c r="I87" s="156" t="inlineStr">
        <is>
          <t>No ultrasound line identified</t>
        </is>
      </c>
      <c r="J87" s="156" t="inlineStr">
        <is>
          <t>Both</t>
        </is>
      </c>
      <c r="K87" s="156" t="inlineStr">
        <is>
          <t>Nara (Katsuragi)</t>
        </is>
      </c>
      <c r="L87" s="156" t="inlineStr">
        <is>
          <t>Not found</t>
        </is>
      </c>
      <c r="M87" s="156" t="inlineStr">
        <is>
          <t>n/a</t>
        </is>
      </c>
      <c r="N87" s="156" t="inlineStr">
        <is>
          <t>Not identified</t>
        </is>
      </c>
      <c r="O87" s="156" t="inlineStr">
        <is>
          <t>Not identified</t>
        </is>
      </c>
      <c r="P87" s="156" t="inlineStr">
        <is>
          <t>Not published; phone only</t>
        </is>
      </c>
      <c r="Q87" s="156" t="inlineStr">
        <is>
          <t>0745 69 6270</t>
        </is>
      </c>
      <c r="R87" s="156" t="inlineStr">
        <is>
          <t>Not identified</t>
        </is>
      </c>
      <c r="S87" s="156" t="inlineStr">
        <is>
          <t>Company inquiry only (phone)</t>
        </is>
      </c>
      <c r="T87" s="158">
        <f>SUM(Z87:AF87)</f>
        <v>21</v>
      </c>
      <c r="U87" s="161" t="inlineStr">
        <is>
          <t>V3</t>
        </is>
      </c>
      <c r="V87" s="156" t="inlineStr">
        <is>
          <t>Nara JADIDA member.</t>
        </is>
      </c>
      <c r="W87" s="156" t="inlineStr">
        <is>
          <t>Rep carried demo of a pocket or portable scanner on existing drug routes; no stock commitment at first.</t>
        </is>
      </c>
      <c r="X87" s="156" t="inlineStr">
        <is>
          <t>Not checked (human list not in v17)</t>
        </is>
      </c>
      <c r="Y87" s="156" t="inlineStr">
        <is>
          <t>https://www.jadida.or.jp/doc/KaiinList20241001.pdf</t>
        </is>
      </c>
      <c r="Z87" s="156" t="n">
        <v>3</v>
      </c>
      <c r="AA87" s="156" t="n">
        <v>1</v>
      </c>
      <c r="AB87" s="156" t="n">
        <v>5</v>
      </c>
      <c r="AC87" s="156" t="n">
        <v>4</v>
      </c>
      <c r="AD87" s="156" t="n">
        <v>3</v>
      </c>
      <c r="AE87" s="156" t="n">
        <v>2</v>
      </c>
      <c r="AF87" s="156" t="n">
        <v>3</v>
      </c>
      <c r="AG87" s="156" t="inlineStr">
        <is>
          <t>Evidence backed</t>
        </is>
      </c>
    </row>
    <row r="88" ht="75" customHeight="1" s="114">
      <c r="A88" s="156" t="n">
        <v>84</v>
      </c>
      <c r="B88" s="156" t="inlineStr">
        <is>
          <t>Kinzendo Co., Ltd.</t>
        </is>
      </c>
      <c r="C88" s="156" t="inlineStr">
        <is>
          <t>株式会社均善堂</t>
        </is>
      </c>
      <c r="D88" s="156" t="inlineStr">
        <is>
          <t>Not found (NTA lookup blocked; dedupe by Japanese name)</t>
        </is>
      </c>
      <c r="E88" s="156" t="inlineStr">
        <is>
          <t>Wakayama</t>
        </is>
      </c>
      <c r="F88" s="156" t="inlineStr">
        <is>
          <t>Kansai</t>
        </is>
      </c>
      <c r="G88" s="156" t="inlineStr">
        <is>
          <t>Not found</t>
        </is>
      </c>
      <c r="H88" s="156" t="inlineStr">
        <is>
          <t>動物用医薬品 卸売販売業 (JADIDA member); equipment sales capability to confirm</t>
        </is>
      </c>
      <c r="I88" s="156" t="inlineStr">
        <is>
          <t>No ultrasound line identified</t>
        </is>
      </c>
      <c r="J88" s="156" t="inlineStr">
        <is>
          <t>Both</t>
        </is>
      </c>
      <c r="K88" s="156" t="inlineStr">
        <is>
          <t>Wakayama</t>
        </is>
      </c>
      <c r="L88" s="156" t="inlineStr">
        <is>
          <t>Not found</t>
        </is>
      </c>
      <c r="M88" s="156" t="inlineStr">
        <is>
          <t>n/a</t>
        </is>
      </c>
      <c r="N88" s="156" t="inlineStr">
        <is>
          <t>Not identified</t>
        </is>
      </c>
      <c r="O88" s="156" t="inlineStr">
        <is>
          <t>Not identified</t>
        </is>
      </c>
      <c r="P88" s="156" t="inlineStr">
        <is>
          <t>Not published; phone only</t>
        </is>
      </c>
      <c r="Q88" s="156" t="inlineStr">
        <is>
          <t>073 447 3801</t>
        </is>
      </c>
      <c r="R88" s="156" t="inlineStr">
        <is>
          <t>Not identified</t>
        </is>
      </c>
      <c r="S88" s="156" t="inlineStr">
        <is>
          <t>Company inquiry only (phone)</t>
        </is>
      </c>
      <c r="T88" s="158">
        <f>SUM(Z88:AF88)</f>
        <v>21</v>
      </c>
      <c r="U88" s="161" t="inlineStr">
        <is>
          <t>V3</t>
        </is>
      </c>
      <c r="V88" s="156" t="inlineStr">
        <is>
          <t>Wakayama JADIDA member.</t>
        </is>
      </c>
      <c r="W88" s="156" t="inlineStr">
        <is>
          <t>Rep carried demo of a pocket or portable scanner on existing drug routes; no stock commitment at first.</t>
        </is>
      </c>
      <c r="X88" s="156" t="inlineStr">
        <is>
          <t>Not checked (human list not in v17)</t>
        </is>
      </c>
      <c r="Y88" s="156" t="inlineStr">
        <is>
          <t>https://www.jadida.or.jp/doc/KaiinList20241001.pdf</t>
        </is>
      </c>
      <c r="Z88" s="156" t="n">
        <v>3</v>
      </c>
      <c r="AA88" s="156" t="n">
        <v>1</v>
      </c>
      <c r="AB88" s="156" t="n">
        <v>5</v>
      </c>
      <c r="AC88" s="156" t="n">
        <v>4</v>
      </c>
      <c r="AD88" s="156" t="n">
        <v>3</v>
      </c>
      <c r="AE88" s="156" t="n">
        <v>2</v>
      </c>
      <c r="AF88" s="156" t="n">
        <v>3</v>
      </c>
      <c r="AG88" s="156" t="inlineStr">
        <is>
          <t>Evidence backed</t>
        </is>
      </c>
    </row>
    <row r="89" ht="75" customHeight="1" s="114">
      <c r="A89" s="156" t="n">
        <v>85</v>
      </c>
      <c r="B89" s="156" t="inlineStr">
        <is>
          <t>Fair Medical</t>
        </is>
      </c>
      <c r="C89" s="156" t="inlineStr">
        <is>
          <t>フェアーメディカル</t>
        </is>
      </c>
      <c r="D89" s="156" t="inlineStr">
        <is>
          <t>Not found (NTA lookup blocked; dedupe by Japanese name)</t>
        </is>
      </c>
      <c r="E89" s="156" t="inlineStr">
        <is>
          <t>Chiba</t>
        </is>
      </c>
      <c r="F89" s="156" t="inlineStr">
        <is>
          <t>Kanto</t>
        </is>
      </c>
      <c r="G89" s="157" t="inlineStr">
        <is>
          <t>https://www.fair-medical.jp/</t>
        </is>
      </c>
      <c r="H89" s="156" t="inlineStr">
        <is>
          <t>Human device sales licences; 動物用 device sales evidence in source</t>
        </is>
      </c>
      <c r="I89" s="156" t="inlineStr">
        <is>
          <t>Human multi brand lines (ultrasound brands not confirmed)</t>
        </is>
      </c>
      <c r="J89" s="156" t="inlineStr">
        <is>
          <t>Companion</t>
        </is>
      </c>
      <c r="K89" s="156" t="inlineStr">
        <is>
          <t>National (used equipment)</t>
        </is>
      </c>
      <c r="L89" s="156" t="inlineStr">
        <is>
          <t>Not found</t>
        </is>
      </c>
      <c r="M89" s="156" t="inlineStr">
        <is>
          <t>n/a</t>
        </is>
      </c>
      <c r="N89" s="156" t="inlineStr">
        <is>
          <t>Not identified</t>
        </is>
      </c>
      <c r="O89" s="156" t="inlineStr">
        <is>
          <t>Not identified</t>
        </is>
      </c>
      <c r="P89" s="156" t="inlineStr">
        <is>
          <t>Not published; inquiry form: https://www.fair-medical.jp/inquiry</t>
        </is>
      </c>
      <c r="Q89" s="156" t="inlineStr">
        <is>
          <t>04 7199 7460</t>
        </is>
      </c>
      <c r="R89" s="156" t="inlineStr">
        <is>
          <t>Not identified</t>
        </is>
      </c>
      <c r="S89" s="156" t="inlineStr">
        <is>
          <t>Company inquiry only (form); legal name 株式会社Fair Medical, Kashiwa, Chiba</t>
        </is>
      </c>
      <c r="T89" s="158">
        <f>SUM(Z89:AF89)</f>
        <v>20</v>
      </c>
      <c r="U89" s="162" t="inlineStr">
        <is>
          <t>V4</t>
        </is>
      </c>
      <c r="V89" s="156" t="inlineStr">
        <is>
          <t>Used equipment buyer and seller handling ultrasound; appears in animal hospital used equipment searches. FLAG: Vet share of business unclear. FLAG: screened out in the v9 Reconciliation tab of the v17 workbook (no published vet business); kept only as a V4 qualify first lead.</t>
        </is>
      </c>
      <c r="W89" s="156" t="inlineStr">
        <is>
          <t>Imaging service capability for the vet clinics they already serve; start with SonoEye handhelds.</t>
        </is>
      </c>
      <c r="X89" s="156" t="inlineStr">
        <is>
          <t>Y (named in v9 human dealer screen)</t>
        </is>
      </c>
      <c r="Y89" s="156" t="inlineStr">
        <is>
          <t>https://www.fair-medical.jp/ ; https://www.fair-medical.jp/inquiry</t>
        </is>
      </c>
      <c r="Z89" s="156" t="n">
        <v>3</v>
      </c>
      <c r="AA89" s="156" t="n">
        <v>4</v>
      </c>
      <c r="AB89" s="156" t="n">
        <v>3</v>
      </c>
      <c r="AC89" s="156" t="n">
        <v>3</v>
      </c>
      <c r="AD89" s="156" t="n">
        <v>1</v>
      </c>
      <c r="AE89" s="156" t="n">
        <v>4</v>
      </c>
      <c r="AF89" s="156" t="n">
        <v>2</v>
      </c>
      <c r="AG89" s="156" t="inlineStr">
        <is>
          <t>Evidence backed</t>
        </is>
      </c>
    </row>
    <row r="90" ht="75" customHeight="1" s="114">
      <c r="A90" s="156" t="n">
        <v>86</v>
      </c>
      <c r="B90" s="156" t="inlineStr">
        <is>
          <t>Mutoh Co., Ltd. (wism)</t>
        </is>
      </c>
      <c r="C90" s="156" t="inlineStr">
        <is>
          <t>株式会社ムトウ</t>
        </is>
      </c>
      <c r="D90" s="156" t="inlineStr">
        <is>
          <t>Not found (NTA lookup blocked; dedupe by Japanese name)</t>
        </is>
      </c>
      <c r="E90" s="156" t="inlineStr">
        <is>
          <t>Hokkaido</t>
        </is>
      </c>
      <c r="F90" s="156" t="inlineStr">
        <is>
          <t>Tohoku and Hokkaido</t>
        </is>
      </c>
      <c r="G90" s="157" t="inlineStr">
        <is>
          <t>https://www.wism-mutoh.jp</t>
        </is>
      </c>
      <c r="H90" s="156" t="inlineStr">
        <is>
          <t>Human device sales licences; 動物用 device sales evidence in source</t>
        </is>
      </c>
      <c r="I90" s="156" t="inlineStr">
        <is>
          <t>Human multi brand lines (ultrasound brands not confirmed)</t>
        </is>
      </c>
      <c r="J90" s="156" t="inlineStr">
        <is>
          <t>Companion</t>
        </is>
      </c>
      <c r="K90" s="156" t="inlineStr">
        <is>
          <t>Hokkaido, Tohoku, Kanto and Kansai branches</t>
        </is>
      </c>
      <c r="L90" s="156" t="inlineStr">
        <is>
          <t>Top 3 Japanese dealer by sales (Arrows column)</t>
        </is>
      </c>
      <c r="M90" s="156" t="inlineStr">
        <is>
          <t>n/a</t>
        </is>
      </c>
      <c r="N90" s="156" t="inlineStr">
        <is>
          <t>Not identified</t>
        </is>
      </c>
      <c r="O90" s="156" t="inlineStr">
        <is>
          <t>Not identified</t>
        </is>
      </c>
      <c r="P90" s="156" t="inlineStr">
        <is>
          <t>cs-order@ni.wism-mutoh.co.jp</t>
        </is>
      </c>
      <c r="Q90" s="156" t="inlineStr">
        <is>
          <t>011 746 5111 (Sapporo HQ)</t>
        </is>
      </c>
      <c r="R90" s="156" t="inlineStr">
        <is>
          <t>Not identified</t>
        </is>
      </c>
      <c r="S90" s="156" t="inlineStr">
        <is>
          <t>Verified (published on own site, read via search); CS order desk</t>
        </is>
      </c>
      <c r="T90" s="158">
        <f>SUM(Z90:AF90)</f>
        <v>20</v>
      </c>
      <c r="U90" s="162" t="inlineStr">
        <is>
          <t>V4</t>
        </is>
      </c>
      <c r="V90" s="156" t="inlineStr">
        <is>
          <t>Third largest Japanese device dealer by sales; several Hokkaido branches publish 動物用高度管理医療機器等販売業 licences, so they already sell to vets.</t>
        </is>
      </c>
      <c r="W90" s="156" t="inlineStr">
        <is>
          <t>Imaging service capability for the vet clinics they already serve; start with SonoEye handhelds.</t>
        </is>
      </c>
      <c r="X90" s="156" t="inlineStr">
        <is>
          <t>Not checked (human list not in v17)</t>
        </is>
      </c>
      <c r="Y90" s="156" t="inlineStr">
        <is>
          <t>https://www.wism-mutoh.jp/bases/?region=%E5%8C%97%E6%B5%B7%E9%81%93 ; https://note.com/arrows_column/n/nd4fd35a1d8b1 ; https://shop.wism-mutoh.co.jp/contact.php ; https://www.wism-mutoh.jp/contact/</t>
        </is>
      </c>
      <c r="Z90" s="156" t="n">
        <v>3</v>
      </c>
      <c r="AA90" s="156" t="n">
        <v>4</v>
      </c>
      <c r="AB90" s="156" t="n">
        <v>3</v>
      </c>
      <c r="AC90" s="156" t="n">
        <v>3</v>
      </c>
      <c r="AD90" s="156" t="n">
        <v>1</v>
      </c>
      <c r="AE90" s="156" t="n">
        <v>4</v>
      </c>
      <c r="AF90" s="156" t="n">
        <v>2</v>
      </c>
      <c r="AG90" s="156" t="inlineStr">
        <is>
          <t>Evidence backed</t>
        </is>
      </c>
    </row>
    <row r="91" ht="75" customHeight="1" s="114">
      <c r="A91" s="156" t="n">
        <v>87</v>
      </c>
      <c r="B91" s="156" t="inlineStr">
        <is>
          <t>Sysmex TMC Co., Ltd.</t>
        </is>
      </c>
      <c r="C91" s="156" t="inlineStr">
        <is>
          <t>シスメックスTMC株式会社</t>
        </is>
      </c>
      <c r="D91" s="156" t="inlineStr">
        <is>
          <t>Not found (NTA lookup blocked; dedupe by Japanese name)</t>
        </is>
      </c>
      <c r="E91" s="156" t="inlineStr">
        <is>
          <t>Hyogo</t>
        </is>
      </c>
      <c r="F91" s="156" t="inlineStr">
        <is>
          <t>Kansai</t>
        </is>
      </c>
      <c r="G91" s="157" t="inlineStr">
        <is>
          <t>https://www.sysmex-tmc.co.jp/index.html</t>
        </is>
      </c>
      <c r="H91" s="156" t="inlineStr">
        <is>
          <t>Human device sales licences; 動物用 device sales evidence in source</t>
        </is>
      </c>
      <c r="I91" s="156" t="inlineStr">
        <is>
          <t>Human multi brand lines (ultrasound brands not confirmed)</t>
        </is>
      </c>
      <c r="J91" s="156" t="inlineStr">
        <is>
          <t>Companion</t>
        </is>
      </c>
      <c r="K91" s="156" t="inlineStr">
        <is>
          <t>Kobe and Kansai</t>
        </is>
      </c>
      <c r="L91" s="156" t="inlineStr">
        <is>
          <t>Not found</t>
        </is>
      </c>
      <c r="M91" s="156" t="inlineStr">
        <is>
          <t>n/a</t>
        </is>
      </c>
      <c r="N91" s="156" t="inlineStr">
        <is>
          <t>Not identified</t>
        </is>
      </c>
      <c r="O91" s="156" t="inlineStr">
        <is>
          <t>Not identified</t>
        </is>
      </c>
      <c r="P91" s="156" t="inlineStr">
        <is>
          <t>Not published; phone only</t>
        </is>
      </c>
      <c r="Q91" s="156" t="inlineStr">
        <is>
          <t>078 992 6921 (sales)</t>
        </is>
      </c>
      <c r="R91" s="156" t="inlineStr">
        <is>
          <t>Not identified</t>
        </is>
      </c>
      <c r="S91" s="156" t="inlineStr">
        <is>
          <t>Company inquiry only (form); sells vet haematology analysers</t>
        </is>
      </c>
      <c r="T91" s="158">
        <f>SUM(Z91:AF91)</f>
        <v>19</v>
      </c>
      <c r="U91" s="162" t="inlineStr">
        <is>
          <t>V4</t>
        </is>
      </c>
      <c r="V91" s="156" t="inlineStr">
        <is>
          <t>JAMO member listed for device sales and installation into the vet sector.</t>
        </is>
      </c>
      <c r="W91" s="156" t="inlineStr">
        <is>
          <t>Imaging service capability for the vet clinics they already serve; start with SonoEye handhelds.</t>
        </is>
      </c>
      <c r="X91" s="156" t="inlineStr">
        <is>
          <t>Not checked (human list not in v17)</t>
        </is>
      </c>
      <c r="Y91" s="156" t="inlineStr">
        <is>
          <t>https://www.jamo.or.jp/member/</t>
        </is>
      </c>
      <c r="Z91" s="156" t="n">
        <v>3</v>
      </c>
      <c r="AA91" s="156" t="n">
        <v>3</v>
      </c>
      <c r="AB91" s="156" t="n">
        <v>3</v>
      </c>
      <c r="AC91" s="156" t="n">
        <v>3</v>
      </c>
      <c r="AD91" s="156" t="n">
        <v>1</v>
      </c>
      <c r="AE91" s="156" t="n">
        <v>4</v>
      </c>
      <c r="AF91" s="156" t="n">
        <v>2</v>
      </c>
      <c r="AG91" s="156" t="inlineStr">
        <is>
          <t>Evidence backed</t>
        </is>
      </c>
    </row>
    <row r="92" ht="75" customHeight="1" s="114">
      <c r="A92" s="156" t="n">
        <v>88</v>
      </c>
      <c r="B92" s="156" t="inlineStr">
        <is>
          <t>Shiratake Ika Kikai Co., Ltd.</t>
        </is>
      </c>
      <c r="C92" s="156" t="inlineStr">
        <is>
          <t>白竹医科器械株式会社</t>
        </is>
      </c>
      <c r="D92" s="156" t="inlineStr">
        <is>
          <t>6040001094684</t>
        </is>
      </c>
      <c r="E92" s="156" t="inlineStr">
        <is>
          <t>Chiba</t>
        </is>
      </c>
      <c r="F92" s="156" t="inlineStr">
        <is>
          <t>Kanto</t>
        </is>
      </c>
      <c r="G92" s="157" t="inlineStr">
        <is>
          <t>https://shiratake-med.com/</t>
        </is>
      </c>
      <c r="H92" s="156" t="inlineStr">
        <is>
          <t>Human device sales licences; 動物用 device sales evidence in source</t>
        </is>
      </c>
      <c r="I92" s="156" t="inlineStr">
        <is>
          <t>Human multi brand lines (ultrasound brands not confirmed)</t>
        </is>
      </c>
      <c r="J92" s="156" t="inlineStr">
        <is>
          <t>Companion</t>
        </is>
      </c>
      <c r="K92" s="156" t="inlineStr">
        <is>
          <t>Kanto animal hospitals and clinics</t>
        </is>
      </c>
      <c r="L92" s="156" t="inlineStr">
        <is>
          <t>Not found</t>
        </is>
      </c>
      <c r="M92" s="156" t="inlineStr">
        <is>
          <t>n/a</t>
        </is>
      </c>
      <c r="N92" s="156" t="inlineStr">
        <is>
          <t>Not identified</t>
        </is>
      </c>
      <c r="O92" s="156" t="inlineStr">
        <is>
          <t>Not identified</t>
        </is>
      </c>
      <c r="P92" s="156" t="inlineStr">
        <is>
          <t>Not published; phone only</t>
        </is>
      </c>
      <c r="Q92" s="156" t="inlineStr">
        <is>
          <t>043 312 2875</t>
        </is>
      </c>
      <c r="R92" s="156" t="inlineStr">
        <is>
          <t>Not identified</t>
        </is>
      </c>
      <c r="S92" s="156" t="inlineStr">
        <is>
          <t>Company inquiry only (form)</t>
        </is>
      </c>
      <c r="T92" s="158">
        <f>SUM(Z92:AF92)</f>
        <v>19</v>
      </c>
      <c r="U92" s="162" t="inlineStr">
        <is>
          <t>V4</t>
        </is>
      </c>
      <c r="V92" s="156" t="inlineStr">
        <is>
          <t>Surgical and orthopaedic device dealer that also sells animal medical devices and installs X ray shielding; main customers are Kanto animal hospitals and clinics.</t>
        </is>
      </c>
      <c r="W92" s="156" t="inlineStr">
        <is>
          <t>Imaging service capability for the vet clinics they already serve; start with SonoEye handhelds.</t>
        </is>
      </c>
      <c r="X92" s="156" t="inlineStr">
        <is>
          <t>Not checked (human list not in v17)</t>
        </is>
      </c>
      <c r="Y92" s="156" t="inlineStr">
        <is>
          <t>https://shiratake-med.com/ ; https://irbank.net/mynumber/6040001094684 ; https://baseconnect.in/companies/b07e60c3-332e-4f05-b347-64f99a864067</t>
        </is>
      </c>
      <c r="Z92" s="156" t="n">
        <v>3</v>
      </c>
      <c r="AA92" s="156" t="n">
        <v>3</v>
      </c>
      <c r="AB92" s="156" t="n">
        <v>3</v>
      </c>
      <c r="AC92" s="156" t="n">
        <v>3</v>
      </c>
      <c r="AD92" s="156" t="n">
        <v>1</v>
      </c>
      <c r="AE92" s="156" t="n">
        <v>4</v>
      </c>
      <c r="AF92" s="156" t="n">
        <v>2</v>
      </c>
      <c r="AG92" s="156" t="inlineStr">
        <is>
          <t>Evidence backed</t>
        </is>
      </c>
    </row>
    <row r="93" ht="75" customHeight="1" s="114">
      <c r="A93" s="156" t="n">
        <v>89</v>
      </c>
      <c r="B93" s="156" t="inlineStr">
        <is>
          <t>Solve Corporation</t>
        </is>
      </c>
      <c r="C93" s="156" t="inlineStr">
        <is>
          <t>ソルブ株式会社</t>
        </is>
      </c>
      <c r="D93" s="156" t="inlineStr">
        <is>
          <t>Not found (NTA lookup blocked; dedupe by Japanese name)</t>
        </is>
      </c>
      <c r="E93" s="156" t="inlineStr">
        <is>
          <t>Kanagawa</t>
        </is>
      </c>
      <c r="F93" s="156" t="inlineStr">
        <is>
          <t>Kanto</t>
        </is>
      </c>
      <c r="G93" s="157" t="inlineStr">
        <is>
          <t>https://www.solve-net.com</t>
        </is>
      </c>
      <c r="H93" s="156" t="inlineStr">
        <is>
          <t>Human device sales licences; 動物用 device sales evidence in source</t>
        </is>
      </c>
      <c r="I93" s="156" t="inlineStr">
        <is>
          <t>Human multi brand lines (ultrasound brands not confirmed)</t>
        </is>
      </c>
      <c r="J93" s="156" t="inlineStr">
        <is>
          <t>Companion</t>
        </is>
      </c>
      <c r="K93" s="156" t="inlineStr">
        <is>
          <t>Kanagawa and Kanto</t>
        </is>
      </c>
      <c r="L93" s="156" t="inlineStr">
        <is>
          <t>Not found</t>
        </is>
      </c>
      <c r="M93" s="156" t="inlineStr">
        <is>
          <t>n/a</t>
        </is>
      </c>
      <c r="N93" s="156" t="inlineStr">
        <is>
          <t>Not identified</t>
        </is>
      </c>
      <c r="O93" s="156" t="inlineStr">
        <is>
          <t>Not identified</t>
        </is>
      </c>
      <c r="P93" s="156" t="inlineStr">
        <is>
          <t>webinfo@solve-net.com</t>
        </is>
      </c>
      <c r="Q93" s="156" t="inlineStr">
        <is>
          <t>045 476 3000 (sales HQ)</t>
        </is>
      </c>
      <c r="R93" s="156" t="inlineStr">
        <is>
          <t>Not identified</t>
        </is>
      </c>
      <c r="S93" s="156" t="inlineStr">
        <is>
          <t>Verified (published on own site, read via search); listed on official Facebook page</t>
        </is>
      </c>
      <c r="T93" s="158">
        <f>SUM(Z93:AF93)</f>
        <v>19</v>
      </c>
      <c r="U93" s="162" t="inlineStr">
        <is>
          <t>V4</t>
        </is>
      </c>
      <c r="V93" s="156" t="inlineStr">
        <is>
          <t>Device trading house founded 1976 with dealer and maker divisions; its site carries an animal hospital products tag.</t>
        </is>
      </c>
      <c r="W93" s="156" t="inlineStr">
        <is>
          <t>Imaging service capability for the vet clinics they already serve; start with SonoEye handhelds.</t>
        </is>
      </c>
      <c r="X93" s="156" t="inlineStr">
        <is>
          <t>Not checked (human list not in v17)</t>
        </is>
      </c>
      <c r="Y93" s="156" t="inlineStr">
        <is>
          <t>https://www.solve-net.com/info/tag/%E5%8B%95%E7%89%A9%E7%97%85%E9%99%A2%E5%90%91%E3%81%91%E8%A3%BD%E5%93%81/ ; https://prtimes.jp/main/html/rd/p/000000002.000185455.html ; https://www.facebook.com/solve.co.jp/ ; https://solve-net.com/company/Contact.html</t>
        </is>
      </c>
      <c r="Z93" s="156" t="n">
        <v>3</v>
      </c>
      <c r="AA93" s="156" t="n">
        <v>3</v>
      </c>
      <c r="AB93" s="156" t="n">
        <v>3</v>
      </c>
      <c r="AC93" s="156" t="n">
        <v>3</v>
      </c>
      <c r="AD93" s="156" t="n">
        <v>1</v>
      </c>
      <c r="AE93" s="156" t="n">
        <v>4</v>
      </c>
      <c r="AF93" s="156" t="n">
        <v>2</v>
      </c>
      <c r="AG93" s="156" t="inlineStr">
        <is>
          <t>Evidence backed</t>
        </is>
      </c>
    </row>
    <row r="94" ht="75" customHeight="1" s="114">
      <c r="A94" s="156" t="n">
        <v>90</v>
      </c>
      <c r="B94" s="156" t="inlineStr">
        <is>
          <t>Marubun Tsusho Co., Ltd.</t>
        </is>
      </c>
      <c r="C94" s="156" t="inlineStr">
        <is>
          <t>丸文通商株式会社</t>
        </is>
      </c>
      <c r="D94" s="156" t="inlineStr">
        <is>
          <t>Not found (NTA lookup blocked; dedupe by Japanese name)</t>
        </is>
      </c>
      <c r="E94" s="156" t="inlineStr">
        <is>
          <t>Ishikawa</t>
        </is>
      </c>
      <c r="F94" s="156" t="inlineStr">
        <is>
          <t>Chubu</t>
        </is>
      </c>
      <c r="G94" s="157" t="inlineStr">
        <is>
          <t>https://www.marubun-tsusyo.co.jp/</t>
        </is>
      </c>
      <c r="H94" s="156" t="inlineStr">
        <is>
          <t>Human device sales licences; 動物用 licence not confirmed</t>
        </is>
      </c>
      <c r="I94" s="156" t="inlineStr">
        <is>
          <t>Human multi brand lines (ultrasound brands not confirmed)</t>
        </is>
      </c>
      <c r="J94" s="156" t="inlineStr">
        <is>
          <t>Companion</t>
        </is>
      </c>
      <c r="K94" s="156" t="inlineStr">
        <is>
          <t>Hokuriku</t>
        </is>
      </c>
      <c r="L94" s="156" t="inlineStr">
        <is>
          <t>Not found</t>
        </is>
      </c>
      <c r="M94" s="156" t="inlineStr">
        <is>
          <t>n/a</t>
        </is>
      </c>
      <c r="N94" s="156" t="inlineStr">
        <is>
          <t>Not identified</t>
        </is>
      </c>
      <c r="O94" s="156" t="inlineStr">
        <is>
          <t>Not identified</t>
        </is>
      </c>
      <c r="P94" s="156" t="inlineStr">
        <is>
          <t>info@marubun-tsusyo.co.jp</t>
        </is>
      </c>
      <c r="Q94" s="156" t="inlineStr">
        <is>
          <t>076 269 1880</t>
        </is>
      </c>
      <c r="R94" s="156" t="inlineStr">
        <is>
          <t>Not identified</t>
        </is>
      </c>
      <c r="S94" s="156" t="inlineStr">
        <is>
          <t>Likely (third party listing); listed as representative email</t>
        </is>
      </c>
      <c r="T94" s="158">
        <f>SUM(Z94:AF94)</f>
        <v>18</v>
      </c>
      <c r="U94" s="162" t="inlineStr">
        <is>
          <t>V4</t>
        </is>
      </c>
      <c r="V94" s="156" t="inlineStr">
        <is>
          <t>QUALIFY FIRST: animal hospital sales not confirmed in sources. Trades imaging devices and analytical equipment.</t>
        </is>
      </c>
      <c r="W94" s="156" t="inlineStr">
        <is>
          <t>Open by asking whether they serve animal hospitals today; if yes, offer a vet line with no overlap to their human ultrasound brands.</t>
        </is>
      </c>
      <c r="X94" s="156" t="inlineStr">
        <is>
          <t>Not checked (human list not in v17)</t>
        </is>
      </c>
      <c r="Y94" s="156" t="inlineStr">
        <is>
          <t>https://baseconnect.in/companies/prefecture/4637ba90-383b-4656-8be1-ca34c7f7244f/keyword/89941b4e-2dd1-4848-8957-48af280a31e0 ; https://www.isico.or.jp/company/dgnet/1146.html ; https://www.marubun-tsusyo.co.jp/contact/</t>
        </is>
      </c>
      <c r="Z94" s="156" t="n">
        <v>2</v>
      </c>
      <c r="AA94" s="156" t="n">
        <v>4</v>
      </c>
      <c r="AB94" s="156" t="n">
        <v>3</v>
      </c>
      <c r="AC94" s="156" t="n">
        <v>2</v>
      </c>
      <c r="AD94" s="156" t="n">
        <v>1</v>
      </c>
      <c r="AE94" s="156" t="n">
        <v>4</v>
      </c>
      <c r="AF94" s="156" t="n">
        <v>2</v>
      </c>
      <c r="AG94" s="163" t="inlineStr">
        <is>
          <t>Qualify first</t>
        </is>
      </c>
    </row>
    <row r="95" ht="75" customHeight="1" s="114">
      <c r="A95" s="156" t="n">
        <v>91</v>
      </c>
      <c r="B95" s="156" t="inlineStr">
        <is>
          <t>Mobix Co., Ltd.</t>
        </is>
      </c>
      <c r="C95" s="156" t="inlineStr">
        <is>
          <t>株式会社モビックス</t>
        </is>
      </c>
      <c r="D95" s="156" t="inlineStr">
        <is>
          <t>Not found (NTA lookup blocked; dedupe by Japanese name)</t>
        </is>
      </c>
      <c r="E95" s="156" t="inlineStr">
        <is>
          <t>Gifu</t>
        </is>
      </c>
      <c r="F95" s="156" t="inlineStr">
        <is>
          <t>Chubu</t>
        </is>
      </c>
      <c r="G95" s="157" t="inlineStr">
        <is>
          <t>https://mobix-kk.com/</t>
        </is>
      </c>
      <c r="H95" s="156" t="inlineStr">
        <is>
          <t>Human device sales licences; 動物用 licence not confirmed</t>
        </is>
      </c>
      <c r="I95" s="156" t="inlineStr">
        <is>
          <t>Human multi brand lines (ultrasound brands not confirmed)</t>
        </is>
      </c>
      <c r="J95" s="156" t="inlineStr">
        <is>
          <t>Companion</t>
        </is>
      </c>
      <c r="K95" s="156" t="inlineStr">
        <is>
          <t>Gifu (Kakamigahara)</t>
        </is>
      </c>
      <c r="L95" s="156" t="inlineStr">
        <is>
          <t>Not found</t>
        </is>
      </c>
      <c r="M95" s="156" t="inlineStr">
        <is>
          <t>n/a</t>
        </is>
      </c>
      <c r="N95" s="156" t="inlineStr">
        <is>
          <t>Not identified</t>
        </is>
      </c>
      <c r="O95" s="156" t="inlineStr">
        <is>
          <t>Not identified</t>
        </is>
      </c>
      <c r="P95" s="156" t="inlineStr">
        <is>
          <t>Not published; inquiry form: https://mobix-kk.com/contact/</t>
        </is>
      </c>
      <c r="Q95" s="156" t="inlineStr">
        <is>
          <t>058 213 2255</t>
        </is>
      </c>
      <c r="R95" s="156" t="inlineStr">
        <is>
          <t>Not identified</t>
        </is>
      </c>
      <c r="S95" s="156" t="inlineStr">
        <is>
          <t>Company inquiry only (form)</t>
        </is>
      </c>
      <c r="T95" s="158">
        <f>SUM(Z95:AF95)</f>
        <v>18</v>
      </c>
      <c r="U95" s="162" t="inlineStr">
        <is>
          <t>V4</t>
        </is>
      </c>
      <c r="V95" s="156" t="inlineStr">
        <is>
          <t>QUALIFY FIRST: animal hospital sales not confirmed in sources. Sells CT, MRI and other imaging systems.</t>
        </is>
      </c>
      <c r="W95" s="156" t="inlineStr">
        <is>
          <t>Open by asking whether they serve animal hospitals today; if yes, offer a vet line with no overlap to their human ultrasound brands.</t>
        </is>
      </c>
      <c r="X95" s="156" t="inlineStr">
        <is>
          <t>Not checked (human list not in v17)</t>
        </is>
      </c>
      <c r="Y95" s="156" t="inlineStr">
        <is>
          <t>https://baseconnect.in/companies/prefecture/8de2e273-a5a8-45b9-8fc1-0fe6344d6843/keyword/14f3dcec-9cd5-4be5-84e1-ddccb7bd228c ; https://mobix-kk.com/contact/</t>
        </is>
      </c>
      <c r="Z95" s="156" t="n">
        <v>2</v>
      </c>
      <c r="AA95" s="156" t="n">
        <v>4</v>
      </c>
      <c r="AB95" s="156" t="n">
        <v>3</v>
      </c>
      <c r="AC95" s="156" t="n">
        <v>2</v>
      </c>
      <c r="AD95" s="156" t="n">
        <v>1</v>
      </c>
      <c r="AE95" s="156" t="n">
        <v>4</v>
      </c>
      <c r="AF95" s="156" t="n">
        <v>2</v>
      </c>
      <c r="AG95" s="163" t="inlineStr">
        <is>
          <t>Qualify first</t>
        </is>
      </c>
    </row>
    <row r="96" ht="75" customHeight="1" s="114">
      <c r="A96" s="156" t="n">
        <v>92</v>
      </c>
      <c r="B96" s="156" t="inlineStr">
        <is>
          <t>Pro Medical Co., Ltd.</t>
        </is>
      </c>
      <c r="C96" s="156" t="inlineStr">
        <is>
          <t>株式会社プロメディカル</t>
        </is>
      </c>
      <c r="D96" s="156" t="inlineStr">
        <is>
          <t>Not found (NTA lookup blocked; dedupe by Japanese name)</t>
        </is>
      </c>
      <c r="E96" s="156" t="inlineStr">
        <is>
          <t>Ishikawa</t>
        </is>
      </c>
      <c r="F96" s="156" t="inlineStr">
        <is>
          <t>Chubu</t>
        </is>
      </c>
      <c r="G96" s="157" t="inlineStr">
        <is>
          <t>https://promedi.co.jp/</t>
        </is>
      </c>
      <c r="H96" s="156" t="inlineStr">
        <is>
          <t>Human device sales licences; 動物用 licence not confirmed</t>
        </is>
      </c>
      <c r="I96" s="156" t="inlineStr">
        <is>
          <t>Human multi brand lines (ultrasound brands not confirmed)</t>
        </is>
      </c>
      <c r="J96" s="156" t="inlineStr">
        <is>
          <t>Companion</t>
        </is>
      </c>
      <c r="K96" s="156" t="inlineStr">
        <is>
          <t>Ishikawa</t>
        </is>
      </c>
      <c r="L96" s="156" t="inlineStr">
        <is>
          <t>Not found</t>
        </is>
      </c>
      <c r="M96" s="156" t="inlineStr">
        <is>
          <t>n/a</t>
        </is>
      </c>
      <c r="N96" s="156" t="inlineStr">
        <is>
          <t>Not identified</t>
        </is>
      </c>
      <c r="O96" s="156" t="inlineStr">
        <is>
          <t>Not identified</t>
        </is>
      </c>
      <c r="P96" s="156" t="inlineStr">
        <is>
          <t>Not published; phone only</t>
        </is>
      </c>
      <c r="Q96" s="156" t="inlineStr">
        <is>
          <t>076 233 5588</t>
        </is>
      </c>
      <c r="R96" s="156" t="inlineStr">
        <is>
          <t>Not identified</t>
        </is>
      </c>
      <c r="S96" s="156" t="inlineStr">
        <is>
          <t>Company inquiry only (phone)</t>
        </is>
      </c>
      <c r="T96" s="158">
        <f>SUM(Z96:AF96)</f>
        <v>18</v>
      </c>
      <c r="U96" s="162" t="inlineStr">
        <is>
          <t>V4</t>
        </is>
      </c>
      <c r="V96" s="156" t="inlineStr">
        <is>
          <t>QUALIFY FIRST: animal hospital sales not confirmed in sources. Sells X ray and ultrasound systems and surgical devices. FLAG: Sells ultrasound; brand conflict to check.</t>
        </is>
      </c>
      <c r="W96" s="156" t="inlineStr">
        <is>
          <t>Open by asking whether they serve animal hospitals today; if yes, offer a vet line with no overlap to their human ultrasound brands.</t>
        </is>
      </c>
      <c r="X96" s="156" t="inlineStr">
        <is>
          <t>Not checked (human list not in v17)</t>
        </is>
      </c>
      <c r="Y96" s="156" t="inlineStr">
        <is>
          <t>https://baseconnect.in/companies/prefecture/4637ba90-383b-4656-8be1-ca34c7f7244f/keyword/89941b4e-2dd1-4848-8957-48af280a31e0</t>
        </is>
      </c>
      <c r="Z96" s="156" t="n">
        <v>2</v>
      </c>
      <c r="AA96" s="156" t="n">
        <v>4</v>
      </c>
      <c r="AB96" s="156" t="n">
        <v>3</v>
      </c>
      <c r="AC96" s="156" t="n">
        <v>2</v>
      </c>
      <c r="AD96" s="156" t="n">
        <v>1</v>
      </c>
      <c r="AE96" s="156" t="n">
        <v>4</v>
      </c>
      <c r="AF96" s="156" t="n">
        <v>2</v>
      </c>
      <c r="AG96" s="163" t="inlineStr">
        <is>
          <t>Qualify first</t>
        </is>
      </c>
    </row>
    <row r="97" ht="75" customHeight="1" s="114">
      <c r="A97" s="156" t="n">
        <v>93</v>
      </c>
      <c r="B97" s="156" t="inlineStr">
        <is>
          <t>Ishiguro Medical System Co., Ltd.</t>
        </is>
      </c>
      <c r="C97" s="156" t="inlineStr">
        <is>
          <t>石黒メディカルシステム株式会社</t>
        </is>
      </c>
      <c r="D97" s="156" t="inlineStr">
        <is>
          <t>Not found (NTA lookup blocked; dedupe by Japanese name)</t>
        </is>
      </c>
      <c r="E97" s="156" t="inlineStr">
        <is>
          <t>Kyoto</t>
        </is>
      </c>
      <c r="F97" s="156" t="inlineStr">
        <is>
          <t>Kansai</t>
        </is>
      </c>
      <c r="G97" s="157" t="inlineStr">
        <is>
          <t>https://www.ishiguro-medical.jp/</t>
        </is>
      </c>
      <c r="H97" s="156" t="inlineStr">
        <is>
          <t>Human device sales licences; 動物用 licence not confirmed</t>
        </is>
      </c>
      <c r="I97" s="156" t="inlineStr">
        <is>
          <t>Human multi brand lines (ultrasound brands not confirmed)</t>
        </is>
      </c>
      <c r="J97" s="156" t="inlineStr">
        <is>
          <t>Companion</t>
        </is>
      </c>
      <c r="K97" s="156" t="inlineStr">
        <is>
          <t>Kyoto</t>
        </is>
      </c>
      <c r="L97" s="156" t="inlineStr">
        <is>
          <t>Not found</t>
        </is>
      </c>
      <c r="M97" s="156" t="inlineStr">
        <is>
          <t>n/a</t>
        </is>
      </c>
      <c r="N97" s="156" t="inlineStr">
        <is>
          <t>Not identified</t>
        </is>
      </c>
      <c r="O97" s="156" t="inlineStr">
        <is>
          <t>Not identified</t>
        </is>
      </c>
      <c r="P97" s="156" t="inlineStr">
        <is>
          <t>soumu@ishiguro-medical.jp</t>
        </is>
      </c>
      <c r="Q97" s="156" t="inlineStr">
        <is>
          <t>075 641 1496</t>
        </is>
      </c>
      <c r="R97" s="156" t="inlineStr">
        <is>
          <t>Not identified</t>
        </is>
      </c>
      <c r="S97" s="156" t="inlineStr">
        <is>
          <t>Likely (third party listing); general affairs</t>
        </is>
      </c>
      <c r="T97" s="158">
        <f>SUM(Z97:AF97)</f>
        <v>18</v>
      </c>
      <c r="U97" s="162" t="inlineStr">
        <is>
          <t>V4</t>
        </is>
      </c>
      <c r="V97" s="156" t="inlineStr">
        <is>
          <t>QUALIFY FIRST: animal hospital sales not confirmed in sources. Sells EMR systems and ultrasound devices.</t>
        </is>
      </c>
      <c r="W97" s="156" t="inlineStr">
        <is>
          <t>Open by asking whether they serve animal hospitals today; if yes, offer a vet line with no overlap to their human ultrasound brands.</t>
        </is>
      </c>
      <c r="X97" s="156" t="inlineStr">
        <is>
          <t>Not checked (human list not in v17)</t>
        </is>
      </c>
      <c r="Y97" s="156" t="inlineStr">
        <is>
          <t>https://baseconnect.in/companies/prefecture/63038c5a-e328-472b-b9cc-039738609ba7/category/b2358a1c-c4c6-46f4-a0b1-dee3a1b30a0b ; http://www.mia-kyoto.gr.jp/members/ishiguro.html</t>
        </is>
      </c>
      <c r="Z97" s="156" t="n">
        <v>2</v>
      </c>
      <c r="AA97" s="156" t="n">
        <v>4</v>
      </c>
      <c r="AB97" s="156" t="n">
        <v>3</v>
      </c>
      <c r="AC97" s="156" t="n">
        <v>2</v>
      </c>
      <c r="AD97" s="156" t="n">
        <v>1</v>
      </c>
      <c r="AE97" s="156" t="n">
        <v>4</v>
      </c>
      <c r="AF97" s="156" t="n">
        <v>2</v>
      </c>
      <c r="AG97" s="163" t="inlineStr">
        <is>
          <t>Qualify first</t>
        </is>
      </c>
    </row>
    <row r="98" ht="75" customHeight="1" s="114">
      <c r="A98" s="156" t="n">
        <v>94</v>
      </c>
      <c r="B98" s="156" t="inlineStr">
        <is>
          <t>Ship Healthcare Holdings, Inc.</t>
        </is>
      </c>
      <c r="C98" s="156" t="inlineStr">
        <is>
          <t>シップヘルスケアホールディングス株式会社</t>
        </is>
      </c>
      <c r="D98" s="156" t="inlineStr">
        <is>
          <t>Not found (NTA lookup blocked; dedupe by Japanese name)</t>
        </is>
      </c>
      <c r="E98" s="156" t="inlineStr">
        <is>
          <t>Osaka</t>
        </is>
      </c>
      <c r="F98" s="156" t="inlineStr">
        <is>
          <t>Kansai</t>
        </is>
      </c>
      <c r="G98" s="156" t="inlineStr">
        <is>
          <t>Not found</t>
        </is>
      </c>
      <c r="H98" s="156" t="inlineStr">
        <is>
          <t>Human device sales licences; 動物用 licence not confirmed</t>
        </is>
      </c>
      <c r="I98" s="156" t="inlineStr">
        <is>
          <t>Human multi brand lines (ultrasound brands not confirmed)</t>
        </is>
      </c>
      <c r="J98" s="156" t="inlineStr">
        <is>
          <t>Companion</t>
        </is>
      </c>
      <c r="K98" s="156" t="inlineStr">
        <is>
          <t>National</t>
        </is>
      </c>
      <c r="L98" s="156" t="inlineStr">
        <is>
          <t>Largest listed dealer group</t>
        </is>
      </c>
      <c r="M98" s="156" t="inlineStr">
        <is>
          <t>n/a</t>
        </is>
      </c>
      <c r="N98" s="156" t="inlineStr">
        <is>
          <t>Not identified</t>
        </is>
      </c>
      <c r="O98" s="156" t="inlineStr">
        <is>
          <t>Not identified</t>
        </is>
      </c>
      <c r="P98" s="156" t="inlineStr">
        <is>
          <t>Not searched (search budget)</t>
        </is>
      </c>
      <c r="Q98" s="156" t="inlineStr">
        <is>
          <t>Not found (use site)</t>
        </is>
      </c>
      <c r="R98" s="156" t="inlineStr">
        <is>
          <t>Not identified</t>
        </is>
      </c>
      <c r="S98" s="156" t="inlineStr">
        <is>
          <t>Unverified</t>
        </is>
      </c>
      <c r="T98" s="158">
        <f>SUM(Z98:AF98)</f>
        <v>18</v>
      </c>
      <c r="U98" s="162" t="inlineStr">
        <is>
          <t>V4</t>
        </is>
      </c>
      <c r="V98" s="156" t="inlineStr">
        <is>
          <t>QUALIFY FIRST: animal hospital sales not confirmed in sources. Largest listed device trading group; listed in a Baseconnect animal hospital operations category, unverified.</t>
        </is>
      </c>
      <c r="W98" s="156" t="inlineStr">
        <is>
          <t>Open by asking whether they serve animal hospitals today; if yes, offer a vet line with no overlap to their human ultrasound brands.</t>
        </is>
      </c>
      <c r="X98" s="156" t="inlineStr">
        <is>
          <t>Not checked (human list not in v17)</t>
        </is>
      </c>
      <c r="Y98" s="156" t="inlineStr">
        <is>
          <t>https://baseconnect.in/companies/keyword/4d87c1c6-1be0-402b-9086-9c71cd173036 ; https://strainer.jp/tags/medical-trading</t>
        </is>
      </c>
      <c r="Z98" s="156" t="n">
        <v>2</v>
      </c>
      <c r="AA98" s="156" t="n">
        <v>4</v>
      </c>
      <c r="AB98" s="156" t="n">
        <v>3</v>
      </c>
      <c r="AC98" s="156" t="n">
        <v>2</v>
      </c>
      <c r="AD98" s="156" t="n">
        <v>1</v>
      </c>
      <c r="AE98" s="156" t="n">
        <v>4</v>
      </c>
      <c r="AF98" s="156" t="n">
        <v>2</v>
      </c>
      <c r="AG98" s="163" t="inlineStr">
        <is>
          <t>Qualify first</t>
        </is>
      </c>
    </row>
    <row r="99" ht="75" customHeight="1" s="114">
      <c r="A99" s="156" t="n">
        <v>95</v>
      </c>
      <c r="B99" s="156" t="inlineStr">
        <is>
          <t>Keiyo Shinwa Ltd.</t>
        </is>
      </c>
      <c r="C99" s="156" t="inlineStr">
        <is>
          <t>有限会社京葉新和</t>
        </is>
      </c>
      <c r="D99" s="156" t="inlineStr">
        <is>
          <t>Not found (NTA lookup blocked; dedupe by Japanese name)</t>
        </is>
      </c>
      <c r="E99" s="156" t="inlineStr">
        <is>
          <t>Chiba</t>
        </is>
      </c>
      <c r="F99" s="156" t="inlineStr">
        <is>
          <t>Kanto</t>
        </is>
      </c>
      <c r="G99" s="156" t="inlineStr">
        <is>
          <t>Not found</t>
        </is>
      </c>
      <c r="H99" s="156" t="inlineStr">
        <is>
          <t>Human device sales licences; 動物用 licence not confirmed</t>
        </is>
      </c>
      <c r="I99" s="156" t="inlineStr">
        <is>
          <t>Human multi brand lines (ultrasound brands not confirmed)</t>
        </is>
      </c>
      <c r="J99" s="156" t="inlineStr">
        <is>
          <t>Companion</t>
        </is>
      </c>
      <c r="K99" s="156" t="inlineStr">
        <is>
          <t>Chiba</t>
        </is>
      </c>
      <c r="L99" s="156" t="inlineStr">
        <is>
          <t>Not found</t>
        </is>
      </c>
      <c r="M99" s="156" t="inlineStr">
        <is>
          <t>n/a</t>
        </is>
      </c>
      <c r="N99" s="156" t="inlineStr">
        <is>
          <t>Not identified</t>
        </is>
      </c>
      <c r="O99" s="156" t="inlineStr">
        <is>
          <t>Not identified</t>
        </is>
      </c>
      <c r="P99" s="156" t="inlineStr">
        <is>
          <t>Not searched (search budget)</t>
        </is>
      </c>
      <c r="Q99" s="156" t="inlineStr">
        <is>
          <t>Not found (use site)</t>
        </is>
      </c>
      <c r="R99" s="156" t="inlineStr">
        <is>
          <t>Not identified</t>
        </is>
      </c>
      <c r="S99" s="156" t="inlineStr">
        <is>
          <t>Unverified</t>
        </is>
      </c>
      <c r="T99" s="158">
        <f>SUM(Z99:AF99)</f>
        <v>18</v>
      </c>
      <c r="U99" s="162" t="inlineStr">
        <is>
          <t>V4</t>
        </is>
      </c>
      <c r="V99" s="156" t="inlineStr">
        <is>
          <t>QUALIFY FIRST: animal hospital sales not confirmed in sources. Installs and maintains CT and MRI; imaging service capability.</t>
        </is>
      </c>
      <c r="W99" s="156" t="inlineStr">
        <is>
          <t>Open by asking whether they serve animal hospitals today; if yes, offer a vet line with no overlap to their human ultrasound brands.</t>
        </is>
      </c>
      <c r="X99" s="156" t="inlineStr">
        <is>
          <t>Not checked (human list not in v17)</t>
        </is>
      </c>
      <c r="Y99" s="156" t="inlineStr">
        <is>
          <t>https://baseconnect.in/companies/prefecture/3420045f-8609-4232-9407-75407ae4e6e8/category/b2358a1c-c4c6-46f4-a0b1-dee3a1b30a0b</t>
        </is>
      </c>
      <c r="Z99" s="156" t="n">
        <v>2</v>
      </c>
      <c r="AA99" s="156" t="n">
        <v>4</v>
      </c>
      <c r="AB99" s="156" t="n">
        <v>3</v>
      </c>
      <c r="AC99" s="156" t="n">
        <v>2</v>
      </c>
      <c r="AD99" s="156" t="n">
        <v>1</v>
      </c>
      <c r="AE99" s="156" t="n">
        <v>4</v>
      </c>
      <c r="AF99" s="156" t="n">
        <v>2</v>
      </c>
      <c r="AG99" s="163" t="inlineStr">
        <is>
          <t>Qualify first</t>
        </is>
      </c>
    </row>
    <row r="100" ht="75" customHeight="1" s="114">
      <c r="A100" s="156" t="n">
        <v>96</v>
      </c>
      <c r="B100" s="156" t="inlineStr">
        <is>
          <t>Kuribara Iryo Kikaiten Co., Ltd.</t>
        </is>
      </c>
      <c r="C100" s="156" t="inlineStr">
        <is>
          <t>株式会社栗原医療器械店</t>
        </is>
      </c>
      <c r="D100" s="156" t="inlineStr">
        <is>
          <t>Not found (NTA lookup blocked; dedupe by Japanese name)</t>
        </is>
      </c>
      <c r="E100" s="156" t="inlineStr">
        <is>
          <t>Gunma</t>
        </is>
      </c>
      <c r="F100" s="156" t="inlineStr">
        <is>
          <t>Kanto</t>
        </is>
      </c>
      <c r="G100" s="157" t="inlineStr">
        <is>
          <t>https://www.kuribara.co.jp/</t>
        </is>
      </c>
      <c r="H100" s="156" t="inlineStr">
        <is>
          <t>Human device sales licences; 動物用 licence not confirmed</t>
        </is>
      </c>
      <c r="I100" s="156" t="inlineStr">
        <is>
          <t>Human multi brand lines (ultrasound brands not confirmed)</t>
        </is>
      </c>
      <c r="J100" s="156" t="inlineStr">
        <is>
          <t>Companion</t>
        </is>
      </c>
      <c r="K100" s="156" t="inlineStr">
        <is>
          <t>Kanto (ex Kanagawa) and Niigata</t>
        </is>
      </c>
      <c r="L100" s="156" t="inlineStr">
        <is>
          <t>Not found</t>
        </is>
      </c>
      <c r="M100" s="156" t="inlineStr">
        <is>
          <t>n/a</t>
        </is>
      </c>
      <c r="N100" s="156" t="inlineStr">
        <is>
          <t>Not identified</t>
        </is>
      </c>
      <c r="O100" s="156" t="inlineStr">
        <is>
          <t>Not identified</t>
        </is>
      </c>
      <c r="P100" s="156" t="inlineStr">
        <is>
          <t>Not published; phone only</t>
        </is>
      </c>
      <c r="Q100" s="156" t="inlineStr">
        <is>
          <t>0276 37 8181</t>
        </is>
      </c>
      <c r="R100" s="156" t="inlineStr">
        <is>
          <t>Not identified</t>
        </is>
      </c>
      <c r="S100" s="156" t="inlineStr">
        <is>
          <t>Company inquiry only (phone)</t>
        </is>
      </c>
      <c r="T100" s="158">
        <f>SUM(Z100:AF100)</f>
        <v>18</v>
      </c>
      <c r="U100" s="162" t="inlineStr">
        <is>
          <t>V4</t>
        </is>
      </c>
      <c r="V100" s="156" t="inlineStr">
        <is>
          <t>QUALIFY FIRST: animal hospital sales not confirmed in sources. Gunma dealer with radiology and ME equipment sales and maintenance across North Kanto and Niigata.</t>
        </is>
      </c>
      <c r="W100" s="156" t="inlineStr">
        <is>
          <t>Open by asking whether they serve animal hospitals today; if yes, offer a vet line with no overlap to their human ultrasound brands.</t>
        </is>
      </c>
      <c r="X100" s="156" t="inlineStr">
        <is>
          <t>Not checked (human list not in v17)</t>
        </is>
      </c>
      <c r="Y100" s="156" t="inlineStr">
        <is>
          <t>https://www.r-agent.com/company/c7230/ ; https://job.mynavi.jp/27/pc/search/corp207091/outline.html ; https://www.kuribara.co.jp/company/</t>
        </is>
      </c>
      <c r="Z100" s="156" t="n">
        <v>2</v>
      </c>
      <c r="AA100" s="156" t="n">
        <v>4</v>
      </c>
      <c r="AB100" s="156" t="n">
        <v>3</v>
      </c>
      <c r="AC100" s="156" t="n">
        <v>2</v>
      </c>
      <c r="AD100" s="156" t="n">
        <v>1</v>
      </c>
      <c r="AE100" s="156" t="n">
        <v>4</v>
      </c>
      <c r="AF100" s="156" t="n">
        <v>2</v>
      </c>
      <c r="AG100" s="163" t="inlineStr">
        <is>
          <t>Qualify first</t>
        </is>
      </c>
    </row>
    <row r="101" ht="75" customHeight="1" s="114">
      <c r="A101" s="156" t="n">
        <v>97</v>
      </c>
      <c r="B101" s="156" t="inlineStr">
        <is>
          <t>Kishiya Co., Ltd.</t>
        </is>
      </c>
      <c r="C101" s="156" t="inlineStr">
        <is>
          <t>株式会社キシヤ</t>
        </is>
      </c>
      <c r="D101" s="156" t="inlineStr">
        <is>
          <t>Not found (NTA lookup blocked; dedupe by Japanese name)</t>
        </is>
      </c>
      <c r="E101" s="156" t="inlineStr">
        <is>
          <t>Fukuoka</t>
        </is>
      </c>
      <c r="F101" s="156" t="inlineStr">
        <is>
          <t>Kyushu and Okinawa</t>
        </is>
      </c>
      <c r="G101" s="157" t="inlineStr">
        <is>
          <t>https://www.kishiya.co.jp</t>
        </is>
      </c>
      <c r="H101" s="156" t="inlineStr">
        <is>
          <t>Human device sales licences; 動物用 licence not confirmed</t>
        </is>
      </c>
      <c r="I101" s="156" t="inlineStr">
        <is>
          <t>Human multi brand lines (ultrasound brands not confirmed)</t>
        </is>
      </c>
      <c r="J101" s="156" t="inlineStr">
        <is>
          <t>Companion</t>
        </is>
      </c>
      <c r="K101" s="156" t="inlineStr">
        <is>
          <t>Kyushu</t>
        </is>
      </c>
      <c r="L101" s="156" t="inlineStr">
        <is>
          <t>Approx. JPY 68.4bn sales (Arrows column)</t>
        </is>
      </c>
      <c r="M101" s="156" t="inlineStr">
        <is>
          <t>n/a</t>
        </is>
      </c>
      <c r="N101" s="156" t="inlineStr">
        <is>
          <t>Not identified</t>
        </is>
      </c>
      <c r="O101" s="156" t="inlineStr">
        <is>
          <t>Not identified</t>
        </is>
      </c>
      <c r="P101" s="156" t="inlineStr">
        <is>
          <t>Not published; inquiry form: https://www.kishiya.co.jp/contact/input</t>
        </is>
      </c>
      <c r="Q101" s="156" t="inlineStr">
        <is>
          <t>092 622 8000</t>
        </is>
      </c>
      <c r="R101" s="156" t="inlineStr">
        <is>
          <t>Not identified</t>
        </is>
      </c>
      <c r="S101" s="156" t="inlineStr">
        <is>
          <t>Company inquiry only (form)</t>
        </is>
      </c>
      <c r="T101" s="158">
        <f>SUM(Z101:AF101)</f>
        <v>18</v>
      </c>
      <c r="U101" s="162" t="inlineStr">
        <is>
          <t>V4</t>
        </is>
      </c>
      <c r="V101" s="156" t="inlineStr">
        <is>
          <t>QUALIFY FIRST: animal hospital sales not confirmed in sources. Kyushu's leading device dealer selling and leasing CT and MRI; ninth largest dealer nationally.</t>
        </is>
      </c>
      <c r="W101" s="156" t="inlineStr">
        <is>
          <t>Open by asking whether they serve animal hospitals today; if yes, offer a vet line with no overlap to their human ultrasound brands.</t>
        </is>
      </c>
      <c r="X101" s="156" t="inlineStr">
        <is>
          <t>Not checked (human list not in v17)</t>
        </is>
      </c>
      <c r="Y101" s="156" t="inlineStr">
        <is>
          <t>https://www.kishiya.co.jp/group/ ; https://note.com/arrows_column/n/nd4fd35a1d8b1 ; https://www.kishiya.co.jp/contact/input</t>
        </is>
      </c>
      <c r="Z101" s="156" t="n">
        <v>2</v>
      </c>
      <c r="AA101" s="156" t="n">
        <v>4</v>
      </c>
      <c r="AB101" s="156" t="n">
        <v>3</v>
      </c>
      <c r="AC101" s="156" t="n">
        <v>2</v>
      </c>
      <c r="AD101" s="156" t="n">
        <v>1</v>
      </c>
      <c r="AE101" s="156" t="n">
        <v>4</v>
      </c>
      <c r="AF101" s="156" t="n">
        <v>2</v>
      </c>
      <c r="AG101" s="163" t="inlineStr">
        <is>
          <t>Qualify first</t>
        </is>
      </c>
    </row>
    <row r="102" ht="75" customHeight="1" s="114">
      <c r="A102" s="156" t="n">
        <v>98</v>
      </c>
      <c r="B102" s="156" t="inlineStr">
        <is>
          <t>Yamashita Ika Kikai Co., Ltd.</t>
        </is>
      </c>
      <c r="C102" s="156" t="inlineStr">
        <is>
          <t>山下医科器械株式会社</t>
        </is>
      </c>
      <c r="D102" s="156" t="inlineStr">
        <is>
          <t>Not found (NTA lookup blocked; dedupe by Japanese name)</t>
        </is>
      </c>
      <c r="E102" s="156" t="inlineStr">
        <is>
          <t>Fukuoka</t>
        </is>
      </c>
      <c r="F102" s="156" t="inlineStr">
        <is>
          <t>Kyushu and Okinawa</t>
        </is>
      </c>
      <c r="G102" s="157" t="inlineStr">
        <is>
          <t>https://www.yamashitaika.co.jp/</t>
        </is>
      </c>
      <c r="H102" s="156" t="inlineStr">
        <is>
          <t>Human device sales licences; 動物用 licence not confirmed</t>
        </is>
      </c>
      <c r="I102" s="156" t="inlineStr">
        <is>
          <t>Human multi brand lines (ultrasound brands not confirmed)</t>
        </is>
      </c>
      <c r="J102" s="156" t="inlineStr">
        <is>
          <t>Companion</t>
        </is>
      </c>
      <c r="K102" s="156" t="inlineStr">
        <is>
          <t>All Kyushu</t>
        </is>
      </c>
      <c r="L102" s="156" t="inlineStr">
        <is>
          <t>541 staff (May 2025)</t>
        </is>
      </c>
      <c r="M102" s="156" t="inlineStr">
        <is>
          <t>n/a</t>
        </is>
      </c>
      <c r="N102" s="156" t="inlineStr">
        <is>
          <t>Not identified</t>
        </is>
      </c>
      <c r="O102" s="156" t="inlineStr">
        <is>
          <t>Not identified</t>
        </is>
      </c>
      <c r="P102" s="156" t="inlineStr">
        <is>
          <t>Not published; phone only</t>
        </is>
      </c>
      <c r="Q102" s="156" t="inlineStr">
        <is>
          <t>092 402 2950</t>
        </is>
      </c>
      <c r="R102" s="156" t="inlineStr">
        <is>
          <t>Not identified</t>
        </is>
      </c>
      <c r="S102" s="156" t="inlineStr">
        <is>
          <t>Company inquiry only (phone)</t>
        </is>
      </c>
      <c r="T102" s="158">
        <f>SUM(Z102:AF102)</f>
        <v>18</v>
      </c>
      <c r="U102" s="162" t="inlineStr">
        <is>
          <t>V4</t>
        </is>
      </c>
      <c r="V102" s="156" t="inlineStr">
        <is>
          <t>QUALIFY FIRST: animal hospital sales not confirmed in sources. Kyushu top class device dealer founded 1926; 541 staff (May 2025).</t>
        </is>
      </c>
      <c r="W102" s="156" t="inlineStr">
        <is>
          <t>Open by asking whether they serve animal hospitals today; if yes, offer a vet line with no overlap to their human ultrasound brands.</t>
        </is>
      </c>
      <c r="X102" s="156" t="inlineStr">
        <is>
          <t>Not checked (human list not in v17)</t>
        </is>
      </c>
      <c r="Y102" s="156" t="inlineStr">
        <is>
          <t>https://job.mynavi.jp/27/pc/search/corp80535/outline.html ; https://kitaishihon.com/company/9265/story ; https://www.yamashitaika.co.jp/company/network/</t>
        </is>
      </c>
      <c r="Z102" s="156" t="n">
        <v>2</v>
      </c>
      <c r="AA102" s="156" t="n">
        <v>4</v>
      </c>
      <c r="AB102" s="156" t="n">
        <v>3</v>
      </c>
      <c r="AC102" s="156" t="n">
        <v>2</v>
      </c>
      <c r="AD102" s="156" t="n">
        <v>1</v>
      </c>
      <c r="AE102" s="156" t="n">
        <v>4</v>
      </c>
      <c r="AF102" s="156" t="n">
        <v>2</v>
      </c>
      <c r="AG102" s="163" t="inlineStr">
        <is>
          <t>Qualify first</t>
        </is>
      </c>
    </row>
    <row r="103" ht="75" customHeight="1" s="114">
      <c r="A103" s="156" t="n">
        <v>99</v>
      </c>
      <c r="B103" s="156" t="inlineStr">
        <is>
          <t>MAC Co., Ltd. (Sapporo)</t>
        </is>
      </c>
      <c r="C103" s="156" t="inlineStr">
        <is>
          <t>株式会社マック</t>
        </is>
      </c>
      <c r="D103" s="156" t="inlineStr">
        <is>
          <t>Not found (NTA lookup blocked; dedupe by Japanese name)</t>
        </is>
      </c>
      <c r="E103" s="156" t="inlineStr">
        <is>
          <t>Hokkaido</t>
        </is>
      </c>
      <c r="F103" s="156" t="inlineStr">
        <is>
          <t>Tohoku and Hokkaido</t>
        </is>
      </c>
      <c r="G103" s="157" t="inlineStr">
        <is>
          <t>https://www.mac-inc.co.jp/</t>
        </is>
      </c>
      <c r="H103" s="156" t="inlineStr">
        <is>
          <t>Human device sales licences; 動物用 licence not confirmed</t>
        </is>
      </c>
      <c r="I103" s="156" t="inlineStr">
        <is>
          <t>Human multi brand lines (ultrasound brands not confirmed)</t>
        </is>
      </c>
      <c r="J103" s="156" t="inlineStr">
        <is>
          <t>Companion</t>
        </is>
      </c>
      <c r="K103" s="156" t="inlineStr">
        <is>
          <t>Hokkaido</t>
        </is>
      </c>
      <c r="L103" s="156" t="inlineStr">
        <is>
          <t>Not found</t>
        </is>
      </c>
      <c r="M103" s="156" t="inlineStr">
        <is>
          <t>n/a</t>
        </is>
      </c>
      <c r="N103" s="156" t="inlineStr">
        <is>
          <t>Not identified</t>
        </is>
      </c>
      <c r="O103" s="156" t="inlineStr">
        <is>
          <t>Not identified</t>
        </is>
      </c>
      <c r="P103" s="156" t="inlineStr">
        <is>
          <t>Not published; phone only</t>
        </is>
      </c>
      <c r="Q103" s="156" t="inlineStr">
        <is>
          <t>011 241 3181</t>
        </is>
      </c>
      <c r="R103" s="156" t="inlineStr">
        <is>
          <t>Not identified</t>
        </is>
      </c>
      <c r="S103" s="156" t="inlineStr">
        <is>
          <t>Company inquiry only (phone); SECOM group</t>
        </is>
      </c>
      <c r="T103" s="158">
        <f>SUM(Z103:AF103)</f>
        <v>18</v>
      </c>
      <c r="U103" s="162" t="inlineStr">
        <is>
          <t>V4</t>
        </is>
      </c>
      <c r="V103" s="156" t="inlineStr">
        <is>
          <t>QUALIFY FIRST: animal hospital sales not confirmed in sources. Sapporo dealer selling CT and other imaging plus consumables (1984).</t>
        </is>
      </c>
      <c r="W103" s="156" t="inlineStr">
        <is>
          <t>Open by asking whether they serve animal hospitals today; if yes, offer a vet line with no overlap to their human ultrasound brands.</t>
        </is>
      </c>
      <c r="X103" s="156" t="inlineStr">
        <is>
          <t>Not checked (human list not in v17)</t>
        </is>
      </c>
      <c r="Y103" s="156" t="inlineStr">
        <is>
          <t>https://baseconnect.in/companies/prefecture/9ebb3838-effc-47da-b634-994957a78319/keyword/14f3dcec-9cd5-4be5-84e1-ddccb7bd228c</t>
        </is>
      </c>
      <c r="Z103" s="156" t="n">
        <v>2</v>
      </c>
      <c r="AA103" s="156" t="n">
        <v>4</v>
      </c>
      <c r="AB103" s="156" t="n">
        <v>3</v>
      </c>
      <c r="AC103" s="156" t="n">
        <v>2</v>
      </c>
      <c r="AD103" s="156" t="n">
        <v>1</v>
      </c>
      <c r="AE103" s="156" t="n">
        <v>4</v>
      </c>
      <c r="AF103" s="156" t="n">
        <v>2</v>
      </c>
      <c r="AG103" s="163" t="inlineStr">
        <is>
          <t>Qualify first</t>
        </is>
      </c>
    </row>
    <row r="104" ht="75" customHeight="1" s="114">
      <c r="A104" s="156" t="n">
        <v>100</v>
      </c>
      <c r="B104" s="156" t="inlineStr">
        <is>
          <t>As Science Co., Ltd.</t>
        </is>
      </c>
      <c r="C104" s="156" t="inlineStr">
        <is>
          <t>アズサイエンス株式会社</t>
        </is>
      </c>
      <c r="D104" s="156" t="inlineStr">
        <is>
          <t>Not found (NTA lookup blocked; dedupe by Japanese name)</t>
        </is>
      </c>
      <c r="E104" s="156" t="inlineStr">
        <is>
          <t>Nagano</t>
        </is>
      </c>
      <c r="F104" s="156" t="inlineStr">
        <is>
          <t>Chubu</t>
        </is>
      </c>
      <c r="G104" s="156" t="inlineStr">
        <is>
          <t>Not found</t>
        </is>
      </c>
      <c r="H104" s="156" t="inlineStr">
        <is>
          <t>Human device sales licences; 動物用 licence not confirmed</t>
        </is>
      </c>
      <c r="I104" s="156" t="inlineStr">
        <is>
          <t>Human multi brand lines (ultrasound brands not confirmed)</t>
        </is>
      </c>
      <c r="J104" s="156" t="inlineStr">
        <is>
          <t>Companion</t>
        </is>
      </c>
      <c r="K104" s="156" t="inlineStr">
        <is>
          <t>Nagano (Matsumoto)</t>
        </is>
      </c>
      <c r="L104" s="156" t="inlineStr">
        <is>
          <t>Not found</t>
        </is>
      </c>
      <c r="M104" s="156" t="inlineStr">
        <is>
          <t>n/a</t>
        </is>
      </c>
      <c r="N104" s="156" t="inlineStr">
        <is>
          <t>Not identified</t>
        </is>
      </c>
      <c r="O104" s="156" t="inlineStr">
        <is>
          <t>Not identified</t>
        </is>
      </c>
      <c r="P104" s="156" t="inlineStr">
        <is>
          <t>Not searched (search budget)</t>
        </is>
      </c>
      <c r="Q104" s="156" t="inlineStr">
        <is>
          <t>Not found (use site)</t>
        </is>
      </c>
      <c r="R104" s="156" t="inlineStr">
        <is>
          <t>Not identified</t>
        </is>
      </c>
      <c r="S104" s="156" t="inlineStr">
        <is>
          <t>Unverified</t>
        </is>
      </c>
      <c r="T104" s="158">
        <f>SUM(Z104:AF104)</f>
        <v>17</v>
      </c>
      <c r="U104" s="162" t="inlineStr">
        <is>
          <t>V4</t>
        </is>
      </c>
      <c r="V104" s="156" t="inlineStr">
        <is>
          <t>QUALIFY FIRST: animal hospital sales not confirmed in sources. Nagano device and lab wholesaler.</t>
        </is>
      </c>
      <c r="W104" s="156" t="inlineStr">
        <is>
          <t>Open by asking whether they serve animal hospitals today; if yes, offer a vet line with no overlap to their human ultrasound brands.</t>
        </is>
      </c>
      <c r="X104" s="156" t="inlineStr">
        <is>
          <t>Not checked (human list not in v17)</t>
        </is>
      </c>
      <c r="Y104" s="156" t="inlineStr">
        <is>
          <t>https://baseconnect.in/companies/prefecture/47b312cd-84c4-4e89-951a-b56344bc774e/keyword/89941b4e-2dd1-4848-8957-48af280a31e0</t>
        </is>
      </c>
      <c r="Z104" s="156" t="n">
        <v>2</v>
      </c>
      <c r="AA104" s="156" t="n">
        <v>3</v>
      </c>
      <c r="AB104" s="156" t="n">
        <v>3</v>
      </c>
      <c r="AC104" s="156" t="n">
        <v>2</v>
      </c>
      <c r="AD104" s="156" t="n">
        <v>1</v>
      </c>
      <c r="AE104" s="156" t="n">
        <v>4</v>
      </c>
      <c r="AF104" s="156" t="n">
        <v>2</v>
      </c>
      <c r="AG104" s="163" t="inlineStr">
        <is>
          <t>Qualify first</t>
        </is>
      </c>
    </row>
    <row r="105" ht="75" customHeight="1" s="114">
      <c r="A105" s="156" t="n">
        <v>101</v>
      </c>
      <c r="B105" s="156" t="inlineStr">
        <is>
          <t>Fukuda Denshi Chubu Sales Co., Ltd.</t>
        </is>
      </c>
      <c r="C105" s="156" t="inlineStr">
        <is>
          <t>フクダ電子中部販売株式会社</t>
        </is>
      </c>
      <c r="D105" s="156" t="inlineStr">
        <is>
          <t>Not found (NTA lookup blocked; dedupe by Japanese name)</t>
        </is>
      </c>
      <c r="E105" s="156" t="inlineStr">
        <is>
          <t>Aichi</t>
        </is>
      </c>
      <c r="F105" s="156" t="inlineStr">
        <is>
          <t>Chubu</t>
        </is>
      </c>
      <c r="G105" s="156" t="inlineStr">
        <is>
          <t>Not found</t>
        </is>
      </c>
      <c r="H105" s="156" t="inlineStr">
        <is>
          <t>Human device sales licences; 動物用 licence not confirmed</t>
        </is>
      </c>
      <c r="I105" s="156" t="inlineStr">
        <is>
          <t>Human multi brand lines (ultrasound brands not confirmed)</t>
        </is>
      </c>
      <c r="J105" s="156" t="inlineStr">
        <is>
          <t>Companion</t>
        </is>
      </c>
      <c r="K105" s="156" t="inlineStr">
        <is>
          <t>Tokai</t>
        </is>
      </c>
      <c r="L105" s="156" t="inlineStr">
        <is>
          <t>Not found</t>
        </is>
      </c>
      <c r="M105" s="156" t="inlineStr">
        <is>
          <t>n/a</t>
        </is>
      </c>
      <c r="N105" s="156" t="inlineStr">
        <is>
          <t>Not identified</t>
        </is>
      </c>
      <c r="O105" s="156" t="inlineStr">
        <is>
          <t>Not identified</t>
        </is>
      </c>
      <c r="P105" s="156" t="inlineStr">
        <is>
          <t>Not searched (search budget)</t>
        </is>
      </c>
      <c r="Q105" s="156" t="inlineStr">
        <is>
          <t>Not found (use site)</t>
        </is>
      </c>
      <c r="R105" s="156" t="inlineStr">
        <is>
          <t>Not identified</t>
        </is>
      </c>
      <c r="S105" s="156" t="inlineStr">
        <is>
          <t>Unverified</t>
        </is>
      </c>
      <c r="T105" s="158">
        <f>SUM(Z105:AF105)</f>
        <v>17</v>
      </c>
      <c r="U105" s="162" t="inlineStr">
        <is>
          <t>V4</t>
        </is>
      </c>
      <c r="V105" s="156" t="inlineStr">
        <is>
          <t>QUALIFY FIRST: animal hospital sales not confirmed in sources. Fukuda Denshi sales company in Tokai.</t>
        </is>
      </c>
      <c r="W105" s="156" t="inlineStr">
        <is>
          <t>Open by asking whether they serve animal hospitals today; if yes, offer a vet line with no overlap to their human ultrasound brands.</t>
        </is>
      </c>
      <c r="X105" s="156" t="inlineStr">
        <is>
          <t>Not checked (human list not in v17)</t>
        </is>
      </c>
      <c r="Y105" s="156" t="inlineStr">
        <is>
          <t>https://www.nikkei.com/compass/search/Y2F0ZWdvcnk9Y29tcGFueSZyZWdpb249MjMmaW5kdXN0cnlTPTA1MzI</t>
        </is>
      </c>
      <c r="Z105" s="156" t="n">
        <v>2</v>
      </c>
      <c r="AA105" s="156" t="n">
        <v>3</v>
      </c>
      <c r="AB105" s="156" t="n">
        <v>3</v>
      </c>
      <c r="AC105" s="156" t="n">
        <v>2</v>
      </c>
      <c r="AD105" s="156" t="n">
        <v>1</v>
      </c>
      <c r="AE105" s="156" t="n">
        <v>4</v>
      </c>
      <c r="AF105" s="156" t="n">
        <v>2</v>
      </c>
      <c r="AG105" s="163" t="inlineStr">
        <is>
          <t>Qualify first</t>
        </is>
      </c>
    </row>
    <row r="106" ht="75" customHeight="1" s="114">
      <c r="A106" s="156" t="n">
        <v>102</v>
      </c>
      <c r="B106" s="156" t="inlineStr">
        <is>
          <t>Fukuda Denshi Niigata Sales Co., Ltd.</t>
        </is>
      </c>
      <c r="C106" s="156" t="inlineStr">
        <is>
          <t>フクダ電子新潟販売株式会社</t>
        </is>
      </c>
      <c r="D106" s="156" t="inlineStr">
        <is>
          <t>Not found (NTA lookup blocked; dedupe by Japanese name)</t>
        </is>
      </c>
      <c r="E106" s="156" t="inlineStr">
        <is>
          <t>Niigata</t>
        </is>
      </c>
      <c r="F106" s="156" t="inlineStr">
        <is>
          <t>Chubu</t>
        </is>
      </c>
      <c r="G106" s="156" t="inlineStr">
        <is>
          <t>Not found</t>
        </is>
      </c>
      <c r="H106" s="156" t="inlineStr">
        <is>
          <t>Human device sales licences; 動物用 licence not confirmed</t>
        </is>
      </c>
      <c r="I106" s="156" t="inlineStr">
        <is>
          <t>Human multi brand lines (ultrasound brands not confirmed)</t>
        </is>
      </c>
      <c r="J106" s="156" t="inlineStr">
        <is>
          <t>Companion</t>
        </is>
      </c>
      <c r="K106" s="156" t="inlineStr">
        <is>
          <t>Niigata</t>
        </is>
      </c>
      <c r="L106" s="156" t="inlineStr">
        <is>
          <t>Not found</t>
        </is>
      </c>
      <c r="M106" s="156" t="inlineStr">
        <is>
          <t>n/a</t>
        </is>
      </c>
      <c r="N106" s="156" t="inlineStr">
        <is>
          <t>Not identified</t>
        </is>
      </c>
      <c r="O106" s="156" t="inlineStr">
        <is>
          <t>Not identified</t>
        </is>
      </c>
      <c r="P106" s="156" t="inlineStr">
        <is>
          <t>Not searched (search budget)</t>
        </is>
      </c>
      <c r="Q106" s="156" t="inlineStr">
        <is>
          <t>Not found (use site)</t>
        </is>
      </c>
      <c r="R106" s="156" t="inlineStr">
        <is>
          <t>Not identified</t>
        </is>
      </c>
      <c r="S106" s="156" t="inlineStr">
        <is>
          <t>Unverified</t>
        </is>
      </c>
      <c r="T106" s="158">
        <f>SUM(Z106:AF106)</f>
        <v>17</v>
      </c>
      <c r="U106" s="162" t="inlineStr">
        <is>
          <t>V4</t>
        </is>
      </c>
      <c r="V106" s="156" t="inlineStr">
        <is>
          <t>QUALIFY FIRST: animal hospital sales not confirmed in sources. Fukuda Denshi sales company in Niigata.</t>
        </is>
      </c>
      <c r="W106" s="156" t="inlineStr">
        <is>
          <t>Open by asking whether they serve animal hospitals today; if yes, offer a vet line with no overlap to their human ultrasound brands.</t>
        </is>
      </c>
      <c r="X106" s="156" t="inlineStr">
        <is>
          <t>Not checked (human list not in v17)</t>
        </is>
      </c>
      <c r="Y106" s="156" t="inlineStr">
        <is>
          <t>https://baseconnect.in/companies/prefecture/3cf97f91-8b39-4cdb-981b-d035b0176b65/keyword/89941b4e-2dd1-4848-8957-48af280a31e0</t>
        </is>
      </c>
      <c r="Z106" s="156" t="n">
        <v>2</v>
      </c>
      <c r="AA106" s="156" t="n">
        <v>3</v>
      </c>
      <c r="AB106" s="156" t="n">
        <v>3</v>
      </c>
      <c r="AC106" s="156" t="n">
        <v>2</v>
      </c>
      <c r="AD106" s="156" t="n">
        <v>1</v>
      </c>
      <c r="AE106" s="156" t="n">
        <v>4</v>
      </c>
      <c r="AF106" s="156" t="n">
        <v>2</v>
      </c>
      <c r="AG106" s="163" t="inlineStr">
        <is>
          <t>Qualify first</t>
        </is>
      </c>
    </row>
    <row r="107" ht="75" customHeight="1" s="114">
      <c r="A107" s="156" t="n">
        <v>103</v>
      </c>
      <c r="B107" s="156" t="inlineStr">
        <is>
          <t>Fukuda Denshi Sangi Sales Co., Ltd.</t>
        </is>
      </c>
      <c r="C107" s="156" t="inlineStr">
        <is>
          <t>フクダ電子三岐販売株式会社</t>
        </is>
      </c>
      <c r="D107" s="156" t="inlineStr">
        <is>
          <t>Not found (NTA lookup blocked; dedupe by Japanese name)</t>
        </is>
      </c>
      <c r="E107" s="156" t="inlineStr">
        <is>
          <t>Gifu</t>
        </is>
      </c>
      <c r="F107" s="156" t="inlineStr">
        <is>
          <t>Chubu</t>
        </is>
      </c>
      <c r="G107" s="156" t="inlineStr">
        <is>
          <t>Not found</t>
        </is>
      </c>
      <c r="H107" s="156" t="inlineStr">
        <is>
          <t>Human device sales licences; 動物用 licence not confirmed</t>
        </is>
      </c>
      <c r="I107" s="156" t="inlineStr">
        <is>
          <t>Human multi brand lines (ultrasound brands not confirmed)</t>
        </is>
      </c>
      <c r="J107" s="156" t="inlineStr">
        <is>
          <t>Companion</t>
        </is>
      </c>
      <c r="K107" s="156" t="inlineStr">
        <is>
          <t>Gifu and Mie</t>
        </is>
      </c>
      <c r="L107" s="156" t="inlineStr">
        <is>
          <t>Not found</t>
        </is>
      </c>
      <c r="M107" s="156" t="inlineStr">
        <is>
          <t>n/a</t>
        </is>
      </c>
      <c r="N107" s="156" t="inlineStr">
        <is>
          <t>Not identified</t>
        </is>
      </c>
      <c r="O107" s="156" t="inlineStr">
        <is>
          <t>Not identified</t>
        </is>
      </c>
      <c r="P107" s="156" t="inlineStr">
        <is>
          <t>Not searched (search budget)</t>
        </is>
      </c>
      <c r="Q107" s="156" t="inlineStr">
        <is>
          <t>Not found (use site)</t>
        </is>
      </c>
      <c r="R107" s="156" t="inlineStr">
        <is>
          <t>Not identified</t>
        </is>
      </c>
      <c r="S107" s="156" t="inlineStr">
        <is>
          <t>Unverified</t>
        </is>
      </c>
      <c r="T107" s="158">
        <f>SUM(Z107:AF107)</f>
        <v>17</v>
      </c>
      <c r="U107" s="162" t="inlineStr">
        <is>
          <t>V4</t>
        </is>
      </c>
      <c r="V107" s="156" t="inlineStr">
        <is>
          <t>QUALIFY FIRST: animal hospital sales not confirmed in sources. Fukuda Denshi sales and rental company.</t>
        </is>
      </c>
      <c r="W107" s="156" t="inlineStr">
        <is>
          <t>Open by asking whether they serve animal hospitals today; if yes, offer a vet line with no overlap to their human ultrasound brands.</t>
        </is>
      </c>
      <c r="X107" s="156" t="inlineStr">
        <is>
          <t>Not checked (human list not in v17)</t>
        </is>
      </c>
      <c r="Y107" s="156" t="inlineStr">
        <is>
          <t>https://baseconnect.in/companies/prefecture/8de2e273-a5a8-45b9-8fc1-0fe6344d6843/keyword/14f3dcec-9cd5-4be5-84e1-ddccb7bd228c</t>
        </is>
      </c>
      <c r="Z107" s="156" t="n">
        <v>2</v>
      </c>
      <c r="AA107" s="156" t="n">
        <v>3</v>
      </c>
      <c r="AB107" s="156" t="n">
        <v>3</v>
      </c>
      <c r="AC107" s="156" t="n">
        <v>2</v>
      </c>
      <c r="AD107" s="156" t="n">
        <v>1</v>
      </c>
      <c r="AE107" s="156" t="n">
        <v>4</v>
      </c>
      <c r="AF107" s="156" t="n">
        <v>2</v>
      </c>
      <c r="AG107" s="163" t="inlineStr">
        <is>
          <t>Qualify first</t>
        </is>
      </c>
    </row>
    <row r="108" ht="75" customHeight="1" s="114">
      <c r="A108" s="156" t="n">
        <v>104</v>
      </c>
      <c r="B108" s="156" t="inlineStr">
        <is>
          <t>Good Life Design Co., Ltd.</t>
        </is>
      </c>
      <c r="C108" s="156" t="inlineStr">
        <is>
          <t>株式会社グッドライフデザイン</t>
        </is>
      </c>
      <c r="D108" s="156" t="inlineStr">
        <is>
          <t>Not found (NTA lookup blocked; dedupe by Japanese name)</t>
        </is>
      </c>
      <c r="E108" s="156" t="inlineStr">
        <is>
          <t>Aichi</t>
        </is>
      </c>
      <c r="F108" s="156" t="inlineStr">
        <is>
          <t>Chubu</t>
        </is>
      </c>
      <c r="G108" s="156" t="inlineStr">
        <is>
          <t>Not found</t>
        </is>
      </c>
      <c r="H108" s="156" t="inlineStr">
        <is>
          <t>Human device sales licences; 動物用 licence not confirmed</t>
        </is>
      </c>
      <c r="I108" s="156" t="inlineStr">
        <is>
          <t>Human multi brand lines (ultrasound brands not confirmed)</t>
        </is>
      </c>
      <c r="J108" s="156" t="inlineStr">
        <is>
          <t>Companion</t>
        </is>
      </c>
      <c r="K108" s="156" t="inlineStr">
        <is>
          <t>Aichi</t>
        </is>
      </c>
      <c r="L108" s="156" t="inlineStr">
        <is>
          <t>Not found</t>
        </is>
      </c>
      <c r="M108" s="156" t="inlineStr">
        <is>
          <t>n/a</t>
        </is>
      </c>
      <c r="N108" s="156" t="inlineStr">
        <is>
          <t>Not identified</t>
        </is>
      </c>
      <c r="O108" s="156" t="inlineStr">
        <is>
          <t>Not identified</t>
        </is>
      </c>
      <c r="P108" s="156" t="inlineStr">
        <is>
          <t>Not searched (search budget)</t>
        </is>
      </c>
      <c r="Q108" s="156" t="inlineStr">
        <is>
          <t>Not found (use site)</t>
        </is>
      </c>
      <c r="R108" s="156" t="inlineStr">
        <is>
          <t>Not identified</t>
        </is>
      </c>
      <c r="S108" s="156" t="inlineStr">
        <is>
          <t>Unverified</t>
        </is>
      </c>
      <c r="T108" s="158">
        <f>SUM(Z108:AF108)</f>
        <v>17</v>
      </c>
      <c r="U108" s="162" t="inlineStr">
        <is>
          <t>V4</t>
        </is>
      </c>
      <c r="V108" s="156" t="inlineStr">
        <is>
          <t>QUALIFY FIRST: animal hospital sales not confirmed in sources. Aichi device and supplies wholesaler.</t>
        </is>
      </c>
      <c r="W108" s="156" t="inlineStr">
        <is>
          <t>Open by asking whether they serve animal hospitals today; if yes, offer a vet line with no overlap to their human ultrasound brands.</t>
        </is>
      </c>
      <c r="X108" s="156" t="inlineStr">
        <is>
          <t>Not checked (human list not in v17)</t>
        </is>
      </c>
      <c r="Y108" s="156" t="inlineStr">
        <is>
          <t>https://www.nikkei.com/compass/search/Y2F0ZWdvcnk9Y29tcGFueSZyZWdpb249MjMmaW5kdXN0cnlTPTA1MzI</t>
        </is>
      </c>
      <c r="Z108" s="156" t="n">
        <v>2</v>
      </c>
      <c r="AA108" s="156" t="n">
        <v>3</v>
      </c>
      <c r="AB108" s="156" t="n">
        <v>3</v>
      </c>
      <c r="AC108" s="156" t="n">
        <v>2</v>
      </c>
      <c r="AD108" s="156" t="n">
        <v>1</v>
      </c>
      <c r="AE108" s="156" t="n">
        <v>4</v>
      </c>
      <c r="AF108" s="156" t="n">
        <v>2</v>
      </c>
      <c r="AG108" s="163" t="inlineStr">
        <is>
          <t>Qualify first</t>
        </is>
      </c>
    </row>
    <row r="109" ht="75" customHeight="1" s="114">
      <c r="A109" s="156" t="n">
        <v>105</v>
      </c>
      <c r="B109" s="156" t="inlineStr">
        <is>
          <t>Hashino Medical Co., Ltd.</t>
        </is>
      </c>
      <c r="C109" s="156" t="inlineStr">
        <is>
          <t>株式会社端野メディカル</t>
        </is>
      </c>
      <c r="D109" s="156" t="inlineStr">
        <is>
          <t>Not found (NTA lookup blocked; dedupe by Japanese name)</t>
        </is>
      </c>
      <c r="E109" s="156" t="inlineStr">
        <is>
          <t>Fukui</t>
        </is>
      </c>
      <c r="F109" s="156" t="inlineStr">
        <is>
          <t>Chubu</t>
        </is>
      </c>
      <c r="G109" s="156" t="inlineStr">
        <is>
          <t>Not found</t>
        </is>
      </c>
      <c r="H109" s="156" t="inlineStr">
        <is>
          <t>Human device sales licences; 動物用 licence not confirmed</t>
        </is>
      </c>
      <c r="I109" s="156" t="inlineStr">
        <is>
          <t>Human multi brand lines (ultrasound brands not confirmed)</t>
        </is>
      </c>
      <c r="J109" s="156" t="inlineStr">
        <is>
          <t>Companion</t>
        </is>
      </c>
      <c r="K109" s="156" t="inlineStr">
        <is>
          <t>Fukui</t>
        </is>
      </c>
      <c r="L109" s="156" t="inlineStr">
        <is>
          <t>Not found</t>
        </is>
      </c>
      <c r="M109" s="156" t="inlineStr">
        <is>
          <t>n/a</t>
        </is>
      </c>
      <c r="N109" s="156" t="inlineStr">
        <is>
          <t>Not identified</t>
        </is>
      </c>
      <c r="O109" s="156" t="inlineStr">
        <is>
          <t>Not identified</t>
        </is>
      </c>
      <c r="P109" s="156" t="inlineStr">
        <is>
          <t>Not searched (search budget)</t>
        </is>
      </c>
      <c r="Q109" s="156" t="inlineStr">
        <is>
          <t>Not found (use site)</t>
        </is>
      </c>
      <c r="R109" s="156" t="inlineStr">
        <is>
          <t>Not identified</t>
        </is>
      </c>
      <c r="S109" s="156" t="inlineStr">
        <is>
          <t>Unverified</t>
        </is>
      </c>
      <c r="T109" s="158">
        <f>SUM(Z109:AF109)</f>
        <v>17</v>
      </c>
      <c r="U109" s="162" t="inlineStr">
        <is>
          <t>V4</t>
        </is>
      </c>
      <c r="V109" s="156" t="inlineStr">
        <is>
          <t>QUALIFY FIRST: animal hospital sales not confirmed in sources. Fukui device wholesaler.</t>
        </is>
      </c>
      <c r="W109" s="156" t="inlineStr">
        <is>
          <t>Open by asking whether they serve animal hospitals today; if yes, offer a vet line with no overlap to their human ultrasound brands.</t>
        </is>
      </c>
      <c r="X109" s="156" t="inlineStr">
        <is>
          <t>Not checked (human list not in v17)</t>
        </is>
      </c>
      <c r="Y109" s="156" t="inlineStr">
        <is>
          <t>https://baseconnect.in/companies/prefecture/aed784f6-cd06-4f72-95d9-876e82d37385/keyword/89941b4e-2dd1-4848-8957-48af280a31e0</t>
        </is>
      </c>
      <c r="Z109" s="156" t="n">
        <v>2</v>
      </c>
      <c r="AA109" s="156" t="n">
        <v>3</v>
      </c>
      <c r="AB109" s="156" t="n">
        <v>3</v>
      </c>
      <c r="AC109" s="156" t="n">
        <v>2</v>
      </c>
      <c r="AD109" s="156" t="n">
        <v>1</v>
      </c>
      <c r="AE109" s="156" t="n">
        <v>4</v>
      </c>
      <c r="AF109" s="156" t="n">
        <v>2</v>
      </c>
      <c r="AG109" s="163" t="inlineStr">
        <is>
          <t>Qualify first</t>
        </is>
      </c>
    </row>
    <row r="110" ht="75" customHeight="1" s="114">
      <c r="A110" s="156" t="n">
        <v>106</v>
      </c>
      <c r="B110" s="156" t="inlineStr">
        <is>
          <t>Himec Co., Ltd.</t>
        </is>
      </c>
      <c r="C110" s="156" t="inlineStr">
        <is>
          <t>株式会社ハイメック</t>
        </is>
      </c>
      <c r="D110" s="156" t="inlineStr">
        <is>
          <t>Not found (NTA lookup blocked; dedupe by Japanese name)</t>
        </is>
      </c>
      <c r="E110" s="156" t="inlineStr">
        <is>
          <t>Toyama</t>
        </is>
      </c>
      <c r="F110" s="156" t="inlineStr">
        <is>
          <t>Chubu</t>
        </is>
      </c>
      <c r="G110" s="157" t="inlineStr">
        <is>
          <t>http://www.kk-himec.co.jp/</t>
        </is>
      </c>
      <c r="H110" s="156" t="inlineStr">
        <is>
          <t>Human device sales licences; 動物用 licence not confirmed</t>
        </is>
      </c>
      <c r="I110" s="156" t="inlineStr">
        <is>
          <t>Human multi brand lines (ultrasound brands not confirmed)</t>
        </is>
      </c>
      <c r="J110" s="156" t="inlineStr">
        <is>
          <t>Companion</t>
        </is>
      </c>
      <c r="K110" s="156" t="inlineStr">
        <is>
          <t>Toyama</t>
        </is>
      </c>
      <c r="L110" s="156" t="inlineStr">
        <is>
          <t>Not found</t>
        </is>
      </c>
      <c r="M110" s="156" t="inlineStr">
        <is>
          <t>n/a</t>
        </is>
      </c>
      <c r="N110" s="156" t="inlineStr">
        <is>
          <t>Not identified</t>
        </is>
      </c>
      <c r="O110" s="156" t="inlineStr">
        <is>
          <t>Not identified</t>
        </is>
      </c>
      <c r="P110" s="156" t="inlineStr">
        <is>
          <t>himec@tam.ne.jp</t>
        </is>
      </c>
      <c r="Q110" s="156" t="inlineStr">
        <is>
          <t>076 424 3880</t>
        </is>
      </c>
      <c r="R110" s="156" t="inlineStr">
        <is>
          <t>Not identified</t>
        </is>
      </c>
      <c r="S110" s="156" t="inlineStr">
        <is>
          <t>Verified (published on own site, read via search); not the Ogaki company HIMEC (himec jp.com)</t>
        </is>
      </c>
      <c r="T110" s="158">
        <f>SUM(Z110:AF110)</f>
        <v>17</v>
      </c>
      <c r="U110" s="162" t="inlineStr">
        <is>
          <t>V4</t>
        </is>
      </c>
      <c r="V110" s="156" t="inlineStr">
        <is>
          <t>QUALIFY FIRST: animal hospital sales not confirmed in sources. Toyama device dealer.</t>
        </is>
      </c>
      <c r="W110" s="156" t="inlineStr">
        <is>
          <t>Open by asking whether they serve animal hospitals today; if yes, offer a vet line with no overlap to their human ultrasound brands.</t>
        </is>
      </c>
      <c r="X110" s="156" t="inlineStr">
        <is>
          <t>Not checked (human list not in v17)</t>
        </is>
      </c>
      <c r="Y110" s="156" t="inlineStr">
        <is>
          <t>https://baseconnect.in/companies/prefecture/31ffefed-1183-4eba-a6d9-4182a6136e50/keyword/14f3dcec-9cd5-4be5-84e1-ddccb7bd228c ; http://www.kk-himec.co.jp/gaiyo.html</t>
        </is>
      </c>
      <c r="Z110" s="156" t="n">
        <v>2</v>
      </c>
      <c r="AA110" s="156" t="n">
        <v>3</v>
      </c>
      <c r="AB110" s="156" t="n">
        <v>3</v>
      </c>
      <c r="AC110" s="156" t="n">
        <v>2</v>
      </c>
      <c r="AD110" s="156" t="n">
        <v>1</v>
      </c>
      <c r="AE110" s="156" t="n">
        <v>4</v>
      </c>
      <c r="AF110" s="156" t="n">
        <v>2</v>
      </c>
      <c r="AG110" s="163" t="inlineStr">
        <is>
          <t>Qualify first</t>
        </is>
      </c>
    </row>
    <row r="111" ht="75" customHeight="1" s="114">
      <c r="A111" s="156" t="n">
        <v>107</v>
      </c>
      <c r="B111" s="156" t="inlineStr">
        <is>
          <t>Hokuriku Bio Co., Ltd.</t>
        </is>
      </c>
      <c r="C111" s="156" t="inlineStr">
        <is>
          <t>北陸バイオ株式会社</t>
        </is>
      </c>
      <c r="D111" s="156" t="inlineStr">
        <is>
          <t>Not found (NTA lookup blocked; dedupe by Japanese name)</t>
        </is>
      </c>
      <c r="E111" s="156" t="inlineStr">
        <is>
          <t>Toyama</t>
        </is>
      </c>
      <c r="F111" s="156" t="inlineStr">
        <is>
          <t>Chubu</t>
        </is>
      </c>
      <c r="G111" s="156" t="inlineStr">
        <is>
          <t>Not found</t>
        </is>
      </c>
      <c r="H111" s="156" t="inlineStr">
        <is>
          <t>Human device sales licences; 動物用 licence not confirmed</t>
        </is>
      </c>
      <c r="I111" s="156" t="inlineStr">
        <is>
          <t>Human multi brand lines (ultrasound brands not confirmed)</t>
        </is>
      </c>
      <c r="J111" s="156" t="inlineStr">
        <is>
          <t>Companion</t>
        </is>
      </c>
      <c r="K111" s="156" t="inlineStr">
        <is>
          <t>Toyama and Ishikawa</t>
        </is>
      </c>
      <c r="L111" s="156" t="inlineStr">
        <is>
          <t>Not found</t>
        </is>
      </c>
      <c r="M111" s="156" t="inlineStr">
        <is>
          <t>n/a</t>
        </is>
      </c>
      <c r="N111" s="156" t="inlineStr">
        <is>
          <t>Not identified</t>
        </is>
      </c>
      <c r="O111" s="156" t="inlineStr">
        <is>
          <t>Not identified</t>
        </is>
      </c>
      <c r="P111" s="156" t="inlineStr">
        <is>
          <t>Not published; phone only</t>
        </is>
      </c>
      <c r="Q111" s="156" t="inlineStr">
        <is>
          <t>076 442 7544</t>
        </is>
      </c>
      <c r="R111" s="156" t="inlineStr">
        <is>
          <t>Not identified</t>
        </is>
      </c>
      <c r="S111" s="156" t="inlineStr">
        <is>
          <t>Company inquiry only (phone)</t>
        </is>
      </c>
      <c r="T111" s="158">
        <f>SUM(Z111:AF111)</f>
        <v>17</v>
      </c>
      <c r="U111" s="162" t="inlineStr">
        <is>
          <t>V4</t>
        </is>
      </c>
      <c r="V111" s="156" t="inlineStr">
        <is>
          <t>QUALIFY FIRST: animal hospital sales not confirmed in sources. Sells and repairs devices for hospitals and practices. FLAG: HQ prefecture inferred from listing.</t>
        </is>
      </c>
      <c r="W111" s="156" t="inlineStr">
        <is>
          <t>Open by asking whether they serve animal hospitals today; if yes, offer a vet line with no overlap to their human ultrasound brands.</t>
        </is>
      </c>
      <c r="X111" s="156" t="inlineStr">
        <is>
          <t>Not checked (human list not in v17)</t>
        </is>
      </c>
      <c r="Y111" s="156" t="inlineStr">
        <is>
          <t>https://baseconnect.in/companies/prefecture/31ffefed-1183-4eba-a6d9-4182a6136e50/keyword/14f3dcec-9cd5-4be5-84e1-ddccb7bd228c</t>
        </is>
      </c>
      <c r="Z111" s="156" t="n">
        <v>2</v>
      </c>
      <c r="AA111" s="156" t="n">
        <v>3</v>
      </c>
      <c r="AB111" s="156" t="n">
        <v>3</v>
      </c>
      <c r="AC111" s="156" t="n">
        <v>2</v>
      </c>
      <c r="AD111" s="156" t="n">
        <v>1</v>
      </c>
      <c r="AE111" s="156" t="n">
        <v>4</v>
      </c>
      <c r="AF111" s="156" t="n">
        <v>2</v>
      </c>
      <c r="AG111" s="163" t="inlineStr">
        <is>
          <t>Qualify first</t>
        </is>
      </c>
    </row>
    <row r="112" ht="75" customHeight="1" s="114">
      <c r="A112" s="156" t="n">
        <v>108</v>
      </c>
      <c r="B112" s="156" t="inlineStr">
        <is>
          <t>Inoue Seiki Co., Ltd.</t>
        </is>
      </c>
      <c r="C112" s="156" t="inlineStr">
        <is>
          <t>井上精機株式会社</t>
        </is>
      </c>
      <c r="D112" s="156" t="inlineStr">
        <is>
          <t>Not found (NTA lookup blocked; dedupe by Japanese name)</t>
        </is>
      </c>
      <c r="E112" s="156" t="inlineStr">
        <is>
          <t>Gifu</t>
        </is>
      </c>
      <c r="F112" s="156" t="inlineStr">
        <is>
          <t>Chubu</t>
        </is>
      </c>
      <c r="G112" s="156" t="inlineStr">
        <is>
          <t>Not found</t>
        </is>
      </c>
      <c r="H112" s="156" t="inlineStr">
        <is>
          <t>Human device sales licences; 動物用 licence not confirmed</t>
        </is>
      </c>
      <c r="I112" s="156" t="inlineStr">
        <is>
          <t>Human multi brand lines (ultrasound brands not confirmed)</t>
        </is>
      </c>
      <c r="J112" s="156" t="inlineStr">
        <is>
          <t>Companion</t>
        </is>
      </c>
      <c r="K112" s="156" t="inlineStr">
        <is>
          <t>Gifu</t>
        </is>
      </c>
      <c r="L112" s="156" t="inlineStr">
        <is>
          <t>Not found</t>
        </is>
      </c>
      <c r="M112" s="156" t="inlineStr">
        <is>
          <t>n/a</t>
        </is>
      </c>
      <c r="N112" s="156" t="inlineStr">
        <is>
          <t>Not identified</t>
        </is>
      </c>
      <c r="O112" s="156" t="inlineStr">
        <is>
          <t>Not identified</t>
        </is>
      </c>
      <c r="P112" s="156" t="inlineStr">
        <is>
          <t>Not searched (search budget)</t>
        </is>
      </c>
      <c r="Q112" s="156" t="inlineStr">
        <is>
          <t>Not found (use site)</t>
        </is>
      </c>
      <c r="R112" s="156" t="inlineStr">
        <is>
          <t>Not identified</t>
        </is>
      </c>
      <c r="S112" s="156" t="inlineStr">
        <is>
          <t>Unverified</t>
        </is>
      </c>
      <c r="T112" s="158">
        <f>SUM(Z112:AF112)</f>
        <v>17</v>
      </c>
      <c r="U112" s="162" t="inlineStr">
        <is>
          <t>V4</t>
        </is>
      </c>
      <c r="V112" s="156" t="inlineStr">
        <is>
          <t>QUALIFY FIRST: animal hospital sales not confirmed in sources. Gifu device trading house founded 1933.</t>
        </is>
      </c>
      <c r="W112" s="156" t="inlineStr">
        <is>
          <t>Open by asking whether they serve animal hospitals today; if yes, offer a vet line with no overlap to their human ultrasound brands.</t>
        </is>
      </c>
      <c r="X112" s="156" t="inlineStr">
        <is>
          <t>Not checked (human list not in v17)</t>
        </is>
      </c>
      <c r="Y112" s="156" t="inlineStr">
        <is>
          <t>https://tenshoku.mynavi.jp/company/list/i02090/</t>
        </is>
      </c>
      <c r="Z112" s="156" t="n">
        <v>2</v>
      </c>
      <c r="AA112" s="156" t="n">
        <v>3</v>
      </c>
      <c r="AB112" s="156" t="n">
        <v>3</v>
      </c>
      <c r="AC112" s="156" t="n">
        <v>2</v>
      </c>
      <c r="AD112" s="156" t="n">
        <v>1</v>
      </c>
      <c r="AE112" s="156" t="n">
        <v>4</v>
      </c>
      <c r="AF112" s="156" t="n">
        <v>2</v>
      </c>
      <c r="AG112" s="163" t="inlineStr">
        <is>
          <t>Qualify first</t>
        </is>
      </c>
    </row>
    <row r="113" ht="75" customHeight="1" s="114">
      <c r="A113" s="156" t="n">
        <v>109</v>
      </c>
      <c r="B113" s="156" t="inlineStr">
        <is>
          <t>Ito Iryoki Co., Ltd.</t>
        </is>
      </c>
      <c r="C113" s="156" t="inlineStr">
        <is>
          <t>伊藤医療器株式会社</t>
        </is>
      </c>
      <c r="D113" s="156" t="inlineStr">
        <is>
          <t>Not found (NTA lookup blocked; dedupe by Japanese name)</t>
        </is>
      </c>
      <c r="E113" s="156" t="inlineStr">
        <is>
          <t>Fukui</t>
        </is>
      </c>
      <c r="F113" s="156" t="inlineStr">
        <is>
          <t>Chubu</t>
        </is>
      </c>
      <c r="G113" s="156" t="inlineStr">
        <is>
          <t>Not found</t>
        </is>
      </c>
      <c r="H113" s="156" t="inlineStr">
        <is>
          <t>Human device sales licences; 動物用 licence not confirmed</t>
        </is>
      </c>
      <c r="I113" s="156" t="inlineStr">
        <is>
          <t>Human multi brand lines (ultrasound brands not confirmed)</t>
        </is>
      </c>
      <c r="J113" s="156" t="inlineStr">
        <is>
          <t>Companion</t>
        </is>
      </c>
      <c r="K113" s="156" t="inlineStr">
        <is>
          <t>Fukui</t>
        </is>
      </c>
      <c r="L113" s="156" t="inlineStr">
        <is>
          <t>Not found</t>
        </is>
      </c>
      <c r="M113" s="156" t="inlineStr">
        <is>
          <t>n/a</t>
        </is>
      </c>
      <c r="N113" s="156" t="inlineStr">
        <is>
          <t>Not identified</t>
        </is>
      </c>
      <c r="O113" s="156" t="inlineStr">
        <is>
          <t>Not identified</t>
        </is>
      </c>
      <c r="P113" s="156" t="inlineStr">
        <is>
          <t>Not searched (search budget)</t>
        </is>
      </c>
      <c r="Q113" s="156" t="inlineStr">
        <is>
          <t>Not found (use site)</t>
        </is>
      </c>
      <c r="R113" s="156" t="inlineStr">
        <is>
          <t>Not identified</t>
        </is>
      </c>
      <c r="S113" s="156" t="inlineStr">
        <is>
          <t>Unverified</t>
        </is>
      </c>
      <c r="T113" s="158">
        <f>SUM(Z113:AF113)</f>
        <v>17</v>
      </c>
      <c r="U113" s="162" t="inlineStr">
        <is>
          <t>V4</t>
        </is>
      </c>
      <c r="V113" s="156" t="inlineStr">
        <is>
          <t>QUALIFY FIRST: animal hospital sales not confirmed in sources. Fukui device wholesaler.</t>
        </is>
      </c>
      <c r="W113" s="156" t="inlineStr">
        <is>
          <t>Open by asking whether they serve animal hospitals today; if yes, offer a vet line with no overlap to their human ultrasound brands.</t>
        </is>
      </c>
      <c r="X113" s="156" t="inlineStr">
        <is>
          <t>Not checked (human list not in v17)</t>
        </is>
      </c>
      <c r="Y113" s="156" t="inlineStr">
        <is>
          <t>https://baseconnect.in/companies/prefecture/aed784f6-cd06-4f72-95d9-876e82d37385/keyword/89941b4e-2dd1-4848-8957-48af280a31e0</t>
        </is>
      </c>
      <c r="Z113" s="156" t="n">
        <v>2</v>
      </c>
      <c r="AA113" s="156" t="n">
        <v>3</v>
      </c>
      <c r="AB113" s="156" t="n">
        <v>3</v>
      </c>
      <c r="AC113" s="156" t="n">
        <v>2</v>
      </c>
      <c r="AD113" s="156" t="n">
        <v>1</v>
      </c>
      <c r="AE113" s="156" t="n">
        <v>4</v>
      </c>
      <c r="AF113" s="156" t="n">
        <v>2</v>
      </c>
      <c r="AG113" s="163" t="inlineStr">
        <is>
          <t>Qualify first</t>
        </is>
      </c>
    </row>
    <row r="114" ht="75" customHeight="1" s="114">
      <c r="A114" s="156" t="n">
        <v>110</v>
      </c>
      <c r="B114" s="156" t="inlineStr">
        <is>
          <t>Knowledge Medical Co., Ltd.</t>
        </is>
      </c>
      <c r="C114" s="156" t="inlineStr">
        <is>
          <t>ナレッジメディカル株式会社</t>
        </is>
      </c>
      <c r="D114" s="156" t="inlineStr">
        <is>
          <t>Not found (NTA lookup blocked; dedupe by Japanese name)</t>
        </is>
      </c>
      <c r="E114" s="156" t="inlineStr">
        <is>
          <t>Ishikawa</t>
        </is>
      </c>
      <c r="F114" s="156" t="inlineStr">
        <is>
          <t>Chubu</t>
        </is>
      </c>
      <c r="G114" s="157" t="inlineStr">
        <is>
          <t>https://www.knowmed.jp/</t>
        </is>
      </c>
      <c r="H114" s="156" t="inlineStr">
        <is>
          <t>Human device sales licences; 動物用 licence not confirmed</t>
        </is>
      </c>
      <c r="I114" s="156" t="inlineStr">
        <is>
          <t>Human multi brand lines (ultrasound brands not confirmed)</t>
        </is>
      </c>
      <c r="J114" s="156" t="inlineStr">
        <is>
          <t>Companion</t>
        </is>
      </c>
      <c r="K114" s="156" t="inlineStr">
        <is>
          <t>Ishikawa and Hokuriku</t>
        </is>
      </c>
      <c r="L114" s="156" t="inlineStr">
        <is>
          <t>Not found</t>
        </is>
      </c>
      <c r="M114" s="156" t="inlineStr">
        <is>
          <t>n/a</t>
        </is>
      </c>
      <c r="N114" s="156" t="inlineStr">
        <is>
          <t>Not identified</t>
        </is>
      </c>
      <c r="O114" s="156" t="inlineStr">
        <is>
          <t>Not identified</t>
        </is>
      </c>
      <c r="P114" s="156" t="inlineStr">
        <is>
          <t>Not published; inquiry form: https://www.knowmed.jp/contact/</t>
        </is>
      </c>
      <c r="Q114" s="156" t="inlineStr">
        <is>
          <t>076 251 5502</t>
        </is>
      </c>
      <c r="R114" s="156" t="inlineStr">
        <is>
          <t>Not identified</t>
        </is>
      </c>
      <c r="S114" s="156" t="inlineStr">
        <is>
          <t>Company inquiry only (form)</t>
        </is>
      </c>
      <c r="T114" s="158">
        <f>SUM(Z114:AF114)</f>
        <v>17</v>
      </c>
      <c r="U114" s="162" t="inlineStr">
        <is>
          <t>V4</t>
        </is>
      </c>
      <c r="V114" s="156" t="inlineStr">
        <is>
          <t>QUALIFY FIRST: animal hospital sales not confirmed in sources. Hokuriku medical device trading company.</t>
        </is>
      </c>
      <c r="W114" s="156" t="inlineStr">
        <is>
          <t>Open by asking whether they serve animal hospitals today; if yes, offer a vet line with no overlap to their human ultrasound brands.</t>
        </is>
      </c>
      <c r="X114" s="156" t="inlineStr">
        <is>
          <t>Not checked (human list not in v17)</t>
        </is>
      </c>
      <c r="Y114" s="156" t="inlineStr">
        <is>
          <t>https://tenshoku.mynavi.jp/company/list/i02090/ ; https://www.knowmed.jp/contact/</t>
        </is>
      </c>
      <c r="Z114" s="156" t="n">
        <v>2</v>
      </c>
      <c r="AA114" s="156" t="n">
        <v>3</v>
      </c>
      <c r="AB114" s="156" t="n">
        <v>3</v>
      </c>
      <c r="AC114" s="156" t="n">
        <v>2</v>
      </c>
      <c r="AD114" s="156" t="n">
        <v>1</v>
      </c>
      <c r="AE114" s="156" t="n">
        <v>4</v>
      </c>
      <c r="AF114" s="156" t="n">
        <v>2</v>
      </c>
      <c r="AG114" s="163" t="inlineStr">
        <is>
          <t>Qualify first</t>
        </is>
      </c>
    </row>
    <row r="115" ht="75" customHeight="1" s="114">
      <c r="A115" s="156" t="n">
        <v>111</v>
      </c>
      <c r="B115" s="156" t="inlineStr">
        <is>
          <t>Kyowa Ika Kikai Co., Ltd.</t>
        </is>
      </c>
      <c r="C115" s="156" t="inlineStr">
        <is>
          <t>協和医科器械株式会社</t>
        </is>
      </c>
      <c r="D115" s="156" t="inlineStr">
        <is>
          <t>Not found (NTA lookup blocked; dedupe by Japanese name)</t>
        </is>
      </c>
      <c r="E115" s="156" t="inlineStr">
        <is>
          <t>Shizuoka</t>
        </is>
      </c>
      <c r="F115" s="156" t="inlineStr">
        <is>
          <t>Chubu</t>
        </is>
      </c>
      <c r="G115" s="157" t="inlineStr">
        <is>
          <t>https://www.kyowaika.co.jp</t>
        </is>
      </c>
      <c r="H115" s="156" t="inlineStr">
        <is>
          <t>Human device sales licences; 動物用 licence not confirmed</t>
        </is>
      </c>
      <c r="I115" s="156" t="inlineStr">
        <is>
          <t>Human multi brand lines (ultrasound brands not confirmed)</t>
        </is>
      </c>
      <c r="J115" s="156" t="inlineStr">
        <is>
          <t>Companion</t>
        </is>
      </c>
      <c r="K115" s="156" t="inlineStr">
        <is>
          <t>Shizuoka, Kanagawa, Aichi, Gifu</t>
        </is>
      </c>
      <c r="L115" s="156" t="inlineStr">
        <is>
          <t>Not found</t>
        </is>
      </c>
      <c r="M115" s="156" t="inlineStr">
        <is>
          <t>n/a</t>
        </is>
      </c>
      <c r="N115" s="156" t="inlineStr">
        <is>
          <t>Not identified</t>
        </is>
      </c>
      <c r="O115" s="156" t="inlineStr">
        <is>
          <t>Not identified</t>
        </is>
      </c>
      <c r="P115" s="156" t="inlineStr">
        <is>
          <t>Not published; inquiry form: https://www.kyowaika.co.jp/contact/</t>
        </is>
      </c>
      <c r="Q115" s="156" t="inlineStr">
        <is>
          <t>054 655 6611</t>
        </is>
      </c>
      <c r="R115" s="156" t="inlineStr">
        <is>
          <t>Not identified</t>
        </is>
      </c>
      <c r="S115" s="156" t="inlineStr">
        <is>
          <t>Company inquiry only (form)</t>
        </is>
      </c>
      <c r="T115" s="158">
        <f>SUM(Z115:AF115)</f>
        <v>17</v>
      </c>
      <c r="U115" s="162" t="inlineStr">
        <is>
          <t>V4</t>
        </is>
      </c>
      <c r="V115" s="156" t="inlineStr">
        <is>
          <t>QUALIFY FIRST: animal hospital sales not confirmed in sources. Shizuoka device dealer founded 1959 (Medius group) spanning four prefectures.</t>
        </is>
      </c>
      <c r="W115" s="156" t="inlineStr">
        <is>
          <t>Open by asking whether they serve animal hospitals today; if yes, offer a vet line with no overlap to their human ultrasound brands.</t>
        </is>
      </c>
      <c r="X115" s="156" t="inlineStr">
        <is>
          <t>Not checked (human list not in v17)</t>
        </is>
      </c>
      <c r="Y115" s="156" t="inlineStr">
        <is>
          <t>https://logokit.com/brands/kyowaika.co.jp ; https://batonz.jp/sell_cases/5197 ; https://www.kyowaika.co.jp/contact/</t>
        </is>
      </c>
      <c r="Z115" s="156" t="n">
        <v>2</v>
      </c>
      <c r="AA115" s="156" t="n">
        <v>3</v>
      </c>
      <c r="AB115" s="156" t="n">
        <v>3</v>
      </c>
      <c r="AC115" s="156" t="n">
        <v>2</v>
      </c>
      <c r="AD115" s="156" t="n">
        <v>1</v>
      </c>
      <c r="AE115" s="156" t="n">
        <v>4</v>
      </c>
      <c r="AF115" s="156" t="n">
        <v>2</v>
      </c>
      <c r="AG115" s="163" t="inlineStr">
        <is>
          <t>Qualify first</t>
        </is>
      </c>
    </row>
    <row r="116" ht="75" customHeight="1" s="114">
      <c r="A116" s="156" t="n">
        <v>112</v>
      </c>
      <c r="B116" s="156" t="inlineStr">
        <is>
          <t>Medisapo Co., Ltd.</t>
        </is>
      </c>
      <c r="C116" s="156" t="inlineStr">
        <is>
          <t>株式会社メディサポ</t>
        </is>
      </c>
      <c r="D116" s="156" t="inlineStr">
        <is>
          <t>Not found (NTA lookup blocked; dedupe by Japanese name)</t>
        </is>
      </c>
      <c r="E116" s="156" t="inlineStr">
        <is>
          <t>Aichi</t>
        </is>
      </c>
      <c r="F116" s="156" t="inlineStr">
        <is>
          <t>Chubu</t>
        </is>
      </c>
      <c r="G116" s="156" t="inlineStr">
        <is>
          <t>Not found</t>
        </is>
      </c>
      <c r="H116" s="156" t="inlineStr">
        <is>
          <t>Human device sales licences; 動物用 licence not confirmed</t>
        </is>
      </c>
      <c r="I116" s="156" t="inlineStr">
        <is>
          <t>Human multi brand lines (ultrasound brands not confirmed)</t>
        </is>
      </c>
      <c r="J116" s="156" t="inlineStr">
        <is>
          <t>Companion</t>
        </is>
      </c>
      <c r="K116" s="156" t="inlineStr">
        <is>
          <t>Aichi (Agui)</t>
        </is>
      </c>
      <c r="L116" s="156" t="inlineStr">
        <is>
          <t>Not found</t>
        </is>
      </c>
      <c r="M116" s="156" t="inlineStr">
        <is>
          <t>n/a</t>
        </is>
      </c>
      <c r="N116" s="156" t="inlineStr">
        <is>
          <t>Not identified</t>
        </is>
      </c>
      <c r="O116" s="156" t="inlineStr">
        <is>
          <t>Not identified</t>
        </is>
      </c>
      <c r="P116" s="156" t="inlineStr">
        <is>
          <t>Not searched (search budget)</t>
        </is>
      </c>
      <c r="Q116" s="156" t="inlineStr">
        <is>
          <t>Not found (use site)</t>
        </is>
      </c>
      <c r="R116" s="156" t="inlineStr">
        <is>
          <t>Not identified</t>
        </is>
      </c>
      <c r="S116" s="156" t="inlineStr">
        <is>
          <t>Unverified</t>
        </is>
      </c>
      <c r="T116" s="158">
        <f>SUM(Z116:AF116)</f>
        <v>17</v>
      </c>
      <c r="U116" s="162" t="inlineStr">
        <is>
          <t>V4</t>
        </is>
      </c>
      <c r="V116" s="156" t="inlineStr">
        <is>
          <t>QUALIFY FIRST: animal hospital sales not confirmed in sources. Wholesaler of drugs and high control devices.</t>
        </is>
      </c>
      <c r="W116" s="156" t="inlineStr">
        <is>
          <t>Open by asking whether they serve animal hospitals today; if yes, offer a vet line with no overlap to their human ultrasound brands.</t>
        </is>
      </c>
      <c r="X116" s="156" t="inlineStr">
        <is>
          <t>Not checked (human list not in v17)</t>
        </is>
      </c>
      <c r="Y116" s="156" t="inlineStr">
        <is>
          <t>https://baseconnect.in/companies/prefecture/60622468-79bd-4eef-86f8-cb69d1ef09f0/keyword/14f3dcec-9cd5-4be5-84e1-ddccb7bd228c</t>
        </is>
      </c>
      <c r="Z116" s="156" t="n">
        <v>2</v>
      </c>
      <c r="AA116" s="156" t="n">
        <v>3</v>
      </c>
      <c r="AB116" s="156" t="n">
        <v>3</v>
      </c>
      <c r="AC116" s="156" t="n">
        <v>2</v>
      </c>
      <c r="AD116" s="156" t="n">
        <v>1</v>
      </c>
      <c r="AE116" s="156" t="n">
        <v>4</v>
      </c>
      <c r="AF116" s="156" t="n">
        <v>2</v>
      </c>
      <c r="AG116" s="163" t="inlineStr">
        <is>
          <t>Qualify first</t>
        </is>
      </c>
    </row>
    <row r="117" ht="75" customHeight="1" s="114">
      <c r="A117" s="156" t="n">
        <v>113</v>
      </c>
      <c r="B117" s="156" t="inlineStr">
        <is>
          <t>Meisho Co., Ltd.</t>
        </is>
      </c>
      <c r="C117" s="156" t="inlineStr">
        <is>
          <t>株式会社明祥</t>
        </is>
      </c>
      <c r="D117" s="156" t="inlineStr">
        <is>
          <t>Not found (NTA lookup blocked; dedupe by Japanese name)</t>
        </is>
      </c>
      <c r="E117" s="156" t="inlineStr">
        <is>
          <t>Ishikawa</t>
        </is>
      </c>
      <c r="F117" s="156" t="inlineStr">
        <is>
          <t>Chubu</t>
        </is>
      </c>
      <c r="G117" s="157" t="inlineStr">
        <is>
          <t>https://www.mshhs.com/</t>
        </is>
      </c>
      <c r="H117" s="156" t="inlineStr">
        <is>
          <t>Human device sales licences; 動物用 licence not confirmed</t>
        </is>
      </c>
      <c r="I117" s="156" t="inlineStr">
        <is>
          <t>Human multi brand lines (ultrasound brands not confirmed)</t>
        </is>
      </c>
      <c r="J117" s="156" t="inlineStr">
        <is>
          <t>Companion</t>
        </is>
      </c>
      <c r="K117" s="156" t="inlineStr">
        <is>
          <t>Ishikawa (Kanazawa)</t>
        </is>
      </c>
      <c r="L117" s="156" t="inlineStr">
        <is>
          <t>Not found</t>
        </is>
      </c>
      <c r="M117" s="156" t="inlineStr">
        <is>
          <t>n/a</t>
        </is>
      </c>
      <c r="N117" s="156" t="inlineStr">
        <is>
          <t>Not identified</t>
        </is>
      </c>
      <c r="O117" s="156" t="inlineStr">
        <is>
          <t>Not identified</t>
        </is>
      </c>
      <c r="P117" s="156" t="inlineStr">
        <is>
          <t>Not published; phone only</t>
        </is>
      </c>
      <c r="Q117" s="156" t="inlineStr">
        <is>
          <t>076 266 4141</t>
        </is>
      </c>
      <c r="R117" s="156" t="inlineStr">
        <is>
          <t>Not identified</t>
        </is>
      </c>
      <c r="S117" s="156" t="inlineStr">
        <is>
          <t>Company inquiry only (phone); Alfresa group</t>
        </is>
      </c>
      <c r="T117" s="158">
        <f>SUM(Z117:AF117)</f>
        <v>17</v>
      </c>
      <c r="U117" s="162" t="inlineStr">
        <is>
          <t>V4</t>
        </is>
      </c>
      <c r="V117" s="156" t="inlineStr">
        <is>
          <t>QUALIFY FIRST: animal hospital sales not confirmed in sources. Kanazawa medical equipment wholesaler.</t>
        </is>
      </c>
      <c r="W117" s="156" t="inlineStr">
        <is>
          <t>Open by asking whether they serve animal hospitals today; if yes, offer a vet line with no overlap to their human ultrasound brands.</t>
        </is>
      </c>
      <c r="X117" s="156" t="inlineStr">
        <is>
          <t>Not checked (human list not in v17)</t>
        </is>
      </c>
      <c r="Y117" s="156" t="inlineStr">
        <is>
          <t>https://baseconnect.in/companies/prefecture/4637ba90-383b-4656-8be1-ca34c7f7244f/keyword/89941b4e-2dd1-4848-8957-48af280a31e0 ; https://www.mshhs.com/profile</t>
        </is>
      </c>
      <c r="Z117" s="156" t="n">
        <v>2</v>
      </c>
      <c r="AA117" s="156" t="n">
        <v>3</v>
      </c>
      <c r="AB117" s="156" t="n">
        <v>3</v>
      </c>
      <c r="AC117" s="156" t="n">
        <v>2</v>
      </c>
      <c r="AD117" s="156" t="n">
        <v>1</v>
      </c>
      <c r="AE117" s="156" t="n">
        <v>4</v>
      </c>
      <c r="AF117" s="156" t="n">
        <v>2</v>
      </c>
      <c r="AG117" s="163" t="inlineStr">
        <is>
          <t>Qualify first</t>
        </is>
      </c>
    </row>
    <row r="118" ht="75" customHeight="1" s="114">
      <c r="A118" s="156" t="n">
        <v>114</v>
      </c>
      <c r="B118" s="156" t="inlineStr">
        <is>
          <t>Miwa Kikai Co., Ltd.</t>
        </is>
      </c>
      <c r="C118" s="156" t="inlineStr">
        <is>
          <t>株式会社三輪器械</t>
        </is>
      </c>
      <c r="D118" s="156" t="inlineStr">
        <is>
          <t>Not found (NTA lookup blocked; dedupe by Japanese name)</t>
        </is>
      </c>
      <c r="E118" s="156" t="inlineStr">
        <is>
          <t>Aichi</t>
        </is>
      </c>
      <c r="F118" s="156" t="inlineStr">
        <is>
          <t>Chubu</t>
        </is>
      </c>
      <c r="G118" s="156" t="inlineStr">
        <is>
          <t>Not found</t>
        </is>
      </c>
      <c r="H118" s="156" t="inlineStr">
        <is>
          <t>Human device sales licences; 動物用 licence not confirmed</t>
        </is>
      </c>
      <c r="I118" s="156" t="inlineStr">
        <is>
          <t>Human multi brand lines (ultrasound brands not confirmed)</t>
        </is>
      </c>
      <c r="J118" s="156" t="inlineStr">
        <is>
          <t>Companion</t>
        </is>
      </c>
      <c r="K118" s="156" t="inlineStr">
        <is>
          <t>Tokai</t>
        </is>
      </c>
      <c r="L118" s="156" t="inlineStr">
        <is>
          <t>Not found</t>
        </is>
      </c>
      <c r="M118" s="156" t="inlineStr">
        <is>
          <t>n/a</t>
        </is>
      </c>
      <c r="N118" s="156" t="inlineStr">
        <is>
          <t>Not identified</t>
        </is>
      </c>
      <c r="O118" s="156" t="inlineStr">
        <is>
          <t>Not identified</t>
        </is>
      </c>
      <c r="P118" s="156" t="inlineStr">
        <is>
          <t>Not searched (search budget)</t>
        </is>
      </c>
      <c r="Q118" s="156" t="inlineStr">
        <is>
          <t>Not found (use site)</t>
        </is>
      </c>
      <c r="R118" s="156" t="inlineStr">
        <is>
          <t>Not identified</t>
        </is>
      </c>
      <c r="S118" s="156" t="inlineStr">
        <is>
          <t>Unverified</t>
        </is>
      </c>
      <c r="T118" s="158">
        <f>SUM(Z118:AF118)</f>
        <v>17</v>
      </c>
      <c r="U118" s="162" t="inlineStr">
        <is>
          <t>V4</t>
        </is>
      </c>
      <c r="V118" s="156" t="inlineStr">
        <is>
          <t>QUALIFY FIRST: animal hospital sales not confirmed in sources. Tokai medical trading house strong in endoscopy.</t>
        </is>
      </c>
      <c r="W118" s="156" t="inlineStr">
        <is>
          <t>Open by asking whether they serve animal hospitals today; if yes, offer a vet line with no overlap to their human ultrasound brands.</t>
        </is>
      </c>
      <c r="X118" s="156" t="inlineStr">
        <is>
          <t>Not checked (human list not in v17)</t>
        </is>
      </c>
      <c r="Y118" s="156" t="inlineStr">
        <is>
          <t>https://www.navitime.co.jp/category/0516/23/?tags=010190</t>
        </is>
      </c>
      <c r="Z118" s="156" t="n">
        <v>2</v>
      </c>
      <c r="AA118" s="156" t="n">
        <v>3</v>
      </c>
      <c r="AB118" s="156" t="n">
        <v>3</v>
      </c>
      <c r="AC118" s="156" t="n">
        <v>2</v>
      </c>
      <c r="AD118" s="156" t="n">
        <v>1</v>
      </c>
      <c r="AE118" s="156" t="n">
        <v>4</v>
      </c>
      <c r="AF118" s="156" t="n">
        <v>2</v>
      </c>
      <c r="AG118" s="163" t="inlineStr">
        <is>
          <t>Qualify first</t>
        </is>
      </c>
    </row>
    <row r="119" ht="75" customHeight="1" s="114">
      <c r="A119" s="156" t="n">
        <v>115</v>
      </c>
      <c r="B119" s="156" t="inlineStr">
        <is>
          <t>Okano Yakuhin Co., Ltd.</t>
        </is>
      </c>
      <c r="C119" s="156" t="inlineStr">
        <is>
          <t>岡野薬品株式会社</t>
        </is>
      </c>
      <c r="D119" s="156" t="inlineStr">
        <is>
          <t>Not found (NTA lookup blocked; dedupe by Japanese name)</t>
        </is>
      </c>
      <c r="E119" s="156" t="inlineStr">
        <is>
          <t>Nagano</t>
        </is>
      </c>
      <c r="F119" s="156" t="inlineStr">
        <is>
          <t>Chubu</t>
        </is>
      </c>
      <c r="G119" s="156" t="inlineStr">
        <is>
          <t>Not found</t>
        </is>
      </c>
      <c r="H119" s="156" t="inlineStr">
        <is>
          <t>Human device sales licences; 動物用 licence not confirmed</t>
        </is>
      </c>
      <c r="I119" s="156" t="inlineStr">
        <is>
          <t>Human multi brand lines (ultrasound brands not confirmed)</t>
        </is>
      </c>
      <c r="J119" s="156" t="inlineStr">
        <is>
          <t>Companion</t>
        </is>
      </c>
      <c r="K119" s="156" t="inlineStr">
        <is>
          <t>Nagano and Yamanashi</t>
        </is>
      </c>
      <c r="L119" s="156" t="inlineStr">
        <is>
          <t>Not found</t>
        </is>
      </c>
      <c r="M119" s="156" t="inlineStr">
        <is>
          <t>n/a</t>
        </is>
      </c>
      <c r="N119" s="156" t="inlineStr">
        <is>
          <t>Not identified</t>
        </is>
      </c>
      <c r="O119" s="156" t="inlineStr">
        <is>
          <t>Not identified</t>
        </is>
      </c>
      <c r="P119" s="156" t="inlineStr">
        <is>
          <t>Not searched (search budget)</t>
        </is>
      </c>
      <c r="Q119" s="156" t="inlineStr">
        <is>
          <t>Not found (use site)</t>
        </is>
      </c>
      <c r="R119" s="156" t="inlineStr">
        <is>
          <t>Not identified</t>
        </is>
      </c>
      <c r="S119" s="156" t="inlineStr">
        <is>
          <t>Unverified</t>
        </is>
      </c>
      <c r="T119" s="158">
        <f>SUM(Z119:AF119)</f>
        <v>17</v>
      </c>
      <c r="U119" s="162" t="inlineStr">
        <is>
          <t>V4</t>
        </is>
      </c>
      <c r="V119" s="156" t="inlineStr">
        <is>
          <t>QUALIFY FIRST: animal hospital sales not confirmed in sources. Pharma wholesaler to hospitals and pharmacies in Nagano and Yamanashi.</t>
        </is>
      </c>
      <c r="W119" s="156" t="inlineStr">
        <is>
          <t>Open by asking whether they serve animal hospitals today; if yes, offer a vet line with no overlap to their human ultrasound brands.</t>
        </is>
      </c>
      <c r="X119" s="156" t="inlineStr">
        <is>
          <t>Not checked (human list not in v17)</t>
        </is>
      </c>
      <c r="Y119" s="156" t="inlineStr">
        <is>
          <t>https://baseconnect.in/companies/prefecture/47b312cd-84c4-4e89-951a-b56344bc774e/keyword/89941b4e-2dd1-4848-8957-48af280a31e0</t>
        </is>
      </c>
      <c r="Z119" s="156" t="n">
        <v>2</v>
      </c>
      <c r="AA119" s="156" t="n">
        <v>3</v>
      </c>
      <c r="AB119" s="156" t="n">
        <v>3</v>
      </c>
      <c r="AC119" s="156" t="n">
        <v>2</v>
      </c>
      <c r="AD119" s="156" t="n">
        <v>1</v>
      </c>
      <c r="AE119" s="156" t="n">
        <v>4</v>
      </c>
      <c r="AF119" s="156" t="n">
        <v>2</v>
      </c>
      <c r="AG119" s="163" t="inlineStr">
        <is>
          <t>Qualify first</t>
        </is>
      </c>
    </row>
    <row r="120" ht="75" customHeight="1" s="114">
      <c r="A120" s="156" t="n">
        <v>116</v>
      </c>
      <c r="B120" s="156" t="inlineStr">
        <is>
          <t>Ono Iryoki Co., Ltd.</t>
        </is>
      </c>
      <c r="C120" s="156" t="inlineStr">
        <is>
          <t>小野医療器株式会社</t>
        </is>
      </c>
      <c r="D120" s="156" t="inlineStr">
        <is>
          <t>Not found (NTA lookup blocked; dedupe by Japanese name)</t>
        </is>
      </c>
      <c r="E120" s="156" t="inlineStr">
        <is>
          <t>Toyama</t>
        </is>
      </c>
      <c r="F120" s="156" t="inlineStr">
        <is>
          <t>Chubu</t>
        </is>
      </c>
      <c r="G120" s="156" t="inlineStr">
        <is>
          <t>Not found</t>
        </is>
      </c>
      <c r="H120" s="156" t="inlineStr">
        <is>
          <t>Human device sales licences; 動物用 licence not confirmed</t>
        </is>
      </c>
      <c r="I120" s="156" t="inlineStr">
        <is>
          <t>Human multi brand lines (ultrasound brands not confirmed)</t>
        </is>
      </c>
      <c r="J120" s="156" t="inlineStr">
        <is>
          <t>Companion</t>
        </is>
      </c>
      <c r="K120" s="156" t="inlineStr">
        <is>
          <t>Toyama (Tonami)</t>
        </is>
      </c>
      <c r="L120" s="156" t="inlineStr">
        <is>
          <t>Not found</t>
        </is>
      </c>
      <c r="M120" s="156" t="inlineStr">
        <is>
          <t>n/a</t>
        </is>
      </c>
      <c r="N120" s="156" t="inlineStr">
        <is>
          <t>Not identified</t>
        </is>
      </c>
      <c r="O120" s="156" t="inlineStr">
        <is>
          <t>Not identified</t>
        </is>
      </c>
      <c r="P120" s="156" t="inlineStr">
        <is>
          <t>Not searched (search budget)</t>
        </is>
      </c>
      <c r="Q120" s="156" t="inlineStr">
        <is>
          <t>Not found (use site)</t>
        </is>
      </c>
      <c r="R120" s="156" t="inlineStr">
        <is>
          <t>Not identified</t>
        </is>
      </c>
      <c r="S120" s="156" t="inlineStr">
        <is>
          <t>Unverified</t>
        </is>
      </c>
      <c r="T120" s="158">
        <f>SUM(Z120:AF120)</f>
        <v>17</v>
      </c>
      <c r="U120" s="162" t="inlineStr">
        <is>
          <t>V4</t>
        </is>
      </c>
      <c r="V120" s="156" t="inlineStr">
        <is>
          <t>QUALIFY FIRST: animal hospital sales not confirmed in sources. Toyama device dealer.</t>
        </is>
      </c>
      <c r="W120" s="156" t="inlineStr">
        <is>
          <t>Open by asking whether they serve animal hospitals today; if yes, offer a vet line with no overlap to their human ultrasound brands.</t>
        </is>
      </c>
      <c r="X120" s="156" t="inlineStr">
        <is>
          <t>Not checked (human list not in v17)</t>
        </is>
      </c>
      <c r="Y120" s="156" t="inlineStr">
        <is>
          <t>https://baseconnect.in/companies/prefecture/31ffefed-1183-4eba-a6d9-4182a6136e50/keyword/14f3dcec-9cd5-4be5-84e1-ddccb7bd228c</t>
        </is>
      </c>
      <c r="Z120" s="156" t="n">
        <v>2</v>
      </c>
      <c r="AA120" s="156" t="n">
        <v>3</v>
      </c>
      <c r="AB120" s="156" t="n">
        <v>3</v>
      </c>
      <c r="AC120" s="156" t="n">
        <v>2</v>
      </c>
      <c r="AD120" s="156" t="n">
        <v>1</v>
      </c>
      <c r="AE120" s="156" t="n">
        <v>4</v>
      </c>
      <c r="AF120" s="156" t="n">
        <v>2</v>
      </c>
      <c r="AG120" s="163" t="inlineStr">
        <is>
          <t>Qualify first</t>
        </is>
      </c>
    </row>
    <row r="121" ht="75" customHeight="1" s="114">
      <c r="A121" s="156" t="n">
        <v>117</v>
      </c>
      <c r="B121" s="156" t="inlineStr">
        <is>
          <t>Shiraishi Yakuhin Co., Ltd.</t>
        </is>
      </c>
      <c r="C121" s="156" t="inlineStr">
        <is>
          <t>白石薬品株式会社</t>
        </is>
      </c>
      <c r="D121" s="156" t="inlineStr">
        <is>
          <t>Not found (NTA lookup blocked; dedupe by Japanese name)</t>
        </is>
      </c>
      <c r="E121" s="156" t="inlineStr">
        <is>
          <t>Aichi</t>
        </is>
      </c>
      <c r="F121" s="156" t="inlineStr">
        <is>
          <t>Chubu</t>
        </is>
      </c>
      <c r="G121" s="156" t="inlineStr">
        <is>
          <t>Not found</t>
        </is>
      </c>
      <c r="H121" s="156" t="inlineStr">
        <is>
          <t>Human device sales licences; 動物用 licence not confirmed</t>
        </is>
      </c>
      <c r="I121" s="156" t="inlineStr">
        <is>
          <t>Human multi brand lines (ultrasound brands not confirmed)</t>
        </is>
      </c>
      <c r="J121" s="156" t="inlineStr">
        <is>
          <t>Companion</t>
        </is>
      </c>
      <c r="K121" s="156" t="inlineStr">
        <is>
          <t>Aichi</t>
        </is>
      </c>
      <c r="L121" s="156" t="inlineStr">
        <is>
          <t>Not found</t>
        </is>
      </c>
      <c r="M121" s="156" t="inlineStr">
        <is>
          <t>n/a</t>
        </is>
      </c>
      <c r="N121" s="156" t="inlineStr">
        <is>
          <t>Not identified</t>
        </is>
      </c>
      <c r="O121" s="156" t="inlineStr">
        <is>
          <t>Not identified</t>
        </is>
      </c>
      <c r="P121" s="156" t="inlineStr">
        <is>
          <t>Not searched (search budget)</t>
        </is>
      </c>
      <c r="Q121" s="156" t="inlineStr">
        <is>
          <t>Not found (use site)</t>
        </is>
      </c>
      <c r="R121" s="156" t="inlineStr">
        <is>
          <t>Not identified</t>
        </is>
      </c>
      <c r="S121" s="156" t="inlineStr">
        <is>
          <t>Unverified</t>
        </is>
      </c>
      <c r="T121" s="158">
        <f>SUM(Z121:AF121)</f>
        <v>17</v>
      </c>
      <c r="U121" s="162" t="inlineStr">
        <is>
          <t>V4</t>
        </is>
      </c>
      <c r="V121" s="156" t="inlineStr">
        <is>
          <t>QUALIFY FIRST: animal hospital sales not confirmed in sources. Nagoya area medical device and supplies trader.</t>
        </is>
      </c>
      <c r="W121" s="156" t="inlineStr">
        <is>
          <t>Open by asking whether they serve animal hospitals today; if yes, offer a vet line with no overlap to their human ultrasound brands.</t>
        </is>
      </c>
      <c r="X121" s="156" t="inlineStr">
        <is>
          <t>Not checked (human list not in v17)</t>
        </is>
      </c>
      <c r="Y121" s="156" t="inlineStr">
        <is>
          <t>https://www.navitime.co.jp/category/0516/23/?tags=010190</t>
        </is>
      </c>
      <c r="Z121" s="156" t="n">
        <v>2</v>
      </c>
      <c r="AA121" s="156" t="n">
        <v>3</v>
      </c>
      <c r="AB121" s="156" t="n">
        <v>3</v>
      </c>
      <c r="AC121" s="156" t="n">
        <v>2</v>
      </c>
      <c r="AD121" s="156" t="n">
        <v>1</v>
      </c>
      <c r="AE121" s="156" t="n">
        <v>4</v>
      </c>
      <c r="AF121" s="156" t="n">
        <v>2</v>
      </c>
      <c r="AG121" s="163" t="inlineStr">
        <is>
          <t>Qualify first</t>
        </is>
      </c>
    </row>
    <row r="122" ht="75" customHeight="1" s="114">
      <c r="A122" s="156" t="n">
        <v>118</v>
      </c>
      <c r="B122" s="156" t="inlineStr">
        <is>
          <t>Shizuoka Ika Kikai Co., Ltd.</t>
        </is>
      </c>
      <c r="C122" s="156" t="inlineStr">
        <is>
          <t>株式会社静岡医科器械</t>
        </is>
      </c>
      <c r="D122" s="156" t="inlineStr">
        <is>
          <t>Not found (NTA lookup blocked; dedupe by Japanese name)</t>
        </is>
      </c>
      <c r="E122" s="156" t="inlineStr">
        <is>
          <t>Shizuoka</t>
        </is>
      </c>
      <c r="F122" s="156" t="inlineStr">
        <is>
          <t>Chubu</t>
        </is>
      </c>
      <c r="G122" s="157" t="inlineStr">
        <is>
          <t>http://www.shizuokaika.co.jp/</t>
        </is>
      </c>
      <c r="H122" s="156" t="inlineStr">
        <is>
          <t>Human device sales licences; 動物用 licence not confirmed</t>
        </is>
      </c>
      <c r="I122" s="156" t="inlineStr">
        <is>
          <t>Human multi brand lines (ultrasound brands not confirmed)</t>
        </is>
      </c>
      <c r="J122" s="156" t="inlineStr">
        <is>
          <t>Companion</t>
        </is>
      </c>
      <c r="K122" s="156" t="inlineStr">
        <is>
          <t>Shizuoka</t>
        </is>
      </c>
      <c r="L122" s="156" t="inlineStr">
        <is>
          <t>Not found</t>
        </is>
      </c>
      <c r="M122" s="156" t="inlineStr">
        <is>
          <t>n/a</t>
        </is>
      </c>
      <c r="N122" s="156" t="inlineStr">
        <is>
          <t>Not identified</t>
        </is>
      </c>
      <c r="O122" s="156" t="inlineStr">
        <is>
          <t>Not identified</t>
        </is>
      </c>
      <c r="P122" s="156" t="inlineStr">
        <is>
          <t>Not published; phone only</t>
        </is>
      </c>
      <c r="Q122" s="156" t="inlineStr">
        <is>
          <t>054 257 0403</t>
        </is>
      </c>
      <c r="R122" s="156" t="inlineStr">
        <is>
          <t>Not identified</t>
        </is>
      </c>
      <c r="S122" s="156" t="inlineStr">
        <is>
          <t>Company inquiry only (phone)</t>
        </is>
      </c>
      <c r="T122" s="158">
        <f>SUM(Z122:AF122)</f>
        <v>17</v>
      </c>
      <c r="U122" s="162" t="inlineStr">
        <is>
          <t>V4</t>
        </is>
      </c>
      <c r="V122" s="156" t="inlineStr">
        <is>
          <t>QUALIFY FIRST: animal hospital sales not confirmed in sources. General devices, dialysis and consumables.</t>
        </is>
      </c>
      <c r="W122" s="156" t="inlineStr">
        <is>
          <t>Open by asking whether they serve animal hospitals today; if yes, offer a vet line with no overlap to their human ultrasound brands.</t>
        </is>
      </c>
      <c r="X122" s="156" t="inlineStr">
        <is>
          <t>Not checked (human list not in v17)</t>
        </is>
      </c>
      <c r="Y122" s="156" t="inlineStr">
        <is>
          <t>http://www.shizuokaika.co.jp/</t>
        </is>
      </c>
      <c r="Z122" s="156" t="n">
        <v>2</v>
      </c>
      <c r="AA122" s="156" t="n">
        <v>3</v>
      </c>
      <c r="AB122" s="156" t="n">
        <v>3</v>
      </c>
      <c r="AC122" s="156" t="n">
        <v>2</v>
      </c>
      <c r="AD122" s="156" t="n">
        <v>1</v>
      </c>
      <c r="AE122" s="156" t="n">
        <v>4</v>
      </c>
      <c r="AF122" s="156" t="n">
        <v>2</v>
      </c>
      <c r="AG122" s="163" t="inlineStr">
        <is>
          <t>Qualify first</t>
        </is>
      </c>
    </row>
    <row r="123" ht="75" customHeight="1" s="114">
      <c r="A123" s="156" t="n">
        <v>119</v>
      </c>
      <c r="B123" s="156" t="inlineStr">
        <is>
          <t>Suzuken Co., Ltd.</t>
        </is>
      </c>
      <c r="C123" s="156" t="inlineStr">
        <is>
          <t>株式会社スズケン</t>
        </is>
      </c>
      <c r="D123" s="156" t="inlineStr">
        <is>
          <t>Not found (NTA lookup blocked; dedupe by Japanese name)</t>
        </is>
      </c>
      <c r="E123" s="156" t="inlineStr">
        <is>
          <t>Aichi</t>
        </is>
      </c>
      <c r="F123" s="156" t="inlineStr">
        <is>
          <t>Chubu</t>
        </is>
      </c>
      <c r="G123" s="156" t="inlineStr">
        <is>
          <t>Not found</t>
        </is>
      </c>
      <c r="H123" s="156" t="inlineStr">
        <is>
          <t>Human device sales licences; 動物用 licence not confirmed</t>
        </is>
      </c>
      <c r="I123" s="156" t="inlineStr">
        <is>
          <t>Human multi brand lines (ultrasound brands not confirmed)</t>
        </is>
      </c>
      <c r="J123" s="156" t="inlineStr">
        <is>
          <t>Companion</t>
        </is>
      </c>
      <c r="K123" s="156" t="inlineStr">
        <is>
          <t>National</t>
        </is>
      </c>
      <c r="L123" s="156" t="inlineStr">
        <is>
          <t>Large</t>
        </is>
      </c>
      <c r="M123" s="156" t="inlineStr">
        <is>
          <t>n/a</t>
        </is>
      </c>
      <c r="N123" s="156" t="inlineStr">
        <is>
          <t>Not identified</t>
        </is>
      </c>
      <c r="O123" s="156" t="inlineStr">
        <is>
          <t>Not identified</t>
        </is>
      </c>
      <c r="P123" s="156" t="inlineStr">
        <is>
          <t>Not searched (search budget)</t>
        </is>
      </c>
      <c r="Q123" s="156" t="inlineStr">
        <is>
          <t>Not found (use site)</t>
        </is>
      </c>
      <c r="R123" s="156" t="inlineStr">
        <is>
          <t>Not identified</t>
        </is>
      </c>
      <c r="S123" s="156" t="inlineStr">
        <is>
          <t>Unverified</t>
        </is>
      </c>
      <c r="T123" s="158">
        <f>SUM(Z123:AF123)</f>
        <v>17</v>
      </c>
      <c r="U123" s="162" t="inlineStr">
        <is>
          <t>V4</t>
        </is>
      </c>
      <c r="V123" s="156" t="inlineStr">
        <is>
          <t>QUALIFY FIRST: animal hospital sales not confirmed in sources. Major pharma and device wholesaler (Nagoya HQ) with branches nationwide.</t>
        </is>
      </c>
      <c r="W123" s="156" t="inlineStr">
        <is>
          <t>Open by asking whether they serve animal hospitals today; if yes, offer a vet line with no overlap to their human ultrasound brands.</t>
        </is>
      </c>
      <c r="X123" s="156" t="inlineStr">
        <is>
          <t>Not checked (human list not in v17)</t>
        </is>
      </c>
      <c r="Y123" s="156" t="inlineStr">
        <is>
          <t>https://www.navitime.co.jp/category/0516/28110/?tags=010447</t>
        </is>
      </c>
      <c r="Z123" s="156" t="n">
        <v>2</v>
      </c>
      <c r="AA123" s="156" t="n">
        <v>3</v>
      </c>
      <c r="AB123" s="156" t="n">
        <v>3</v>
      </c>
      <c r="AC123" s="156" t="n">
        <v>2</v>
      </c>
      <c r="AD123" s="156" t="n">
        <v>1</v>
      </c>
      <c r="AE123" s="156" t="n">
        <v>4</v>
      </c>
      <c r="AF123" s="156" t="n">
        <v>2</v>
      </c>
      <c r="AG123" s="163" t="inlineStr">
        <is>
          <t>Qualify first</t>
        </is>
      </c>
    </row>
    <row r="124" ht="75" customHeight="1" s="114">
      <c r="A124" s="156" t="n">
        <v>120</v>
      </c>
      <c r="B124" s="156" t="inlineStr">
        <is>
          <t>Tomei Tosmec Co., Ltd.</t>
        </is>
      </c>
      <c r="C124" s="156" t="inlineStr">
        <is>
          <t>東名トスメック株式会社</t>
        </is>
      </c>
      <c r="D124" s="156" t="inlineStr">
        <is>
          <t>Not found (NTA lookup blocked; dedupe by Japanese name)</t>
        </is>
      </c>
      <c r="E124" s="156" t="inlineStr">
        <is>
          <t>Aichi</t>
        </is>
      </c>
      <c r="F124" s="156" t="inlineStr">
        <is>
          <t>Chubu</t>
        </is>
      </c>
      <c r="G124" s="157" t="inlineStr">
        <is>
          <t>https://www.t-t-m.co.jp/TTM_WEB/</t>
        </is>
      </c>
      <c r="H124" s="156" t="inlineStr">
        <is>
          <t>Human device sales licences; 動物用 licence not confirmed</t>
        </is>
      </c>
      <c r="I124" s="156" t="inlineStr">
        <is>
          <t>Human multi brand lines (ultrasound brands not confirmed)</t>
        </is>
      </c>
      <c r="J124" s="156" t="inlineStr">
        <is>
          <t>Companion</t>
        </is>
      </c>
      <c r="K124" s="156" t="inlineStr">
        <is>
          <t>Aichi</t>
        </is>
      </c>
      <c r="L124" s="156" t="inlineStr">
        <is>
          <t>Not found</t>
        </is>
      </c>
      <c r="M124" s="156" t="inlineStr">
        <is>
          <t>n/a</t>
        </is>
      </c>
      <c r="N124" s="156" t="inlineStr">
        <is>
          <t>Not identified</t>
        </is>
      </c>
      <c r="O124" s="156" t="inlineStr">
        <is>
          <t>Not identified</t>
        </is>
      </c>
      <c r="P124" s="156" t="inlineStr">
        <is>
          <t>Not published; inquiry form: https://www.t-t-m.co.jp/TTM_WEB/profile</t>
        </is>
      </c>
      <c r="Q124" s="156" t="inlineStr">
        <is>
          <t>052 733 2588</t>
        </is>
      </c>
      <c r="R124" s="156" t="inlineStr">
        <is>
          <t>Not identified</t>
        </is>
      </c>
      <c r="S124" s="156" t="inlineStr">
        <is>
          <t>Company inquiry only (form)</t>
        </is>
      </c>
      <c r="T124" s="158">
        <f>SUM(Z124:AF124)</f>
        <v>17</v>
      </c>
      <c r="U124" s="162" t="inlineStr">
        <is>
          <t>V4</t>
        </is>
      </c>
      <c r="V124" s="156" t="inlineStr">
        <is>
          <t>QUALIFY FIRST: animal hospital sales not confirmed in sources. Nagoya area device trading house.</t>
        </is>
      </c>
      <c r="W124" s="156" t="inlineStr">
        <is>
          <t>Open by asking whether they serve animal hospitals today; if yes, offer a vet line with no overlap to their human ultrasound brands.</t>
        </is>
      </c>
      <c r="X124" s="156" t="inlineStr">
        <is>
          <t>Not checked (human list not in v17)</t>
        </is>
      </c>
      <c r="Y124" s="156" t="inlineStr">
        <is>
          <t>https://www.navitime.co.jp/category/0516/23/?tags=010190 ; https://www.t-t-m.co.jp/TTM_WEB/profile</t>
        </is>
      </c>
      <c r="Z124" s="156" t="n">
        <v>2</v>
      </c>
      <c r="AA124" s="156" t="n">
        <v>3</v>
      </c>
      <c r="AB124" s="156" t="n">
        <v>3</v>
      </c>
      <c r="AC124" s="156" t="n">
        <v>2</v>
      </c>
      <c r="AD124" s="156" t="n">
        <v>1</v>
      </c>
      <c r="AE124" s="156" t="n">
        <v>4</v>
      </c>
      <c r="AF124" s="156" t="n">
        <v>2</v>
      </c>
      <c r="AG124" s="163" t="inlineStr">
        <is>
          <t>Qualify first</t>
        </is>
      </c>
    </row>
    <row r="125" ht="75" customHeight="1" s="114">
      <c r="A125" s="156" t="n">
        <v>121</v>
      </c>
      <c r="B125" s="156" t="inlineStr">
        <is>
          <t>Touzai Iyoki Co., Ltd.</t>
        </is>
      </c>
      <c r="C125" s="156" t="inlineStr">
        <is>
          <t>東西医用器株式会社</t>
        </is>
      </c>
      <c r="D125" s="156" t="inlineStr">
        <is>
          <t>Not found (NTA lookup blocked; dedupe by Japanese name)</t>
        </is>
      </c>
      <c r="E125" s="156" t="inlineStr">
        <is>
          <t>Shizuoka</t>
        </is>
      </c>
      <c r="F125" s="156" t="inlineStr">
        <is>
          <t>Chubu</t>
        </is>
      </c>
      <c r="G125" s="157" t="inlineStr">
        <is>
          <t>https://touzai-iyouki.com/</t>
        </is>
      </c>
      <c r="H125" s="156" t="inlineStr">
        <is>
          <t>Human device sales licences; 動物用 licence not confirmed</t>
        </is>
      </c>
      <c r="I125" s="156" t="inlineStr">
        <is>
          <t>Human multi brand lines (ultrasound brands not confirmed)</t>
        </is>
      </c>
      <c r="J125" s="156" t="inlineStr">
        <is>
          <t>Companion</t>
        </is>
      </c>
      <c r="K125" s="156" t="inlineStr">
        <is>
          <t>Shizuoka, Hamamatsu, Fuji, Numazu</t>
        </is>
      </c>
      <c r="L125" s="156" t="inlineStr">
        <is>
          <t>Not found</t>
        </is>
      </c>
      <c r="M125" s="156" t="inlineStr">
        <is>
          <t>n/a</t>
        </is>
      </c>
      <c r="N125" s="156" t="inlineStr">
        <is>
          <t>Not identified</t>
        </is>
      </c>
      <c r="O125" s="156" t="inlineStr">
        <is>
          <t>Not identified</t>
        </is>
      </c>
      <c r="P125" s="156" t="inlineStr">
        <is>
          <t>Not published; phone only</t>
        </is>
      </c>
      <c r="Q125" s="156" t="inlineStr">
        <is>
          <t>054 245 5746</t>
        </is>
      </c>
      <c r="R125" s="156" t="inlineStr">
        <is>
          <t>Not identified</t>
        </is>
      </c>
      <c r="S125" s="156" t="inlineStr">
        <is>
          <t>Company inquiry only (phone)</t>
        </is>
      </c>
      <c r="T125" s="158">
        <f>SUM(Z125:AF125)</f>
        <v>17</v>
      </c>
      <c r="U125" s="162" t="inlineStr">
        <is>
          <t>V4</t>
        </is>
      </c>
      <c r="V125" s="156" t="inlineStr">
        <is>
          <t>QUALIFY FIRST: animal hospital sales not confirmed in sources. Shizuoka device trading house.</t>
        </is>
      </c>
      <c r="W125" s="156" t="inlineStr">
        <is>
          <t>Open by asking whether they serve animal hospitals today; if yes, offer a vet line with no overlap to their human ultrasound brands.</t>
        </is>
      </c>
      <c r="X125" s="156" t="inlineStr">
        <is>
          <t>Not checked (human list not in v17)</t>
        </is>
      </c>
      <c r="Y125" s="156" t="inlineStr">
        <is>
          <t>https://touzai-iyouki.com/</t>
        </is>
      </c>
      <c r="Z125" s="156" t="n">
        <v>2</v>
      </c>
      <c r="AA125" s="156" t="n">
        <v>3</v>
      </c>
      <c r="AB125" s="156" t="n">
        <v>3</v>
      </c>
      <c r="AC125" s="156" t="n">
        <v>2</v>
      </c>
      <c r="AD125" s="156" t="n">
        <v>1</v>
      </c>
      <c r="AE125" s="156" t="n">
        <v>4</v>
      </c>
      <c r="AF125" s="156" t="n">
        <v>2</v>
      </c>
      <c r="AG125" s="163" t="inlineStr">
        <is>
          <t>Qualify first</t>
        </is>
      </c>
    </row>
    <row r="126" ht="75" customHeight="1" s="114">
      <c r="A126" s="156" t="n">
        <v>122</v>
      </c>
      <c r="B126" s="156" t="inlineStr">
        <is>
          <t>Withmedic Co., Ltd.</t>
        </is>
      </c>
      <c r="C126" s="156" t="inlineStr">
        <is>
          <t>ウィズメディック株式会社</t>
        </is>
      </c>
      <c r="D126" s="156" t="inlineStr">
        <is>
          <t>Not found (NTA lookup blocked; dedupe by Japanese name)</t>
        </is>
      </c>
      <c r="E126" s="156" t="inlineStr">
        <is>
          <t>Aichi</t>
        </is>
      </c>
      <c r="F126" s="156" t="inlineStr">
        <is>
          <t>Chubu</t>
        </is>
      </c>
      <c r="G126" s="156" t="inlineStr">
        <is>
          <t>Not found</t>
        </is>
      </c>
      <c r="H126" s="156" t="inlineStr">
        <is>
          <t>Human device sales licences; 動物用 licence not confirmed</t>
        </is>
      </c>
      <c r="I126" s="156" t="inlineStr">
        <is>
          <t>Human multi brand lines (ultrasound brands not confirmed)</t>
        </is>
      </c>
      <c r="J126" s="156" t="inlineStr">
        <is>
          <t>Companion</t>
        </is>
      </c>
      <c r="K126" s="156" t="inlineStr">
        <is>
          <t>Aichi (Ichinomiya)</t>
        </is>
      </c>
      <c r="L126" s="156" t="inlineStr">
        <is>
          <t>Not found</t>
        </is>
      </c>
      <c r="M126" s="156" t="inlineStr">
        <is>
          <t>n/a</t>
        </is>
      </c>
      <c r="N126" s="156" t="inlineStr">
        <is>
          <t>Not identified</t>
        </is>
      </c>
      <c r="O126" s="156" t="inlineStr">
        <is>
          <t>Not identified</t>
        </is>
      </c>
      <c r="P126" s="156" t="inlineStr">
        <is>
          <t>Not searched (search budget)</t>
        </is>
      </c>
      <c r="Q126" s="156" t="inlineStr">
        <is>
          <t>Not found (use site)</t>
        </is>
      </c>
      <c r="R126" s="156" t="inlineStr">
        <is>
          <t>Not identified</t>
        </is>
      </c>
      <c r="S126" s="156" t="inlineStr">
        <is>
          <t>Unverified</t>
        </is>
      </c>
      <c r="T126" s="158">
        <f>SUM(Z126:AF126)</f>
        <v>17</v>
      </c>
      <c r="U126" s="162" t="inlineStr">
        <is>
          <t>V4</t>
        </is>
      </c>
      <c r="V126" s="156" t="inlineStr">
        <is>
          <t>QUALIFY FIRST: animal hospital sales not confirmed in sources. Orthopaedic and cardiology device wholesaler.</t>
        </is>
      </c>
      <c r="W126" s="156" t="inlineStr">
        <is>
          <t>Open by asking whether they serve animal hospitals today; if yes, offer a vet line with no overlap to their human ultrasound brands.</t>
        </is>
      </c>
      <c r="X126" s="156" t="inlineStr">
        <is>
          <t>Not checked (human list not in v17)</t>
        </is>
      </c>
      <c r="Y126" s="156" t="inlineStr">
        <is>
          <t>https://baseconnect.in/companies/prefecture/60622468-79bd-4eef-86f8-cb69d1ef09f0/keyword/14f3dcec-9cd5-4be5-84e1-ddccb7bd228c</t>
        </is>
      </c>
      <c r="Z126" s="156" t="n">
        <v>2</v>
      </c>
      <c r="AA126" s="156" t="n">
        <v>3</v>
      </c>
      <c r="AB126" s="156" t="n">
        <v>3</v>
      </c>
      <c r="AC126" s="156" t="n">
        <v>2</v>
      </c>
      <c r="AD126" s="156" t="n">
        <v>1</v>
      </c>
      <c r="AE126" s="156" t="n">
        <v>4</v>
      </c>
      <c r="AF126" s="156" t="n">
        <v>2</v>
      </c>
      <c r="AG126" s="163" t="inlineStr">
        <is>
          <t>Qualify first</t>
        </is>
      </c>
    </row>
    <row r="127" ht="75" customHeight="1" s="114">
      <c r="A127" s="156" t="n">
        <v>123</v>
      </c>
      <c r="B127" s="156" t="inlineStr">
        <is>
          <t>Yagami Inc.</t>
        </is>
      </c>
      <c r="C127" s="156" t="inlineStr">
        <is>
          <t>株式会社八神製作所</t>
        </is>
      </c>
      <c r="D127" s="156" t="inlineStr">
        <is>
          <t>Not found (NTA lookup blocked; dedupe by Japanese name)</t>
        </is>
      </c>
      <c r="E127" s="156" t="inlineStr">
        <is>
          <t>Aichi</t>
        </is>
      </c>
      <c r="F127" s="156" t="inlineStr">
        <is>
          <t>Chubu</t>
        </is>
      </c>
      <c r="G127" s="157" t="inlineStr">
        <is>
          <t>https://www.yagami.co.jp/</t>
        </is>
      </c>
      <c r="H127" s="156" t="inlineStr">
        <is>
          <t>Human device sales licences; 動物用 licence not confirmed</t>
        </is>
      </c>
      <c r="I127" s="156" t="inlineStr">
        <is>
          <t>Human multi brand lines (ultrasound brands not confirmed)</t>
        </is>
      </c>
      <c r="J127" s="156" t="inlineStr">
        <is>
          <t>Companion</t>
        </is>
      </c>
      <c r="K127" s="156" t="inlineStr">
        <is>
          <t>Tokai</t>
        </is>
      </c>
      <c r="L127" s="156" t="inlineStr">
        <is>
          <t>Second largest dealer by sales (Arrows column)</t>
        </is>
      </c>
      <c r="M127" s="156" t="inlineStr">
        <is>
          <t>n/a</t>
        </is>
      </c>
      <c r="N127" s="156" t="inlineStr">
        <is>
          <t>Not identified</t>
        </is>
      </c>
      <c r="O127" s="156" t="inlineStr">
        <is>
          <t>Not identified</t>
        </is>
      </c>
      <c r="P127" s="156" t="inlineStr">
        <is>
          <t>Not published; inquiry form: https://www.yagami.co.jp/company/profile/</t>
        </is>
      </c>
      <c r="Q127" s="156" t="inlineStr">
        <is>
          <t>052 251 6671</t>
        </is>
      </c>
      <c r="R127" s="156" t="inlineStr">
        <is>
          <t>Not identified</t>
        </is>
      </c>
      <c r="S127" s="156" t="inlineStr">
        <is>
          <t>Company inquiry only (form)</t>
        </is>
      </c>
      <c r="T127" s="158">
        <f>SUM(Z127:AF127)</f>
        <v>17</v>
      </c>
      <c r="U127" s="162" t="inlineStr">
        <is>
          <t>V4</t>
        </is>
      </c>
      <c r="V127" s="156" t="inlineStr">
        <is>
          <t>QUALIFY FIRST: animal hospital sales not confirmed in sources. Nagoya device trading house founded 1945 with maintenance and rental; second largest dealer by sales.</t>
        </is>
      </c>
      <c r="W127" s="156" t="inlineStr">
        <is>
          <t>Open by asking whether they serve animal hospitals today; if yes, offer a vet line with no overlap to their human ultrasound brands.</t>
        </is>
      </c>
      <c r="X127" s="156" t="inlineStr">
        <is>
          <t>Not checked (human list not in v17)</t>
        </is>
      </c>
      <c r="Y127" s="156" t="inlineStr">
        <is>
          <t>https://note.com/arrows_column/n/nd4fd35a1d8b1 ; https://mynavi-agent.jp/corpdetail/12476/ ; https://www.yagami.co.jp/company/profile/</t>
        </is>
      </c>
      <c r="Z127" s="156" t="n">
        <v>2</v>
      </c>
      <c r="AA127" s="156" t="n">
        <v>3</v>
      </c>
      <c r="AB127" s="156" t="n">
        <v>3</v>
      </c>
      <c r="AC127" s="156" t="n">
        <v>2</v>
      </c>
      <c r="AD127" s="156" t="n">
        <v>1</v>
      </c>
      <c r="AE127" s="156" t="n">
        <v>4</v>
      </c>
      <c r="AF127" s="156" t="n">
        <v>2</v>
      </c>
      <c r="AG127" s="163" t="inlineStr">
        <is>
          <t>Qualify first</t>
        </is>
      </c>
    </row>
    <row r="128" ht="75" customHeight="1" s="114">
      <c r="A128" s="156" t="n">
        <v>124</v>
      </c>
      <c r="B128" s="156" t="inlineStr">
        <is>
          <t>Astis Co., Ltd.</t>
        </is>
      </c>
      <c r="C128" s="156" t="inlineStr">
        <is>
          <t>株式会社アスティス</t>
        </is>
      </c>
      <c r="D128" s="156" t="inlineStr">
        <is>
          <t>Not found (NTA lookup blocked; dedupe by Japanese name)</t>
        </is>
      </c>
      <c r="E128" s="156" t="inlineStr">
        <is>
          <t>Ehime</t>
        </is>
      </c>
      <c r="F128" s="156" t="inlineStr">
        <is>
          <t>Chugoku and Shikoku</t>
        </is>
      </c>
      <c r="G128" s="157" t="inlineStr">
        <is>
          <t>https://astis.co.jp/</t>
        </is>
      </c>
      <c r="H128" s="156" t="inlineStr">
        <is>
          <t>Human device sales licences; 動物用 licence not confirmed</t>
        </is>
      </c>
      <c r="I128" s="156" t="inlineStr">
        <is>
          <t>Human multi brand lines (ultrasound brands not confirmed)</t>
        </is>
      </c>
      <c r="J128" s="156" t="inlineStr">
        <is>
          <t>Companion</t>
        </is>
      </c>
      <c r="K128" s="156" t="inlineStr">
        <is>
          <t>All four Shikoku prefectures</t>
        </is>
      </c>
      <c r="L128" s="156" t="inlineStr">
        <is>
          <t>Not found</t>
        </is>
      </c>
      <c r="M128" s="156" t="inlineStr">
        <is>
          <t>n/a</t>
        </is>
      </c>
      <c r="N128" s="156" t="inlineStr">
        <is>
          <t>Not identified</t>
        </is>
      </c>
      <c r="O128" s="156" t="inlineStr">
        <is>
          <t>Not identified</t>
        </is>
      </c>
      <c r="P128" s="156" t="inlineStr">
        <is>
          <t>Not published; inquiry form: https://astis.co.jp/about/office/</t>
        </is>
      </c>
      <c r="Q128" s="156" t="inlineStr">
        <is>
          <t>089 960 9001</t>
        </is>
      </c>
      <c r="R128" s="156" t="inlineStr">
        <is>
          <t>Not identified</t>
        </is>
      </c>
      <c r="S128" s="156" t="inlineStr">
        <is>
          <t>Company inquiry only (form)</t>
        </is>
      </c>
      <c r="T128" s="158">
        <f>SUM(Z128:AF128)</f>
        <v>17</v>
      </c>
      <c r="U128" s="162" t="inlineStr">
        <is>
          <t>V4</t>
        </is>
      </c>
      <c r="V128" s="156" t="inlineStr">
        <is>
          <t>QUALIFY FIRST: animal hospital sales not confirmed in sources. Matsuyama pharma and device wholesaler with clinic opening support.</t>
        </is>
      </c>
      <c r="W128" s="156" t="inlineStr">
        <is>
          <t>Open by asking whether they serve animal hospitals today; if yes, offer a vet line with no overlap to their human ultrasound brands.</t>
        </is>
      </c>
      <c r="X128" s="156" t="inlineStr">
        <is>
          <t>Not checked (human list not in v17)</t>
        </is>
      </c>
      <c r="Y128" s="156" t="inlineStr">
        <is>
          <t>https://astis.co.jp/ ; https://astis.co.jp/about/office/</t>
        </is>
      </c>
      <c r="Z128" s="156" t="n">
        <v>2</v>
      </c>
      <c r="AA128" s="156" t="n">
        <v>3</v>
      </c>
      <c r="AB128" s="156" t="n">
        <v>3</v>
      </c>
      <c r="AC128" s="156" t="n">
        <v>2</v>
      </c>
      <c r="AD128" s="156" t="n">
        <v>1</v>
      </c>
      <c r="AE128" s="156" t="n">
        <v>4</v>
      </c>
      <c r="AF128" s="156" t="n">
        <v>2</v>
      </c>
      <c r="AG128" s="163" t="inlineStr">
        <is>
          <t>Qualify first</t>
        </is>
      </c>
    </row>
    <row r="129" ht="75" customHeight="1" s="114">
      <c r="A129" s="156" t="n">
        <v>125</v>
      </c>
      <c r="B129" s="156" t="inlineStr">
        <is>
          <t>Eiko Co., Ltd.</t>
        </is>
      </c>
      <c r="C129" s="156" t="inlineStr">
        <is>
          <t>株式会社栄弘</t>
        </is>
      </c>
      <c r="D129" s="156" t="inlineStr">
        <is>
          <t>Not found (NTA lookup blocked; dedupe by Japanese name)</t>
        </is>
      </c>
      <c r="E129" s="156" t="inlineStr">
        <is>
          <t>Tokushima</t>
        </is>
      </c>
      <c r="F129" s="156" t="inlineStr">
        <is>
          <t>Chugoku and Shikoku</t>
        </is>
      </c>
      <c r="G129" s="157" t="inlineStr">
        <is>
          <t>https://eiko165.co.jp/</t>
        </is>
      </c>
      <c r="H129" s="156" t="inlineStr">
        <is>
          <t>Human device sales licences; 動物用 licence not confirmed</t>
        </is>
      </c>
      <c r="I129" s="156" t="inlineStr">
        <is>
          <t>Human multi brand lines (ultrasound brands not confirmed)</t>
        </is>
      </c>
      <c r="J129" s="156" t="inlineStr">
        <is>
          <t>Companion</t>
        </is>
      </c>
      <c r="K129" s="156" t="inlineStr">
        <is>
          <t>Tokushima, Kagawa, Awaji</t>
        </is>
      </c>
      <c r="L129" s="156" t="inlineStr">
        <is>
          <t>Not found</t>
        </is>
      </c>
      <c r="M129" s="156" t="inlineStr">
        <is>
          <t>n/a</t>
        </is>
      </c>
      <c r="N129" s="156" t="inlineStr">
        <is>
          <t>Not identified</t>
        </is>
      </c>
      <c r="O129" s="156" t="inlineStr">
        <is>
          <t>Not identified</t>
        </is>
      </c>
      <c r="P129" s="156" t="inlineStr">
        <is>
          <t>Not published; inquiry form: https://eiko165.co.jp/contact</t>
        </is>
      </c>
      <c r="Q129" s="156" t="inlineStr">
        <is>
          <t>088 625 1715</t>
        </is>
      </c>
      <c r="R129" s="156" t="inlineStr">
        <is>
          <t>Not identified</t>
        </is>
      </c>
      <c r="S129" s="156" t="inlineStr">
        <is>
          <t>Company inquiry only (form)</t>
        </is>
      </c>
      <c r="T129" s="158">
        <f>SUM(Z129:AF129)</f>
        <v>17</v>
      </c>
      <c r="U129" s="162" t="inlineStr">
        <is>
          <t>V4</t>
        </is>
      </c>
      <c r="V129" s="156" t="inlineStr">
        <is>
          <t>QUALIFY FIRST: animal hospital sales not confirmed in sources. Pharma and device wholesaler rooted in Tokushima.</t>
        </is>
      </c>
      <c r="W129" s="156" t="inlineStr">
        <is>
          <t>Open by asking whether they serve animal hospitals today; if yes, offer a vet line with no overlap to their human ultrasound brands.</t>
        </is>
      </c>
      <c r="X129" s="156" t="inlineStr">
        <is>
          <t>Not checked (human list not in v17)</t>
        </is>
      </c>
      <c r="Y129" s="156" t="inlineStr">
        <is>
          <t>https://eiko165.co.jp/ ; https://eiko165.co.jp/contact</t>
        </is>
      </c>
      <c r="Z129" s="156" t="n">
        <v>2</v>
      </c>
      <c r="AA129" s="156" t="n">
        <v>3</v>
      </c>
      <c r="AB129" s="156" t="n">
        <v>3</v>
      </c>
      <c r="AC129" s="156" t="n">
        <v>2</v>
      </c>
      <c r="AD129" s="156" t="n">
        <v>1</v>
      </c>
      <c r="AE129" s="156" t="n">
        <v>4</v>
      </c>
      <c r="AF129" s="156" t="n">
        <v>2</v>
      </c>
      <c r="AG129" s="163" t="inlineStr">
        <is>
          <t>Qualify first</t>
        </is>
      </c>
    </row>
    <row r="130" ht="75" customHeight="1" s="114">
      <c r="A130" s="156" t="n">
        <v>126</v>
      </c>
      <c r="B130" s="156" t="inlineStr">
        <is>
          <t>Evals Co., Ltd.</t>
        </is>
      </c>
      <c r="C130" s="156" t="inlineStr">
        <is>
          <t>株式会社エバルス</t>
        </is>
      </c>
      <c r="D130" s="156" t="inlineStr">
        <is>
          <t>Not found (NTA lookup blocked; dedupe by Japanese name)</t>
        </is>
      </c>
      <c r="E130" s="156" t="inlineStr">
        <is>
          <t>Hiroshima</t>
        </is>
      </c>
      <c r="F130" s="156" t="inlineStr">
        <is>
          <t>Chugoku and Shikoku</t>
        </is>
      </c>
      <c r="G130" s="156" t="inlineStr">
        <is>
          <t>Not found</t>
        </is>
      </c>
      <c r="H130" s="156" t="inlineStr">
        <is>
          <t>Human device sales licences; 動物用 licence not confirmed</t>
        </is>
      </c>
      <c r="I130" s="156" t="inlineStr">
        <is>
          <t>Human multi brand lines (ultrasound brands not confirmed)</t>
        </is>
      </c>
      <c r="J130" s="156" t="inlineStr">
        <is>
          <t>Companion</t>
        </is>
      </c>
      <c r="K130" s="156" t="inlineStr">
        <is>
          <t>Chugoku</t>
        </is>
      </c>
      <c r="L130" s="156" t="inlineStr">
        <is>
          <t>Not found</t>
        </is>
      </c>
      <c r="M130" s="156" t="inlineStr">
        <is>
          <t>n/a</t>
        </is>
      </c>
      <c r="N130" s="156" t="inlineStr">
        <is>
          <t>Not identified</t>
        </is>
      </c>
      <c r="O130" s="156" t="inlineStr">
        <is>
          <t>Not identified</t>
        </is>
      </c>
      <c r="P130" s="156" t="inlineStr">
        <is>
          <t>Not searched (search budget)</t>
        </is>
      </c>
      <c r="Q130" s="156" t="inlineStr">
        <is>
          <t>Not found (use site)</t>
        </is>
      </c>
      <c r="R130" s="156" t="inlineStr">
        <is>
          <t>Not identified</t>
        </is>
      </c>
      <c r="S130" s="156" t="inlineStr">
        <is>
          <t>Unverified</t>
        </is>
      </c>
      <c r="T130" s="158">
        <f>SUM(Z130:AF130)</f>
        <v>17</v>
      </c>
      <c r="U130" s="162" t="inlineStr">
        <is>
          <t>V4</t>
        </is>
      </c>
      <c r="V130" s="156" t="inlineStr">
        <is>
          <t>QUALIFY FIRST: animal hospital sales not confirmed in sources. Hiroshima pharma and device wholesaler.</t>
        </is>
      </c>
      <c r="W130" s="156" t="inlineStr">
        <is>
          <t>Open by asking whether they serve animal hospitals today; if yes, offer a vet line with no overlap to their human ultrasound brands.</t>
        </is>
      </c>
      <c r="X130" s="156" t="inlineStr">
        <is>
          <t>Not checked (human list not in v17)</t>
        </is>
      </c>
      <c r="Y130" s="156" t="inlineStr">
        <is>
          <t>https://www.fukuda.co.jp/company/lt/lt_area05.html</t>
        </is>
      </c>
      <c r="Z130" s="156" t="n">
        <v>2</v>
      </c>
      <c r="AA130" s="156" t="n">
        <v>3</v>
      </c>
      <c r="AB130" s="156" t="n">
        <v>3</v>
      </c>
      <c r="AC130" s="156" t="n">
        <v>2</v>
      </c>
      <c r="AD130" s="156" t="n">
        <v>1</v>
      </c>
      <c r="AE130" s="156" t="n">
        <v>4</v>
      </c>
      <c r="AF130" s="156" t="n">
        <v>2</v>
      </c>
      <c r="AG130" s="163" t="inlineStr">
        <is>
          <t>Qualify first</t>
        </is>
      </c>
    </row>
    <row r="131" ht="75" customHeight="1" s="114">
      <c r="A131" s="156" t="n">
        <v>127</v>
      </c>
      <c r="B131" s="156" t="inlineStr">
        <is>
          <t>Goyo Iryoki Co., Ltd.</t>
        </is>
      </c>
      <c r="C131" s="156" t="inlineStr">
        <is>
          <t>五洋医療器株式会社</t>
        </is>
      </c>
      <c r="D131" s="156" t="inlineStr">
        <is>
          <t>Not found (NTA lookup blocked; dedupe by Japanese name)</t>
        </is>
      </c>
      <c r="E131" s="156" t="inlineStr">
        <is>
          <t>Hiroshima</t>
        </is>
      </c>
      <c r="F131" s="156" t="inlineStr">
        <is>
          <t>Chugoku and Shikoku</t>
        </is>
      </c>
      <c r="G131" s="156" t="inlineStr">
        <is>
          <t>Not found</t>
        </is>
      </c>
      <c r="H131" s="156" t="inlineStr">
        <is>
          <t>Human device sales licences; 動物用 licence not confirmed</t>
        </is>
      </c>
      <c r="I131" s="156" t="inlineStr">
        <is>
          <t>Human multi brand lines (ultrasound brands not confirmed)</t>
        </is>
      </c>
      <c r="J131" s="156" t="inlineStr">
        <is>
          <t>Companion</t>
        </is>
      </c>
      <c r="K131" s="156" t="inlineStr">
        <is>
          <t>Fukuyama, Hiroshima</t>
        </is>
      </c>
      <c r="L131" s="156" t="inlineStr">
        <is>
          <t>Not found</t>
        </is>
      </c>
      <c r="M131" s="156" t="inlineStr">
        <is>
          <t>n/a</t>
        </is>
      </c>
      <c r="N131" s="156" t="inlineStr">
        <is>
          <t>Not identified</t>
        </is>
      </c>
      <c r="O131" s="156" t="inlineStr">
        <is>
          <t>Not identified</t>
        </is>
      </c>
      <c r="P131" s="156" t="inlineStr">
        <is>
          <t>Not published; phone only</t>
        </is>
      </c>
      <c r="Q131" s="156" t="inlineStr">
        <is>
          <t>Not found (use site)</t>
        </is>
      </c>
      <c r="R131" s="156" t="inlineStr">
        <is>
          <t>Not identified</t>
        </is>
      </c>
      <c r="S131" s="156" t="inlineStr">
        <is>
          <t>Unverified (searched; no contact found)</t>
        </is>
      </c>
      <c r="T131" s="158">
        <f>SUM(Z131:AF131)</f>
        <v>17</v>
      </c>
      <c r="U131" s="162" t="inlineStr">
        <is>
          <t>V4</t>
        </is>
      </c>
      <c r="V131" s="156" t="inlineStr">
        <is>
          <t>QUALIFY FIRST: animal hospital sales not confirmed in sources. Fukuyama device dealer.</t>
        </is>
      </c>
      <c r="W131" s="156" t="inlineStr">
        <is>
          <t>Open by asking whether they serve animal hospitals today; if yes, offer a vet line with no overlap to their human ultrasound brands.</t>
        </is>
      </c>
      <c r="X131" s="156" t="inlineStr">
        <is>
          <t>Not checked (human list not in v17)</t>
        </is>
      </c>
      <c r="Y131" s="156" t="inlineStr">
        <is>
          <t>https://www.fukuda.co.jp/company/lt/lt_area05.html</t>
        </is>
      </c>
      <c r="Z131" s="156" t="n">
        <v>2</v>
      </c>
      <c r="AA131" s="156" t="n">
        <v>3</v>
      </c>
      <c r="AB131" s="156" t="n">
        <v>3</v>
      </c>
      <c r="AC131" s="156" t="n">
        <v>2</v>
      </c>
      <c r="AD131" s="156" t="n">
        <v>1</v>
      </c>
      <c r="AE131" s="156" t="n">
        <v>4</v>
      </c>
      <c r="AF131" s="156" t="n">
        <v>2</v>
      </c>
      <c r="AG131" s="163" t="inlineStr">
        <is>
          <t>Qualify first</t>
        </is>
      </c>
    </row>
    <row r="132" ht="75" customHeight="1" s="114">
      <c r="A132" s="156" t="n">
        <v>128</v>
      </c>
      <c r="B132" s="156" t="inlineStr">
        <is>
          <t>Kawanishi Co., Ltd.</t>
        </is>
      </c>
      <c r="C132" s="156" t="inlineStr">
        <is>
          <t>株式会社カワニシ</t>
        </is>
      </c>
      <c r="D132" s="156" t="inlineStr">
        <is>
          <t>Not found (NTA lookup blocked; dedupe by Japanese name)</t>
        </is>
      </c>
      <c r="E132" s="156" t="inlineStr">
        <is>
          <t>Okayama</t>
        </is>
      </c>
      <c r="F132" s="156" t="inlineStr">
        <is>
          <t>Chugoku and Shikoku</t>
        </is>
      </c>
      <c r="G132" s="157" t="inlineStr">
        <is>
          <t>https://www.kawanishi-md.co.jp/kw/</t>
        </is>
      </c>
      <c r="H132" s="156" t="inlineStr">
        <is>
          <t>Human device sales licences; 動物用 licence not confirmed</t>
        </is>
      </c>
      <c r="I132" s="156" t="inlineStr">
        <is>
          <t>Human multi brand lines (ultrasound brands not confirmed)</t>
        </is>
      </c>
      <c r="J132" s="156" t="inlineStr">
        <is>
          <t>Companion</t>
        </is>
      </c>
      <c r="K132" s="156" t="inlineStr">
        <is>
          <t>Chugoku and Shikoku</t>
        </is>
      </c>
      <c r="L132" s="156" t="inlineStr">
        <is>
          <t>727 staff (Jun 2025)</t>
        </is>
      </c>
      <c r="M132" s="156" t="inlineStr">
        <is>
          <t>n/a</t>
        </is>
      </c>
      <c r="N132" s="156" t="inlineStr">
        <is>
          <t>Not identified</t>
        </is>
      </c>
      <c r="O132" s="156" t="inlineStr">
        <is>
          <t>Not identified</t>
        </is>
      </c>
      <c r="P132" s="156" t="inlineStr">
        <is>
          <t>Not published; phone only</t>
        </is>
      </c>
      <c r="Q132" s="156" t="inlineStr">
        <is>
          <t>086 241 9241</t>
        </is>
      </c>
      <c r="R132" s="156" t="inlineStr">
        <is>
          <t>Not identified</t>
        </is>
      </c>
      <c r="S132" s="156" t="inlineStr">
        <is>
          <t>Company inquiry only (phone)</t>
        </is>
      </c>
      <c r="T132" s="158">
        <f>SUM(Z132:AF132)</f>
        <v>17</v>
      </c>
      <c r="U132" s="162" t="inlineStr">
        <is>
          <t>V4</t>
        </is>
      </c>
      <c r="V132" s="156" t="inlineStr">
        <is>
          <t>QUALIFY FIRST: animal hospital sales not confirmed in sources. Number one device dealer in Chugoku and Shikoku (Orba group), founded 1921, 727 staff.</t>
        </is>
      </c>
      <c r="W132" s="156" t="inlineStr">
        <is>
          <t>Open by asking whether they serve animal hospitals today; if yes, offer a vet line with no overlap to their human ultrasound brands.</t>
        </is>
      </c>
      <c r="X132" s="156" t="inlineStr">
        <is>
          <t>Not checked (human list not in v17)</t>
        </is>
      </c>
      <c r="Y132" s="156" t="inlineStr">
        <is>
          <t>https://kitaishihon.com/company/2689/story ; http://www.kawanishi-md.co.jp/kw/about/</t>
        </is>
      </c>
      <c r="Z132" s="156" t="n">
        <v>2</v>
      </c>
      <c r="AA132" s="156" t="n">
        <v>3</v>
      </c>
      <c r="AB132" s="156" t="n">
        <v>3</v>
      </c>
      <c r="AC132" s="156" t="n">
        <v>2</v>
      </c>
      <c r="AD132" s="156" t="n">
        <v>1</v>
      </c>
      <c r="AE132" s="156" t="n">
        <v>4</v>
      </c>
      <c r="AF132" s="156" t="n">
        <v>2</v>
      </c>
      <c r="AG132" s="163" t="inlineStr">
        <is>
          <t>Qualify first</t>
        </is>
      </c>
    </row>
    <row r="133" ht="75" customHeight="1" s="114">
      <c r="A133" s="156" t="n">
        <v>129</v>
      </c>
      <c r="B133" s="156" t="inlineStr">
        <is>
          <t>Nishi Nihon Medical Link Co., Ltd.</t>
        </is>
      </c>
      <c r="C133" s="156" t="inlineStr">
        <is>
          <t>西日本メディカルリンク株式会社</t>
        </is>
      </c>
      <c r="D133" s="156" t="inlineStr">
        <is>
          <t>Not found (NTA lookup blocked; dedupe by Japanese name)</t>
        </is>
      </c>
      <c r="E133" s="156" t="inlineStr">
        <is>
          <t>Okayama</t>
        </is>
      </c>
      <c r="F133" s="156" t="inlineStr">
        <is>
          <t>Chugoku and Shikoku</t>
        </is>
      </c>
      <c r="G133" s="157" t="inlineStr">
        <is>
          <t>https://jml-west.jp/</t>
        </is>
      </c>
      <c r="H133" s="156" t="inlineStr">
        <is>
          <t>Human device sales licences; 動物用 licence not confirmed</t>
        </is>
      </c>
      <c r="I133" s="156" t="inlineStr">
        <is>
          <t>Human multi brand lines (ultrasound brands not confirmed)</t>
        </is>
      </c>
      <c r="J133" s="156" t="inlineStr">
        <is>
          <t>Companion</t>
        </is>
      </c>
      <c r="K133" s="156" t="inlineStr">
        <is>
          <t>Okayama</t>
        </is>
      </c>
      <c r="L133" s="156" t="inlineStr">
        <is>
          <t>Not found</t>
        </is>
      </c>
      <c r="M133" s="156" t="inlineStr">
        <is>
          <t>n/a</t>
        </is>
      </c>
      <c r="N133" s="156" t="inlineStr">
        <is>
          <t>Not identified</t>
        </is>
      </c>
      <c r="O133" s="156" t="inlineStr">
        <is>
          <t>Not identified</t>
        </is>
      </c>
      <c r="P133" s="156" t="inlineStr">
        <is>
          <t>Not published; phone only</t>
        </is>
      </c>
      <c r="Q133" s="156" t="inlineStr">
        <is>
          <t>Not found (use site)</t>
        </is>
      </c>
      <c r="R133" s="156" t="inlineStr">
        <is>
          <t>Not identified</t>
        </is>
      </c>
      <c r="S133" s="156" t="inlineStr">
        <is>
          <t>Unverified (searched; no contact published in results)</t>
        </is>
      </c>
      <c r="T133" s="158">
        <f>SUM(Z133:AF133)</f>
        <v>17</v>
      </c>
      <c r="U133" s="162" t="inlineStr">
        <is>
          <t>V4</t>
        </is>
      </c>
      <c r="V133" s="156" t="inlineStr">
        <is>
          <t>QUALIFY FIRST: animal hospital sales not confirmed in sources. Okayama device dealer listed in Fukuda Denshi's dealer page.</t>
        </is>
      </c>
      <c r="W133" s="156" t="inlineStr">
        <is>
          <t>Open by asking whether they serve animal hospitals today; if yes, offer a vet line with no overlap to their human ultrasound brands.</t>
        </is>
      </c>
      <c r="X133" s="156" t="inlineStr">
        <is>
          <t>Not checked (human list not in v17)</t>
        </is>
      </c>
      <c r="Y133" s="156" t="inlineStr">
        <is>
          <t>https://www.fukuda.co.jp/company/lt/lt_area05.html ; https://www.nikkei.com/compass/company/sRwxtV33ViYqGAU9AffVch</t>
        </is>
      </c>
      <c r="Z133" s="156" t="n">
        <v>2</v>
      </c>
      <c r="AA133" s="156" t="n">
        <v>3</v>
      </c>
      <c r="AB133" s="156" t="n">
        <v>3</v>
      </c>
      <c r="AC133" s="156" t="n">
        <v>2</v>
      </c>
      <c r="AD133" s="156" t="n">
        <v>1</v>
      </c>
      <c r="AE133" s="156" t="n">
        <v>4</v>
      </c>
      <c r="AF133" s="156" t="n">
        <v>2</v>
      </c>
      <c r="AG133" s="163" t="inlineStr">
        <is>
          <t>Qualify first</t>
        </is>
      </c>
    </row>
    <row r="134" ht="75" customHeight="1" s="114">
      <c r="A134" s="156" t="n">
        <v>130</v>
      </c>
      <c r="B134" s="156" t="inlineStr">
        <is>
          <t>Seiel Co., Ltd.</t>
        </is>
      </c>
      <c r="C134" s="156" t="inlineStr">
        <is>
          <t>株式会社セイエル</t>
        </is>
      </c>
      <c r="D134" s="156" t="inlineStr">
        <is>
          <t>Not found (NTA lookup blocked; dedupe by Japanese name)</t>
        </is>
      </c>
      <c r="E134" s="156" t="inlineStr">
        <is>
          <t>Hiroshima</t>
        </is>
      </c>
      <c r="F134" s="156" t="inlineStr">
        <is>
          <t>Chugoku and Shikoku</t>
        </is>
      </c>
      <c r="G134" s="156" t="inlineStr">
        <is>
          <t>Not found</t>
        </is>
      </c>
      <c r="H134" s="156" t="inlineStr">
        <is>
          <t>Human device sales licences; 動物用 licence not confirmed</t>
        </is>
      </c>
      <c r="I134" s="156" t="inlineStr">
        <is>
          <t>Human multi brand lines (ultrasound brands not confirmed)</t>
        </is>
      </c>
      <c r="J134" s="156" t="inlineStr">
        <is>
          <t>Companion</t>
        </is>
      </c>
      <c r="K134" s="156" t="inlineStr">
        <is>
          <t>Hiroshima</t>
        </is>
      </c>
      <c r="L134" s="156" t="inlineStr">
        <is>
          <t>Not found</t>
        </is>
      </c>
      <c r="M134" s="156" t="inlineStr">
        <is>
          <t>n/a</t>
        </is>
      </c>
      <c r="N134" s="156" t="inlineStr">
        <is>
          <t>Not identified</t>
        </is>
      </c>
      <c r="O134" s="156" t="inlineStr">
        <is>
          <t>Not identified</t>
        </is>
      </c>
      <c r="P134" s="156" t="inlineStr">
        <is>
          <t>Not published; phone only</t>
        </is>
      </c>
      <c r="Q134" s="156" t="inlineStr">
        <is>
          <t>082 278 1912</t>
        </is>
      </c>
      <c r="R134" s="156" t="inlineStr">
        <is>
          <t>Not identified</t>
        </is>
      </c>
      <c r="S134" s="156" t="inlineStr">
        <is>
          <t>Company inquiry only (phone)</t>
        </is>
      </c>
      <c r="T134" s="158">
        <f>SUM(Z134:AF134)</f>
        <v>17</v>
      </c>
      <c r="U134" s="162" t="inlineStr">
        <is>
          <t>V4</t>
        </is>
      </c>
      <c r="V134" s="156" t="inlineStr">
        <is>
          <t>QUALIFY FIRST: animal hospital sales not confirmed in sources. Hiroshima device dealer.</t>
        </is>
      </c>
      <c r="W134" s="156" t="inlineStr">
        <is>
          <t>Open by asking whether they serve animal hospitals today; if yes, offer a vet line with no overlap to their human ultrasound brands.</t>
        </is>
      </c>
      <c r="X134" s="156" t="inlineStr">
        <is>
          <t>Not checked (human list not in v17)</t>
        </is>
      </c>
      <c r="Y134" s="156" t="inlineStr">
        <is>
          <t>https://www.fukuda.co.jp/company/lt/lt_area05.html ; https://www.gogo-jobcafe-shimane.jp/job/company/907782</t>
        </is>
      </c>
      <c r="Z134" s="156" t="n">
        <v>2</v>
      </c>
      <c r="AA134" s="156" t="n">
        <v>3</v>
      </c>
      <c r="AB134" s="156" t="n">
        <v>3</v>
      </c>
      <c r="AC134" s="156" t="n">
        <v>2</v>
      </c>
      <c r="AD134" s="156" t="n">
        <v>1</v>
      </c>
      <c r="AE134" s="156" t="n">
        <v>4</v>
      </c>
      <c r="AF134" s="156" t="n">
        <v>2</v>
      </c>
      <c r="AG134" s="163" t="inlineStr">
        <is>
          <t>Qualify first</t>
        </is>
      </c>
    </row>
    <row r="135" ht="75" customHeight="1" s="114">
      <c r="A135" s="156" t="n">
        <v>131</v>
      </c>
      <c r="B135" s="156" t="inlineStr">
        <is>
          <t>Shikoku Iryoki Co., Ltd.</t>
        </is>
      </c>
      <c r="C135" s="156" t="inlineStr">
        <is>
          <t>四国医療器株式会社</t>
        </is>
      </c>
      <c r="D135" s="156" t="inlineStr">
        <is>
          <t>Not found (NTA lookup blocked; dedupe by Japanese name)</t>
        </is>
      </c>
      <c r="E135" s="156" t="inlineStr">
        <is>
          <t>Kagawa</t>
        </is>
      </c>
      <c r="F135" s="156" t="inlineStr">
        <is>
          <t>Chugoku and Shikoku</t>
        </is>
      </c>
      <c r="G135" s="157" t="inlineStr">
        <is>
          <t>https://shikokuiryoki.com/</t>
        </is>
      </c>
      <c r="H135" s="156" t="inlineStr">
        <is>
          <t>Human device sales licences; 動物用 licence not confirmed</t>
        </is>
      </c>
      <c r="I135" s="156" t="inlineStr">
        <is>
          <t>Human multi brand lines (ultrasound brands not confirmed)</t>
        </is>
      </c>
      <c r="J135" s="156" t="inlineStr">
        <is>
          <t>Companion</t>
        </is>
      </c>
      <c r="K135" s="156" t="inlineStr">
        <is>
          <t>All four Shikoku prefectures</t>
        </is>
      </c>
      <c r="L135" s="156" t="inlineStr">
        <is>
          <t>Not found</t>
        </is>
      </c>
      <c r="M135" s="156" t="inlineStr">
        <is>
          <t>n/a</t>
        </is>
      </c>
      <c r="N135" s="156" t="inlineStr">
        <is>
          <t>Not identified</t>
        </is>
      </c>
      <c r="O135" s="156" t="inlineStr">
        <is>
          <t>Not identified</t>
        </is>
      </c>
      <c r="P135" s="156" t="inlineStr">
        <is>
          <t>info@shikokuiryoki.com</t>
        </is>
      </c>
      <c r="Q135" s="156" t="inlineStr">
        <is>
          <t>087 851 3318</t>
        </is>
      </c>
      <c r="R135" s="156" t="inlineStr">
        <is>
          <t>Not identified</t>
        </is>
      </c>
      <c r="S135" s="156" t="inlineStr">
        <is>
          <t>Likely (third party listing); may be old</t>
        </is>
      </c>
      <c r="T135" s="158">
        <f>SUM(Z135:AF135)</f>
        <v>17</v>
      </c>
      <c r="U135" s="162" t="inlineStr">
        <is>
          <t>V4</t>
        </is>
      </c>
      <c r="V135" s="156" t="inlineStr">
        <is>
          <t>QUALIFY FIRST: animal hospital sales not confirmed in sources. Takamatsu device and lab equipment trader; JR Shikoku group partner since Mar 2025.</t>
        </is>
      </c>
      <c r="W135" s="156" t="inlineStr">
        <is>
          <t>Open by asking whether they serve animal hospitals today; if yes, offer a vet line with no overlap to their human ultrasound brands.</t>
        </is>
      </c>
      <c r="X135" s="156" t="inlineStr">
        <is>
          <t>Not checked (human list not in v17)</t>
        </is>
      </c>
      <c r="Y135" s="156" t="inlineStr">
        <is>
          <t>https://shikokuiryoki.com/about/ ; https://wskagawa.jp/index.php?exec=detail&amp;kigyo_key=13-0096&amp;prog=pub_kigyo ; https://sia-japan.com/company_list/731/ ; https://shikokuiryoki.com/contact/</t>
        </is>
      </c>
      <c r="Z135" s="156" t="n">
        <v>2</v>
      </c>
      <c r="AA135" s="156" t="n">
        <v>3</v>
      </c>
      <c r="AB135" s="156" t="n">
        <v>3</v>
      </c>
      <c r="AC135" s="156" t="n">
        <v>2</v>
      </c>
      <c r="AD135" s="156" t="n">
        <v>1</v>
      </c>
      <c r="AE135" s="156" t="n">
        <v>4</v>
      </c>
      <c r="AF135" s="156" t="n">
        <v>2</v>
      </c>
      <c r="AG135" s="163" t="inlineStr">
        <is>
          <t>Qualify first</t>
        </is>
      </c>
    </row>
    <row r="136" ht="75" customHeight="1" s="114">
      <c r="A136" s="156" t="n">
        <v>132</v>
      </c>
      <c r="B136" s="156" t="inlineStr">
        <is>
          <t>TS Alfresa Co., Ltd.</t>
        </is>
      </c>
      <c r="C136" s="156" t="inlineStr">
        <is>
          <t>ティーエスアルフレッサ株式会社</t>
        </is>
      </c>
      <c r="D136" s="156" t="inlineStr">
        <is>
          <t>Not found (NTA lookup blocked; dedupe by Japanese name)</t>
        </is>
      </c>
      <c r="E136" s="156" t="inlineStr">
        <is>
          <t>Hiroshima</t>
        </is>
      </c>
      <c r="F136" s="156" t="inlineStr">
        <is>
          <t>Chugoku and Shikoku</t>
        </is>
      </c>
      <c r="G136" s="156" t="inlineStr">
        <is>
          <t>Not found</t>
        </is>
      </c>
      <c r="H136" s="156" t="inlineStr">
        <is>
          <t>Human device sales licences; 動物用 licence not confirmed</t>
        </is>
      </c>
      <c r="I136" s="156" t="inlineStr">
        <is>
          <t>Human multi brand lines (ultrasound brands not confirmed)</t>
        </is>
      </c>
      <c r="J136" s="156" t="inlineStr">
        <is>
          <t>Companion</t>
        </is>
      </c>
      <c r="K136" s="156" t="inlineStr">
        <is>
          <t>Chugoku</t>
        </is>
      </c>
      <c r="L136" s="156" t="inlineStr">
        <is>
          <t>Not found</t>
        </is>
      </c>
      <c r="M136" s="156" t="inlineStr">
        <is>
          <t>n/a</t>
        </is>
      </c>
      <c r="N136" s="156" t="inlineStr">
        <is>
          <t>Not identified</t>
        </is>
      </c>
      <c r="O136" s="156" t="inlineStr">
        <is>
          <t>Not identified</t>
        </is>
      </c>
      <c r="P136" s="156" t="inlineStr">
        <is>
          <t>Not searched (search budget)</t>
        </is>
      </c>
      <c r="Q136" s="156" t="inlineStr">
        <is>
          <t>Not found (use site)</t>
        </is>
      </c>
      <c r="R136" s="156" t="inlineStr">
        <is>
          <t>Not identified</t>
        </is>
      </c>
      <c r="S136" s="156" t="inlineStr">
        <is>
          <t>Unverified</t>
        </is>
      </c>
      <c r="T136" s="158">
        <f>SUM(Z136:AF136)</f>
        <v>17</v>
      </c>
      <c r="U136" s="162" t="inlineStr">
        <is>
          <t>V4</t>
        </is>
      </c>
      <c r="V136" s="156" t="inlineStr">
        <is>
          <t>QUALIFY FIRST: animal hospital sales not confirmed in sources. Hiroshima wholesaler (Alfresa group).</t>
        </is>
      </c>
      <c r="W136" s="156" t="inlineStr">
        <is>
          <t>Open by asking whether they serve animal hospitals today; if yes, offer a vet line with no overlap to their human ultrasound brands.</t>
        </is>
      </c>
      <c r="X136" s="156" t="inlineStr">
        <is>
          <t>Not checked (human list not in v17)</t>
        </is>
      </c>
      <c r="Y136" s="156" t="inlineStr">
        <is>
          <t>https://www.fukuda.co.jp/company/lt/lt_area05.html</t>
        </is>
      </c>
      <c r="Z136" s="156" t="n">
        <v>2</v>
      </c>
      <c r="AA136" s="156" t="n">
        <v>3</v>
      </c>
      <c r="AB136" s="156" t="n">
        <v>3</v>
      </c>
      <c r="AC136" s="156" t="n">
        <v>2</v>
      </c>
      <c r="AD136" s="156" t="n">
        <v>1</v>
      </c>
      <c r="AE136" s="156" t="n">
        <v>4</v>
      </c>
      <c r="AF136" s="156" t="n">
        <v>2</v>
      </c>
      <c r="AG136" s="163" t="inlineStr">
        <is>
          <t>Qualify first</t>
        </is>
      </c>
    </row>
    <row r="137" ht="75" customHeight="1" s="114">
      <c r="A137" s="156" t="n">
        <v>133</v>
      </c>
      <c r="B137" s="156" t="inlineStr">
        <is>
          <t>Tottori Iryoki Co., Ltd.</t>
        </is>
      </c>
      <c r="C137" s="156" t="inlineStr">
        <is>
          <t>鳥取医療器株式会社</t>
        </is>
      </c>
      <c r="D137" s="156" t="inlineStr">
        <is>
          <t>Not found (NTA lookup blocked; dedupe by Japanese name)</t>
        </is>
      </c>
      <c r="E137" s="156" t="inlineStr">
        <is>
          <t>Tottori</t>
        </is>
      </c>
      <c r="F137" s="156" t="inlineStr">
        <is>
          <t>Chugoku and Shikoku</t>
        </is>
      </c>
      <c r="G137" s="157" t="inlineStr">
        <is>
          <t>https://t-iryoki.co.jp/</t>
        </is>
      </c>
      <c r="H137" s="156" t="inlineStr">
        <is>
          <t>Human device sales licences; 動物用 licence not confirmed</t>
        </is>
      </c>
      <c r="I137" s="156" t="inlineStr">
        <is>
          <t>Human multi brand lines (ultrasound brands not confirmed)</t>
        </is>
      </c>
      <c r="J137" s="156" t="inlineStr">
        <is>
          <t>Companion</t>
        </is>
      </c>
      <c r="K137" s="156" t="inlineStr">
        <is>
          <t>Tottori</t>
        </is>
      </c>
      <c r="L137" s="156" t="inlineStr">
        <is>
          <t>Not found</t>
        </is>
      </c>
      <c r="M137" s="156" t="inlineStr">
        <is>
          <t>n/a</t>
        </is>
      </c>
      <c r="N137" s="156" t="inlineStr">
        <is>
          <t>Not identified</t>
        </is>
      </c>
      <c r="O137" s="156" t="inlineStr">
        <is>
          <t>Not identified</t>
        </is>
      </c>
      <c r="P137" s="156" t="inlineStr">
        <is>
          <t>welfare@t-iryoki.co.jp</t>
        </is>
      </c>
      <c r="Q137" s="156" t="inlineStr">
        <is>
          <t>0857 23 1741</t>
        </is>
      </c>
      <c r="R137" s="156" t="inlineStr">
        <is>
          <t>Not identified</t>
        </is>
      </c>
      <c r="S137" s="156" t="inlineStr">
        <is>
          <t>Verified (published on own site, read via search); medical dept medical@t iryoki.co.jp per sia japan.com listing</t>
        </is>
      </c>
      <c r="T137" s="158">
        <f>SUM(Z137:AF137)</f>
        <v>17</v>
      </c>
      <c r="U137" s="162" t="inlineStr">
        <is>
          <t>V4</t>
        </is>
      </c>
      <c r="V137" s="156" t="inlineStr">
        <is>
          <t>QUALIFY FIRST: animal hospital sales not confirmed in sources. Tottori device dealer.</t>
        </is>
      </c>
      <c r="W137" s="156" t="inlineStr">
        <is>
          <t>Open by asking whether they serve animal hospitals today; if yes, offer a vet line with no overlap to their human ultrasound brands.</t>
        </is>
      </c>
      <c r="X137" s="156" t="inlineStr">
        <is>
          <t>Not checked (human list not in v17)</t>
        </is>
      </c>
      <c r="Y137" s="156" t="inlineStr">
        <is>
          <t>https://www.fukuda.co.jp/company/lt/lt_area05.html ; https://t-iryoki.co.jp/ ; https://sia-japan.com/company_list/751/</t>
        </is>
      </c>
      <c r="Z137" s="156" t="n">
        <v>2</v>
      </c>
      <c r="AA137" s="156" t="n">
        <v>3</v>
      </c>
      <c r="AB137" s="156" t="n">
        <v>3</v>
      </c>
      <c r="AC137" s="156" t="n">
        <v>2</v>
      </c>
      <c r="AD137" s="156" t="n">
        <v>1</v>
      </c>
      <c r="AE137" s="156" t="n">
        <v>4</v>
      </c>
      <c r="AF137" s="156" t="n">
        <v>2</v>
      </c>
      <c r="AG137" s="163" t="inlineStr">
        <is>
          <t>Qualify first</t>
        </is>
      </c>
    </row>
    <row r="138" ht="75" customHeight="1" s="114">
      <c r="A138" s="156" t="n">
        <v>134</v>
      </c>
      <c r="B138" s="156" t="inlineStr">
        <is>
          <t>Actmedic Co., Ltd.</t>
        </is>
      </c>
      <c r="C138" s="156" t="inlineStr">
        <is>
          <t>株式会社アクトメディック</t>
        </is>
      </c>
      <c r="D138" s="156" t="inlineStr">
        <is>
          <t>Not found (NTA lookup blocked; dedupe by Japanese name)</t>
        </is>
      </c>
      <c r="E138" s="156" t="inlineStr">
        <is>
          <t>Osaka</t>
        </is>
      </c>
      <c r="F138" s="156" t="inlineStr">
        <is>
          <t>Kansai</t>
        </is>
      </c>
      <c r="G138" s="157" t="inlineStr">
        <is>
          <t>https://www.actmedic.jp/</t>
        </is>
      </c>
      <c r="H138" s="156" t="inlineStr">
        <is>
          <t>Human device sales licences; 動物用 licence not confirmed</t>
        </is>
      </c>
      <c r="I138" s="156" t="inlineStr">
        <is>
          <t>Human multi brand lines (ultrasound brands not confirmed)</t>
        </is>
      </c>
      <c r="J138" s="156" t="inlineStr">
        <is>
          <t>Companion</t>
        </is>
      </c>
      <c r="K138" s="156" t="inlineStr">
        <is>
          <t>Osaka, Hyogo, Kyoto, Nara, Wakayama, Shiga</t>
        </is>
      </c>
      <c r="L138" s="156" t="inlineStr">
        <is>
          <t>Not found</t>
        </is>
      </c>
      <c r="M138" s="156" t="inlineStr">
        <is>
          <t>n/a</t>
        </is>
      </c>
      <c r="N138" s="156" t="inlineStr">
        <is>
          <t>Not identified</t>
        </is>
      </c>
      <c r="O138" s="156" t="inlineStr">
        <is>
          <t>Not identified</t>
        </is>
      </c>
      <c r="P138" s="156" t="inlineStr">
        <is>
          <t>Not published; inquiry form: https://www.actmedic.jp/contact</t>
        </is>
      </c>
      <c r="Q138" s="156" t="inlineStr">
        <is>
          <t>06 6777 4901</t>
        </is>
      </c>
      <c r="R138" s="156" t="inlineStr">
        <is>
          <t>Not identified</t>
        </is>
      </c>
      <c r="S138" s="156" t="inlineStr">
        <is>
          <t>Company inquiry only (form)</t>
        </is>
      </c>
      <c r="T138" s="158">
        <f>SUM(Z138:AF138)</f>
        <v>17</v>
      </c>
      <c r="U138" s="162" t="inlineStr">
        <is>
          <t>V4</t>
        </is>
      </c>
      <c r="V138" s="156" t="inlineStr">
        <is>
          <t>QUALIFY FIRST: animal hospital sales not confirmed in sources. Osaka general device dealer covering all of Kansai.</t>
        </is>
      </c>
      <c r="W138" s="156" t="inlineStr">
        <is>
          <t>Open by asking whether they serve animal hospitals today; if yes, offer a vet line with no overlap to their human ultrasound brands.</t>
        </is>
      </c>
      <c r="X138" s="156" t="inlineStr">
        <is>
          <t>Not checked (human list not in v17)</t>
        </is>
      </c>
      <c r="Y138" s="156" t="inlineStr">
        <is>
          <t>https://www.actmedic.jp/ ; https://www.actmedic.jp/contact</t>
        </is>
      </c>
      <c r="Z138" s="156" t="n">
        <v>2</v>
      </c>
      <c r="AA138" s="156" t="n">
        <v>3</v>
      </c>
      <c r="AB138" s="156" t="n">
        <v>3</v>
      </c>
      <c r="AC138" s="156" t="n">
        <v>2</v>
      </c>
      <c r="AD138" s="156" t="n">
        <v>1</v>
      </c>
      <c r="AE138" s="156" t="n">
        <v>4</v>
      </c>
      <c r="AF138" s="156" t="n">
        <v>2</v>
      </c>
      <c r="AG138" s="163" t="inlineStr">
        <is>
          <t>Qualify first</t>
        </is>
      </c>
    </row>
    <row r="139" ht="75" customHeight="1" s="114">
      <c r="A139" s="156" t="n">
        <v>135</v>
      </c>
      <c r="B139" s="156" t="inlineStr">
        <is>
          <t>Air Water Link Co., Ltd.</t>
        </is>
      </c>
      <c r="C139" s="156" t="inlineStr">
        <is>
          <t>エア・ウォーター・リンク株式会社</t>
        </is>
      </c>
      <c r="D139" s="156" t="inlineStr">
        <is>
          <t>Not found (NTA lookup blocked; dedupe by Japanese name)</t>
        </is>
      </c>
      <c r="E139" s="156" t="inlineStr">
        <is>
          <t>Kyoto</t>
        </is>
      </c>
      <c r="F139" s="156" t="inlineStr">
        <is>
          <t>Kansai</t>
        </is>
      </c>
      <c r="G139" s="156" t="inlineStr">
        <is>
          <t>Not found</t>
        </is>
      </c>
      <c r="H139" s="156" t="inlineStr">
        <is>
          <t>Human device sales licences; 動物用 licence not confirmed</t>
        </is>
      </c>
      <c r="I139" s="156" t="inlineStr">
        <is>
          <t>Human multi brand lines (ultrasound brands not confirmed)</t>
        </is>
      </c>
      <c r="J139" s="156" t="inlineStr">
        <is>
          <t>Companion</t>
        </is>
      </c>
      <c r="K139" s="156" t="inlineStr">
        <is>
          <t>Kansai</t>
        </is>
      </c>
      <c r="L139" s="156" t="inlineStr">
        <is>
          <t>Not found</t>
        </is>
      </c>
      <c r="M139" s="156" t="inlineStr">
        <is>
          <t>n/a</t>
        </is>
      </c>
      <c r="N139" s="156" t="inlineStr">
        <is>
          <t>Not identified</t>
        </is>
      </c>
      <c r="O139" s="156" t="inlineStr">
        <is>
          <t>Not identified</t>
        </is>
      </c>
      <c r="P139" s="156" t="inlineStr">
        <is>
          <t>Not searched (search budget)</t>
        </is>
      </c>
      <c r="Q139" s="156" t="inlineStr">
        <is>
          <t>Not found (use site)</t>
        </is>
      </c>
      <c r="R139" s="156" t="inlineStr">
        <is>
          <t>Not identified</t>
        </is>
      </c>
      <c r="S139" s="156" t="inlineStr">
        <is>
          <t>Unverified</t>
        </is>
      </c>
      <c r="T139" s="158">
        <f>SUM(Z139:AF139)</f>
        <v>17</v>
      </c>
      <c r="U139" s="162" t="inlineStr">
        <is>
          <t>V4</t>
        </is>
      </c>
      <c r="V139" s="156" t="inlineStr">
        <is>
          <t>QUALIFY FIRST: animal hospital sales not confirmed in sources. Cardiology and anaesthesia device wholesaler with sterilisation services. FLAG: HQ shown in a Kyoto listing; confirm.</t>
        </is>
      </c>
      <c r="W139" s="156" t="inlineStr">
        <is>
          <t>Open by asking whether they serve animal hospitals today; if yes, offer a vet line with no overlap to their human ultrasound brands.</t>
        </is>
      </c>
      <c r="X139" s="156" t="inlineStr">
        <is>
          <t>Not checked (human list not in v17)</t>
        </is>
      </c>
      <c r="Y139" s="156" t="inlineStr">
        <is>
          <t>https://baseconnect.in/companies/prefecture/63038c5a-e328-472b-b9cc-039738609ba7/category/b2358a1c-c4c6-46f4-a0b1-dee3a1b30a0b</t>
        </is>
      </c>
      <c r="Z139" s="156" t="n">
        <v>2</v>
      </c>
      <c r="AA139" s="156" t="n">
        <v>3</v>
      </c>
      <c r="AB139" s="156" t="n">
        <v>3</v>
      </c>
      <c r="AC139" s="156" t="n">
        <v>2</v>
      </c>
      <c r="AD139" s="156" t="n">
        <v>1</v>
      </c>
      <c r="AE139" s="156" t="n">
        <v>4</v>
      </c>
      <c r="AF139" s="156" t="n">
        <v>2</v>
      </c>
      <c r="AG139" s="163" t="inlineStr">
        <is>
          <t>Qualify first</t>
        </is>
      </c>
    </row>
    <row r="140" ht="75" customHeight="1" s="114">
      <c r="A140" s="156" t="n">
        <v>136</v>
      </c>
      <c r="B140" s="156" t="inlineStr">
        <is>
          <t>Chubu Medical Co., Ltd.</t>
        </is>
      </c>
      <c r="C140" s="156" t="inlineStr">
        <is>
          <t>株式会社中部メディカル</t>
        </is>
      </c>
      <c r="D140" s="156" t="inlineStr">
        <is>
          <t>Not found (NTA lookup blocked; dedupe by Japanese name)</t>
        </is>
      </c>
      <c r="E140" s="156" t="inlineStr">
        <is>
          <t>Mie</t>
        </is>
      </c>
      <c r="F140" s="156" t="inlineStr">
        <is>
          <t>Kansai</t>
        </is>
      </c>
      <c r="G140" s="156" t="inlineStr">
        <is>
          <t>Not found</t>
        </is>
      </c>
      <c r="H140" s="156" t="inlineStr">
        <is>
          <t>Human device sales licences; 動物用 licence not confirmed</t>
        </is>
      </c>
      <c r="I140" s="156" t="inlineStr">
        <is>
          <t>Human multi brand lines (ultrasound brands not confirmed)</t>
        </is>
      </c>
      <c r="J140" s="156" t="inlineStr">
        <is>
          <t>Companion</t>
        </is>
      </c>
      <c r="K140" s="156" t="inlineStr">
        <is>
          <t>Mie</t>
        </is>
      </c>
      <c r="L140" s="156" t="inlineStr">
        <is>
          <t>Not found</t>
        </is>
      </c>
      <c r="M140" s="156" t="inlineStr">
        <is>
          <t>n/a</t>
        </is>
      </c>
      <c r="N140" s="156" t="inlineStr">
        <is>
          <t>Not identified</t>
        </is>
      </c>
      <c r="O140" s="156" t="inlineStr">
        <is>
          <t>Not identified</t>
        </is>
      </c>
      <c r="P140" s="156" t="inlineStr">
        <is>
          <t>Not searched (search budget)</t>
        </is>
      </c>
      <c r="Q140" s="156" t="inlineStr">
        <is>
          <t>Not found (use site)</t>
        </is>
      </c>
      <c r="R140" s="156" t="inlineStr">
        <is>
          <t>Not identified</t>
        </is>
      </c>
      <c r="S140" s="156" t="inlineStr">
        <is>
          <t>Unverified</t>
        </is>
      </c>
      <c r="T140" s="158">
        <f>SUM(Z140:AF140)</f>
        <v>17</v>
      </c>
      <c r="U140" s="162" t="inlineStr">
        <is>
          <t>V4</t>
        </is>
      </c>
      <c r="V140" s="156" t="inlineStr">
        <is>
          <t>QUALIFY FIRST: animal hospital sales not confirmed in sources. Mie device wholesaler.</t>
        </is>
      </c>
      <c r="W140" s="156" t="inlineStr">
        <is>
          <t>Open by asking whether they serve animal hospitals today; if yes, offer a vet line with no overlap to their human ultrasound brands.</t>
        </is>
      </c>
      <c r="X140" s="156" t="inlineStr">
        <is>
          <t>Not checked (human list not in v17)</t>
        </is>
      </c>
      <c r="Y140" s="156" t="inlineStr">
        <is>
          <t>https://baseconnect.in/companies/prefecture/e010a2b6-a345-4a52-b350-1ca592e384b8/keyword/a68873de-8c54-4a2c-820f-e04c8b93064c</t>
        </is>
      </c>
      <c r="Z140" s="156" t="n">
        <v>2</v>
      </c>
      <c r="AA140" s="156" t="n">
        <v>3</v>
      </c>
      <c r="AB140" s="156" t="n">
        <v>3</v>
      </c>
      <c r="AC140" s="156" t="n">
        <v>2</v>
      </c>
      <c r="AD140" s="156" t="n">
        <v>1</v>
      </c>
      <c r="AE140" s="156" t="n">
        <v>4</v>
      </c>
      <c r="AF140" s="156" t="n">
        <v>2</v>
      </c>
      <c r="AG140" s="163" t="inlineStr">
        <is>
          <t>Qualify first</t>
        </is>
      </c>
    </row>
    <row r="141" ht="75" customHeight="1" s="114">
      <c r="A141" s="156" t="n">
        <v>137</v>
      </c>
      <c r="B141" s="156" t="inlineStr">
        <is>
          <t>Date Medical Service Co., Ltd.</t>
        </is>
      </c>
      <c r="C141" s="156" t="inlineStr">
        <is>
          <t>株式会社ダテ・メディカルサービス</t>
        </is>
      </c>
      <c r="D141" s="156" t="inlineStr">
        <is>
          <t>Not found (NTA lookup blocked; dedupe by Japanese name)</t>
        </is>
      </c>
      <c r="E141" s="156" t="inlineStr">
        <is>
          <t>Kyoto</t>
        </is>
      </c>
      <c r="F141" s="156" t="inlineStr">
        <is>
          <t>Kansai</t>
        </is>
      </c>
      <c r="G141" s="156" t="inlineStr">
        <is>
          <t>Not found</t>
        </is>
      </c>
      <c r="H141" s="156" t="inlineStr">
        <is>
          <t>Human device sales licences; 動物用 licence not confirmed</t>
        </is>
      </c>
      <c r="I141" s="156" t="inlineStr">
        <is>
          <t>Human multi brand lines (ultrasound brands not confirmed)</t>
        </is>
      </c>
      <c r="J141" s="156" t="inlineStr">
        <is>
          <t>Companion</t>
        </is>
      </c>
      <c r="K141" s="156" t="inlineStr">
        <is>
          <t>Kyoto</t>
        </is>
      </c>
      <c r="L141" s="156" t="inlineStr">
        <is>
          <t>Not found</t>
        </is>
      </c>
      <c r="M141" s="156" t="inlineStr">
        <is>
          <t>n/a</t>
        </is>
      </c>
      <c r="N141" s="156" t="inlineStr">
        <is>
          <t>Not identified</t>
        </is>
      </c>
      <c r="O141" s="156" t="inlineStr">
        <is>
          <t>Not identified</t>
        </is>
      </c>
      <c r="P141" s="156" t="inlineStr">
        <is>
          <t>Not searched (search budget)</t>
        </is>
      </c>
      <c r="Q141" s="156" t="inlineStr">
        <is>
          <t>Not found (use site)</t>
        </is>
      </c>
      <c r="R141" s="156" t="inlineStr">
        <is>
          <t>Not identified</t>
        </is>
      </c>
      <c r="S141" s="156" t="inlineStr">
        <is>
          <t>Unverified</t>
        </is>
      </c>
      <c r="T141" s="158">
        <f>SUM(Z141:AF141)</f>
        <v>17</v>
      </c>
      <c r="U141" s="162" t="inlineStr">
        <is>
          <t>V4</t>
        </is>
      </c>
      <c r="V141" s="156" t="inlineStr">
        <is>
          <t>QUALIFY FIRST: animal hospital sales not confirmed in sources. Device sales to public and core hospitals.</t>
        </is>
      </c>
      <c r="W141" s="156" t="inlineStr">
        <is>
          <t>Open by asking whether they serve animal hospitals today; if yes, offer a vet line with no overlap to their human ultrasound brands.</t>
        </is>
      </c>
      <c r="X141" s="156" t="inlineStr">
        <is>
          <t>Not checked (human list not in v17)</t>
        </is>
      </c>
      <c r="Y141" s="156" t="inlineStr">
        <is>
          <t>https://baseconnect.in/companies/prefecture/63038c5a-e328-472b-b9cc-039738609ba7/category/b2358a1c-c4c6-46f4-a0b1-dee3a1b30a0b</t>
        </is>
      </c>
      <c r="Z141" s="156" t="n">
        <v>2</v>
      </c>
      <c r="AA141" s="156" t="n">
        <v>3</v>
      </c>
      <c r="AB141" s="156" t="n">
        <v>3</v>
      </c>
      <c r="AC141" s="156" t="n">
        <v>2</v>
      </c>
      <c r="AD141" s="156" t="n">
        <v>1</v>
      </c>
      <c r="AE141" s="156" t="n">
        <v>4</v>
      </c>
      <c r="AF141" s="156" t="n">
        <v>2</v>
      </c>
      <c r="AG141" s="163" t="inlineStr">
        <is>
          <t>Qualify first</t>
        </is>
      </c>
    </row>
    <row r="142" ht="75" customHeight="1" s="114">
      <c r="A142" s="156" t="n">
        <v>138</v>
      </c>
      <c r="B142" s="156" t="inlineStr">
        <is>
          <t>Fukuda Denshi Keiji Sales Co., Ltd.</t>
        </is>
      </c>
      <c r="C142" s="156" t="inlineStr">
        <is>
          <t>フクダ電子京滋販売株式会社</t>
        </is>
      </c>
      <c r="D142" s="156" t="inlineStr">
        <is>
          <t>Not found (NTA lookup blocked; dedupe by Japanese name)</t>
        </is>
      </c>
      <c r="E142" s="156" t="inlineStr">
        <is>
          <t>Kyoto</t>
        </is>
      </c>
      <c r="F142" s="156" t="inlineStr">
        <is>
          <t>Kansai</t>
        </is>
      </c>
      <c r="G142" s="156" t="inlineStr">
        <is>
          <t>Not found</t>
        </is>
      </c>
      <c r="H142" s="156" t="inlineStr">
        <is>
          <t>Human device sales licences; 動物用 licence not confirmed</t>
        </is>
      </c>
      <c r="I142" s="156" t="inlineStr">
        <is>
          <t>Human multi brand lines (ultrasound brands not confirmed)</t>
        </is>
      </c>
      <c r="J142" s="156" t="inlineStr">
        <is>
          <t>Companion</t>
        </is>
      </c>
      <c r="K142" s="156" t="inlineStr">
        <is>
          <t>Kyoto and Shiga</t>
        </is>
      </c>
      <c r="L142" s="156" t="inlineStr">
        <is>
          <t>Not found</t>
        </is>
      </c>
      <c r="M142" s="156" t="inlineStr">
        <is>
          <t>n/a</t>
        </is>
      </c>
      <c r="N142" s="156" t="inlineStr">
        <is>
          <t>Not identified</t>
        </is>
      </c>
      <c r="O142" s="156" t="inlineStr">
        <is>
          <t>Not identified</t>
        </is>
      </c>
      <c r="P142" s="156" t="inlineStr">
        <is>
          <t>Not searched (search budget)</t>
        </is>
      </c>
      <c r="Q142" s="156" t="inlineStr">
        <is>
          <t>Not found (use site)</t>
        </is>
      </c>
      <c r="R142" s="156" t="inlineStr">
        <is>
          <t>Not identified</t>
        </is>
      </c>
      <c r="S142" s="156" t="inlineStr">
        <is>
          <t>Unverified</t>
        </is>
      </c>
      <c r="T142" s="158">
        <f>SUM(Z142:AF142)</f>
        <v>17</v>
      </c>
      <c r="U142" s="162" t="inlineStr">
        <is>
          <t>V4</t>
        </is>
      </c>
      <c r="V142" s="156" t="inlineStr">
        <is>
          <t>QUALIFY FIRST: animal hospital sales not confirmed in sources. Fukuda Denshi sales company for testing and treatment devices.</t>
        </is>
      </c>
      <c r="W142" s="156" t="inlineStr">
        <is>
          <t>Open by asking whether they serve animal hospitals today; if yes, offer a vet line with no overlap to their human ultrasound brands.</t>
        </is>
      </c>
      <c r="X142" s="156" t="inlineStr">
        <is>
          <t>Not checked (human list not in v17)</t>
        </is>
      </c>
      <c r="Y142" s="156" t="inlineStr">
        <is>
          <t>https://baseconnect.in/companies/prefecture/63038c5a-e328-472b-b9cc-039738609ba7/category/b2358a1c-c4c6-46f4-a0b1-dee3a1b30a0b</t>
        </is>
      </c>
      <c r="Z142" s="156" t="n">
        <v>2</v>
      </c>
      <c r="AA142" s="156" t="n">
        <v>3</v>
      </c>
      <c r="AB142" s="156" t="n">
        <v>3</v>
      </c>
      <c r="AC142" s="156" t="n">
        <v>2</v>
      </c>
      <c r="AD142" s="156" t="n">
        <v>1</v>
      </c>
      <c r="AE142" s="156" t="n">
        <v>4</v>
      </c>
      <c r="AF142" s="156" t="n">
        <v>2</v>
      </c>
      <c r="AG142" s="163" t="inlineStr">
        <is>
          <t>Qualify first</t>
        </is>
      </c>
    </row>
    <row r="143" ht="75" customHeight="1" s="114">
      <c r="A143" s="156" t="n">
        <v>139</v>
      </c>
      <c r="B143" s="156" t="inlineStr">
        <is>
          <t>Hino Yakuhin Co., Ltd.</t>
        </is>
      </c>
      <c r="C143" s="156" t="inlineStr">
        <is>
          <t>日野薬品株式会社</t>
        </is>
      </c>
      <c r="D143" s="156" t="inlineStr">
        <is>
          <t>Not found (NTA lookup blocked; dedupe by Japanese name)</t>
        </is>
      </c>
      <c r="E143" s="156" t="inlineStr">
        <is>
          <t>Osaka</t>
        </is>
      </c>
      <c r="F143" s="156" t="inlineStr">
        <is>
          <t>Kansai</t>
        </is>
      </c>
      <c r="G143" s="156" t="inlineStr">
        <is>
          <t>Not found</t>
        </is>
      </c>
      <c r="H143" s="156" t="inlineStr">
        <is>
          <t>Human device sales licences; 動物用 licence not confirmed</t>
        </is>
      </c>
      <c r="I143" s="156" t="inlineStr">
        <is>
          <t>Human multi brand lines (ultrasound brands not confirmed)</t>
        </is>
      </c>
      <c r="J143" s="156" t="inlineStr">
        <is>
          <t>Companion</t>
        </is>
      </c>
      <c r="K143" s="156" t="inlineStr">
        <is>
          <t>Osaka</t>
        </is>
      </c>
      <c r="L143" s="156" t="inlineStr">
        <is>
          <t>Not found</t>
        </is>
      </c>
      <c r="M143" s="156" t="inlineStr">
        <is>
          <t>n/a</t>
        </is>
      </c>
      <c r="N143" s="156" t="inlineStr">
        <is>
          <t>Not identified</t>
        </is>
      </c>
      <c r="O143" s="156" t="inlineStr">
        <is>
          <t>Not identified</t>
        </is>
      </c>
      <c r="P143" s="156" t="inlineStr">
        <is>
          <t>Not searched (search budget)</t>
        </is>
      </c>
      <c r="Q143" s="156" t="inlineStr">
        <is>
          <t>Not found (use site)</t>
        </is>
      </c>
      <c r="R143" s="156" t="inlineStr">
        <is>
          <t>Not identified</t>
        </is>
      </c>
      <c r="S143" s="156" t="inlineStr">
        <is>
          <t>Unverified</t>
        </is>
      </c>
      <c r="T143" s="158">
        <f>SUM(Z143:AF143)</f>
        <v>17</v>
      </c>
      <c r="U143" s="162" t="inlineStr">
        <is>
          <t>V4</t>
        </is>
      </c>
      <c r="V143" s="156" t="inlineStr">
        <is>
          <t>QUALIFY FIRST: animal hospital sales not confirmed in sources. Osaka device trading company (Chuo ward).</t>
        </is>
      </c>
      <c r="W143" s="156" t="inlineStr">
        <is>
          <t>Open by asking whether they serve animal hospitals today; if yes, offer a vet line with no overlap to their human ultrasound brands.</t>
        </is>
      </c>
      <c r="X143" s="156" t="inlineStr">
        <is>
          <t>Not checked (human list not in v17)</t>
        </is>
      </c>
      <c r="Y143" s="156" t="inlineStr">
        <is>
          <t>https://www.navitime.co.jp/category/0516/27128/?tags=010190</t>
        </is>
      </c>
      <c r="Z143" s="156" t="n">
        <v>2</v>
      </c>
      <c r="AA143" s="156" t="n">
        <v>3</v>
      </c>
      <c r="AB143" s="156" t="n">
        <v>3</v>
      </c>
      <c r="AC143" s="156" t="n">
        <v>2</v>
      </c>
      <c r="AD143" s="156" t="n">
        <v>1</v>
      </c>
      <c r="AE143" s="156" t="n">
        <v>4</v>
      </c>
      <c r="AF143" s="156" t="n">
        <v>2</v>
      </c>
      <c r="AG143" s="163" t="inlineStr">
        <is>
          <t>Qualify first</t>
        </is>
      </c>
    </row>
    <row r="144" ht="75" customHeight="1" s="114">
      <c r="A144" s="156" t="n">
        <v>140</v>
      </c>
      <c r="B144" s="156" t="inlineStr">
        <is>
          <t>Hokushin Medical Co., Ltd.</t>
        </is>
      </c>
      <c r="C144" s="156" t="inlineStr">
        <is>
          <t>株式会社ホクシンメディカル</t>
        </is>
      </c>
      <c r="D144" s="156" t="inlineStr">
        <is>
          <t>Not found (NTA lookup blocked; dedupe by Japanese name)</t>
        </is>
      </c>
      <c r="E144" s="156" t="inlineStr">
        <is>
          <t>Hyogo</t>
        </is>
      </c>
      <c r="F144" s="156" t="inlineStr">
        <is>
          <t>Kansai</t>
        </is>
      </c>
      <c r="G144" s="156" t="inlineStr">
        <is>
          <t>Not found</t>
        </is>
      </c>
      <c r="H144" s="156" t="inlineStr">
        <is>
          <t>Human device sales licences; 動物用 licence not confirmed</t>
        </is>
      </c>
      <c r="I144" s="156" t="inlineStr">
        <is>
          <t>Human multi brand lines (ultrasound brands not confirmed)</t>
        </is>
      </c>
      <c r="J144" s="156" t="inlineStr">
        <is>
          <t>Companion</t>
        </is>
      </c>
      <c r="K144" s="156" t="inlineStr">
        <is>
          <t>Hyogo (Kobe Higashinada)</t>
        </is>
      </c>
      <c r="L144" s="156" t="inlineStr">
        <is>
          <t>Not found</t>
        </is>
      </c>
      <c r="M144" s="156" t="inlineStr">
        <is>
          <t>n/a</t>
        </is>
      </c>
      <c r="N144" s="156" t="inlineStr">
        <is>
          <t>Not identified</t>
        </is>
      </c>
      <c r="O144" s="156" t="inlineStr">
        <is>
          <t>Not identified</t>
        </is>
      </c>
      <c r="P144" s="156" t="inlineStr">
        <is>
          <t>Not searched (search budget)</t>
        </is>
      </c>
      <c r="Q144" s="156" t="inlineStr">
        <is>
          <t>Not found (use site)</t>
        </is>
      </c>
      <c r="R144" s="156" t="inlineStr">
        <is>
          <t>Not identified</t>
        </is>
      </c>
      <c r="S144" s="156" t="inlineStr">
        <is>
          <t>Unverified</t>
        </is>
      </c>
      <c r="T144" s="158">
        <f>SUM(Z144:AF144)</f>
        <v>17</v>
      </c>
      <c r="U144" s="162" t="inlineStr">
        <is>
          <t>V4</t>
        </is>
      </c>
      <c r="V144" s="156" t="inlineStr">
        <is>
          <t>QUALIFY FIRST: animal hospital sales not confirmed in sources. Kobe device and supplies wholesaler.</t>
        </is>
      </c>
      <c r="W144" s="156" t="inlineStr">
        <is>
          <t>Open by asking whether they serve animal hospitals today; if yes, offer a vet line with no overlap to their human ultrasound brands.</t>
        </is>
      </c>
      <c r="X144" s="156" t="inlineStr">
        <is>
          <t>Not checked (human list not in v17)</t>
        </is>
      </c>
      <c r="Y144" s="156" t="inlineStr">
        <is>
          <t>https://www.nikkei.com/compass/search/Y2F0ZWdvcnk9Y29tcGFueSZyZWdpb249MjgmaW5kdXN0cnlTPTA1MzI ; https://houjin.goo.to/corporations/prefs/hyogo/category-s-medical-equipment-and-instrument-trading-companies</t>
        </is>
      </c>
      <c r="Z144" s="156" t="n">
        <v>2</v>
      </c>
      <c r="AA144" s="156" t="n">
        <v>3</v>
      </c>
      <c r="AB144" s="156" t="n">
        <v>3</v>
      </c>
      <c r="AC144" s="156" t="n">
        <v>2</v>
      </c>
      <c r="AD144" s="156" t="n">
        <v>1</v>
      </c>
      <c r="AE144" s="156" t="n">
        <v>4</v>
      </c>
      <c r="AF144" s="156" t="n">
        <v>2</v>
      </c>
      <c r="AG144" s="163" t="inlineStr">
        <is>
          <t>Qualify first</t>
        </is>
      </c>
    </row>
    <row r="145" ht="75" customHeight="1" s="114">
      <c r="A145" s="156" t="n">
        <v>141</v>
      </c>
      <c r="B145" s="156" t="inlineStr">
        <is>
          <t>Ishitsubo Co., Ltd.</t>
        </is>
      </c>
      <c r="C145" s="156" t="inlineStr">
        <is>
          <t>株式会社石坪</t>
        </is>
      </c>
      <c r="D145" s="156" t="inlineStr">
        <is>
          <t>Not found (NTA lookup blocked; dedupe by Japanese name)</t>
        </is>
      </c>
      <c r="E145" s="156" t="inlineStr">
        <is>
          <t>Kyoto</t>
        </is>
      </c>
      <c r="F145" s="156" t="inlineStr">
        <is>
          <t>Kansai</t>
        </is>
      </c>
      <c r="G145" s="156" t="inlineStr">
        <is>
          <t>Not found</t>
        </is>
      </c>
      <c r="H145" s="156" t="inlineStr">
        <is>
          <t>Human device sales licences; 動物用 licence not confirmed</t>
        </is>
      </c>
      <c r="I145" s="156" t="inlineStr">
        <is>
          <t>Human multi brand lines (ultrasound brands not confirmed)</t>
        </is>
      </c>
      <c r="J145" s="156" t="inlineStr">
        <is>
          <t>Companion</t>
        </is>
      </c>
      <c r="K145" s="156" t="inlineStr">
        <is>
          <t>North Kyoto (Fukuchiyama)</t>
        </is>
      </c>
      <c r="L145" s="156" t="inlineStr">
        <is>
          <t>Not found</t>
        </is>
      </c>
      <c r="M145" s="156" t="inlineStr">
        <is>
          <t>n/a</t>
        </is>
      </c>
      <c r="N145" s="156" t="inlineStr">
        <is>
          <t>Not identified</t>
        </is>
      </c>
      <c r="O145" s="156" t="inlineStr">
        <is>
          <t>Not identified</t>
        </is>
      </c>
      <c r="P145" s="156" t="inlineStr">
        <is>
          <t>shi.takenaka@ishitsubo.co.jp</t>
        </is>
      </c>
      <c r="Q145" s="156" t="inlineStr">
        <is>
          <t>Not found (use site)</t>
        </is>
      </c>
      <c r="R145" s="156" t="inlineStr">
        <is>
          <t>Not identified</t>
        </is>
      </c>
      <c r="S145" s="156" t="inlineStr">
        <is>
          <t>Likely (third party listing); named staff address (Takenaka)</t>
        </is>
      </c>
      <c r="T145" s="158">
        <f>SUM(Z145:AF145)</f>
        <v>17</v>
      </c>
      <c r="U145" s="162" t="inlineStr">
        <is>
          <t>V4</t>
        </is>
      </c>
      <c r="V145" s="156" t="inlineStr">
        <is>
          <t>QUALIFY FIRST: animal hospital sales not confirmed in sources. Device sales, maintenance and clinic opening support in north Kyoto.</t>
        </is>
      </c>
      <c r="W145" s="156" t="inlineStr">
        <is>
          <t>Open by asking whether they serve animal hospitals today; if yes, offer a vet line with no overlap to their human ultrasound brands.</t>
        </is>
      </c>
      <c r="X145" s="156" t="inlineStr">
        <is>
          <t>Not checked (human list not in v17)</t>
        </is>
      </c>
      <c r="Y145" s="156" t="inlineStr">
        <is>
          <t>https://baseconnect.in/companies/prefecture/63038c5a-e328-472b-b9cc-039738609ba7/category/b2358a1c-c4c6-46f4-a0b1-dee3a1b30a0b ; http://www.mia-kyoto.gr.jp/members/ishitsubo.html</t>
        </is>
      </c>
      <c r="Z145" s="156" t="n">
        <v>2</v>
      </c>
      <c r="AA145" s="156" t="n">
        <v>3</v>
      </c>
      <c r="AB145" s="156" t="n">
        <v>3</v>
      </c>
      <c r="AC145" s="156" t="n">
        <v>2</v>
      </c>
      <c r="AD145" s="156" t="n">
        <v>1</v>
      </c>
      <c r="AE145" s="156" t="n">
        <v>4</v>
      </c>
      <c r="AF145" s="156" t="n">
        <v>2</v>
      </c>
      <c r="AG145" s="163" t="inlineStr">
        <is>
          <t>Qualify first</t>
        </is>
      </c>
    </row>
    <row r="146" ht="75" customHeight="1" s="114">
      <c r="A146" s="156" t="n">
        <v>142</v>
      </c>
      <c r="B146" s="156" t="inlineStr">
        <is>
          <t>Kanyaku Co., Ltd.</t>
        </is>
      </c>
      <c r="C146" s="156" t="inlineStr">
        <is>
          <t>株式会社関薬</t>
        </is>
      </c>
      <c r="D146" s="156" t="inlineStr">
        <is>
          <t>Not found (NTA lookup blocked; dedupe by Japanese name)</t>
        </is>
      </c>
      <c r="E146" s="156" t="inlineStr">
        <is>
          <t>Osaka</t>
        </is>
      </c>
      <c r="F146" s="156" t="inlineStr">
        <is>
          <t>Kansai</t>
        </is>
      </c>
      <c r="G146" s="156" t="inlineStr">
        <is>
          <t>Not found</t>
        </is>
      </c>
      <c r="H146" s="156" t="inlineStr">
        <is>
          <t>Human device sales licences; 動物用 licence not confirmed</t>
        </is>
      </c>
      <c r="I146" s="156" t="inlineStr">
        <is>
          <t>Human multi brand lines (ultrasound brands not confirmed)</t>
        </is>
      </c>
      <c r="J146" s="156" t="inlineStr">
        <is>
          <t>Companion</t>
        </is>
      </c>
      <c r="K146" s="156" t="inlineStr">
        <is>
          <t>Osaka</t>
        </is>
      </c>
      <c r="L146" s="156" t="inlineStr">
        <is>
          <t>Not found</t>
        </is>
      </c>
      <c r="M146" s="156" t="inlineStr">
        <is>
          <t>n/a</t>
        </is>
      </c>
      <c r="N146" s="156" t="inlineStr">
        <is>
          <t>Not identified</t>
        </is>
      </c>
      <c r="O146" s="156" t="inlineStr">
        <is>
          <t>Not identified</t>
        </is>
      </c>
      <c r="P146" s="156" t="inlineStr">
        <is>
          <t>Not searched (search budget)</t>
        </is>
      </c>
      <c r="Q146" s="156" t="inlineStr">
        <is>
          <t>Not found (use site)</t>
        </is>
      </c>
      <c r="R146" s="156" t="inlineStr">
        <is>
          <t>Not identified</t>
        </is>
      </c>
      <c r="S146" s="156" t="inlineStr">
        <is>
          <t>Unverified</t>
        </is>
      </c>
      <c r="T146" s="158">
        <f>SUM(Z146:AF146)</f>
        <v>17</v>
      </c>
      <c r="U146" s="162" t="inlineStr">
        <is>
          <t>V4</t>
        </is>
      </c>
      <c r="V146" s="156" t="inlineStr">
        <is>
          <t>QUALIFY FIRST: animal hospital sales not confirmed in sources. Lab reagent and device wholesaler to hospitals and research.</t>
        </is>
      </c>
      <c r="W146" s="156" t="inlineStr">
        <is>
          <t>Open by asking whether they serve animal hospitals today; if yes, offer a vet line with no overlap to their human ultrasound brands.</t>
        </is>
      </c>
      <c r="X146" s="156" t="inlineStr">
        <is>
          <t>Not checked (human list not in v17)</t>
        </is>
      </c>
      <c r="Y146" s="156" t="inlineStr">
        <is>
          <t>https://baseconnect.in/companies/prefecture/d80b180e-5fd9-4082-8cdc-a510179a3475/keyword/89941b4e-2dd1-4848-8957-48af280a31e0</t>
        </is>
      </c>
      <c r="Z146" s="156" t="n">
        <v>2</v>
      </c>
      <c r="AA146" s="156" t="n">
        <v>3</v>
      </c>
      <c r="AB146" s="156" t="n">
        <v>3</v>
      </c>
      <c r="AC146" s="156" t="n">
        <v>2</v>
      </c>
      <c r="AD146" s="156" t="n">
        <v>1</v>
      </c>
      <c r="AE146" s="156" t="n">
        <v>4</v>
      </c>
      <c r="AF146" s="156" t="n">
        <v>2</v>
      </c>
      <c r="AG146" s="163" t="inlineStr">
        <is>
          <t>Qualify first</t>
        </is>
      </c>
    </row>
    <row r="147" ht="75" customHeight="1" s="114">
      <c r="A147" s="156" t="n">
        <v>143</v>
      </c>
      <c r="B147" s="156" t="inlineStr">
        <is>
          <t>Ki Medical</t>
        </is>
      </c>
      <c r="C147" s="156" t="inlineStr">
        <is>
          <t>キ・メディカル (京都医療機器協会会員)</t>
        </is>
      </c>
      <c r="D147" s="156" t="inlineStr">
        <is>
          <t>Not found (NTA lookup blocked; dedupe by Japanese name)</t>
        </is>
      </c>
      <c r="E147" s="156" t="inlineStr">
        <is>
          <t>Kyoto</t>
        </is>
      </c>
      <c r="F147" s="156" t="inlineStr">
        <is>
          <t>Kansai</t>
        </is>
      </c>
      <c r="G147" s="157" t="inlineStr">
        <is>
          <t>https://kimedical-kyoto.com/</t>
        </is>
      </c>
      <c r="H147" s="156" t="inlineStr">
        <is>
          <t>Human device sales licences; 動物用 licence not confirmed</t>
        </is>
      </c>
      <c r="I147" s="156" t="inlineStr">
        <is>
          <t>Human multi brand lines (ultrasound brands not confirmed)</t>
        </is>
      </c>
      <c r="J147" s="156" t="inlineStr">
        <is>
          <t>Companion</t>
        </is>
      </c>
      <c r="K147" s="156" t="inlineStr">
        <is>
          <t>Kyoto</t>
        </is>
      </c>
      <c r="L147" s="156" t="inlineStr">
        <is>
          <t>Not found</t>
        </is>
      </c>
      <c r="M147" s="156" t="inlineStr">
        <is>
          <t>n/a</t>
        </is>
      </c>
      <c r="N147" s="156" t="inlineStr">
        <is>
          <t>Not identified</t>
        </is>
      </c>
      <c r="O147" s="156" t="inlineStr">
        <is>
          <t>Not identified</t>
        </is>
      </c>
      <c r="P147" s="156" t="inlineStr">
        <is>
          <t>Not published; phone only</t>
        </is>
      </c>
      <c r="Q147" s="156" t="inlineStr">
        <is>
          <t>075 441 6677</t>
        </is>
      </c>
      <c r="R147" s="156" t="inlineStr">
        <is>
          <t>Not identified</t>
        </is>
      </c>
      <c r="S147" s="156" t="inlineStr">
        <is>
          <t>Company inquiry only (phone); FLAG likely 株式会社ケーアイメディカル (association lists no email)</t>
        </is>
      </c>
      <c r="T147" s="158">
        <f>SUM(Z147:AF147)</f>
        <v>17</v>
      </c>
      <c r="U147" s="162" t="inlineStr">
        <is>
          <t>V4</t>
        </is>
      </c>
      <c r="V147" s="156" t="inlineStr">
        <is>
          <t>QUALIFY FIRST: animal hospital sales not confirmed in sources. Member of the Kyoto Medical Instruments Association. FLAG: Exact legal name not confirmed.</t>
        </is>
      </c>
      <c r="W147" s="156" t="inlineStr">
        <is>
          <t>Open by asking whether they serve animal hospitals today; if yes, offer a vet line with no overlap to their human ultrasound brands.</t>
        </is>
      </c>
      <c r="X147" s="156" t="inlineStr">
        <is>
          <t>Not checked (human list not in v17)</t>
        </is>
      </c>
      <c r="Y147" s="156" t="inlineStr">
        <is>
          <t>http://www.mia-kyoto.gr.jp/members/kimedical.html</t>
        </is>
      </c>
      <c r="Z147" s="156" t="n">
        <v>2</v>
      </c>
      <c r="AA147" s="156" t="n">
        <v>3</v>
      </c>
      <c r="AB147" s="156" t="n">
        <v>3</v>
      </c>
      <c r="AC147" s="156" t="n">
        <v>2</v>
      </c>
      <c r="AD147" s="156" t="n">
        <v>1</v>
      </c>
      <c r="AE147" s="156" t="n">
        <v>4</v>
      </c>
      <c r="AF147" s="156" t="n">
        <v>2</v>
      </c>
      <c r="AG147" s="163" t="inlineStr">
        <is>
          <t>Qualify first</t>
        </is>
      </c>
    </row>
    <row r="148" ht="75" customHeight="1" s="114">
      <c r="A148" s="156" t="n">
        <v>144</v>
      </c>
      <c r="B148" s="156" t="inlineStr">
        <is>
          <t>Kobe Soken Co., Ltd.</t>
        </is>
      </c>
      <c r="C148" s="156" t="inlineStr">
        <is>
          <t>株式会社神戸創健</t>
        </is>
      </c>
      <c r="D148" s="156" t="inlineStr">
        <is>
          <t>Not found (NTA lookup blocked; dedupe by Japanese name)</t>
        </is>
      </c>
      <c r="E148" s="156" t="inlineStr">
        <is>
          <t>Hyogo</t>
        </is>
      </c>
      <c r="F148" s="156" t="inlineStr">
        <is>
          <t>Kansai</t>
        </is>
      </c>
      <c r="G148" s="156" t="inlineStr">
        <is>
          <t>Not found</t>
        </is>
      </c>
      <c r="H148" s="156" t="inlineStr">
        <is>
          <t>Human device sales licences; 動物用 licence not confirmed</t>
        </is>
      </c>
      <c r="I148" s="156" t="inlineStr">
        <is>
          <t>Human multi brand lines (ultrasound brands not confirmed)</t>
        </is>
      </c>
      <c r="J148" s="156" t="inlineStr">
        <is>
          <t>Companion</t>
        </is>
      </c>
      <c r="K148" s="156" t="inlineStr">
        <is>
          <t>Ashiya and Kobe</t>
        </is>
      </c>
      <c r="L148" s="156" t="inlineStr">
        <is>
          <t>Not found</t>
        </is>
      </c>
      <c r="M148" s="156" t="inlineStr">
        <is>
          <t>n/a</t>
        </is>
      </c>
      <c r="N148" s="156" t="inlineStr">
        <is>
          <t>Not identified</t>
        </is>
      </c>
      <c r="O148" s="156" t="inlineStr">
        <is>
          <t>Not identified</t>
        </is>
      </c>
      <c r="P148" s="156" t="inlineStr">
        <is>
          <t>Not searched (search budget)</t>
        </is>
      </c>
      <c r="Q148" s="156" t="inlineStr">
        <is>
          <t>Not found (use site)</t>
        </is>
      </c>
      <c r="R148" s="156" t="inlineStr">
        <is>
          <t>Not identified</t>
        </is>
      </c>
      <c r="S148" s="156" t="inlineStr">
        <is>
          <t>Unverified</t>
        </is>
      </c>
      <c r="T148" s="158">
        <f>SUM(Z148:AF148)</f>
        <v>17</v>
      </c>
      <c r="U148" s="162" t="inlineStr">
        <is>
          <t>V4</t>
        </is>
      </c>
      <c r="V148" s="156" t="inlineStr">
        <is>
          <t>QUALIFY FIRST: animal hospital sales not confirmed in sources. Hyogo device trading company.</t>
        </is>
      </c>
      <c r="W148" s="156" t="inlineStr">
        <is>
          <t>Open by asking whether they serve animal hospitals today; if yes, offer a vet line with no overlap to their human ultrasound brands.</t>
        </is>
      </c>
      <c r="X148" s="156" t="inlineStr">
        <is>
          <t>Not checked (human list not in v17)</t>
        </is>
      </c>
      <c r="Y148" s="156" t="inlineStr">
        <is>
          <t>https://houjin.goo.to/corporations/prefs/hyogo/category-s-medical-equipment-and-instrument-trading-companies</t>
        </is>
      </c>
      <c r="Z148" s="156" t="n">
        <v>2</v>
      </c>
      <c r="AA148" s="156" t="n">
        <v>3</v>
      </c>
      <c r="AB148" s="156" t="n">
        <v>3</v>
      </c>
      <c r="AC148" s="156" t="n">
        <v>2</v>
      </c>
      <c r="AD148" s="156" t="n">
        <v>1</v>
      </c>
      <c r="AE148" s="156" t="n">
        <v>4</v>
      </c>
      <c r="AF148" s="156" t="n">
        <v>2</v>
      </c>
      <c r="AG148" s="163" t="inlineStr">
        <is>
          <t>Qualify first</t>
        </is>
      </c>
    </row>
    <row r="149" ht="75" customHeight="1" s="114">
      <c r="A149" s="156" t="n">
        <v>145</v>
      </c>
      <c r="B149" s="156" t="inlineStr">
        <is>
          <t>Konishi Iryoki Co., Ltd.</t>
        </is>
      </c>
      <c r="C149" s="156" t="inlineStr">
        <is>
          <t>小西医療器株式会社</t>
        </is>
      </c>
      <c r="D149" s="156" t="inlineStr">
        <is>
          <t>Not found (NTA lookup blocked; dedupe by Japanese name)</t>
        </is>
      </c>
      <c r="E149" s="156" t="inlineStr">
        <is>
          <t>Osaka</t>
        </is>
      </c>
      <c r="F149" s="156" t="inlineStr">
        <is>
          <t>Kansai</t>
        </is>
      </c>
      <c r="G149" s="157" t="inlineStr">
        <is>
          <t>https://www.kns-md.co.jp/</t>
        </is>
      </c>
      <c r="H149" s="156" t="inlineStr">
        <is>
          <t>Human device sales licences; 動物用 licence not confirmed</t>
        </is>
      </c>
      <c r="I149" s="156" t="inlineStr">
        <is>
          <t>Human multi brand lines (ultrasound brands not confirmed)</t>
        </is>
      </c>
      <c r="J149" s="156" t="inlineStr">
        <is>
          <t>Companion</t>
        </is>
      </c>
      <c r="K149" s="156" t="inlineStr">
        <is>
          <t>Osaka and Kansai</t>
        </is>
      </c>
      <c r="L149" s="156" t="inlineStr">
        <is>
          <t>Not found</t>
        </is>
      </c>
      <c r="M149" s="156" t="inlineStr">
        <is>
          <t>n/a</t>
        </is>
      </c>
      <c r="N149" s="156" t="inlineStr">
        <is>
          <t>Not identified</t>
        </is>
      </c>
      <c r="O149" s="156" t="inlineStr">
        <is>
          <t>Not identified</t>
        </is>
      </c>
      <c r="P149" s="156" t="inlineStr">
        <is>
          <t>Not published; inquiry form: https://www.kns-md.co.jp/contact/</t>
        </is>
      </c>
      <c r="Q149" s="156" t="inlineStr">
        <is>
          <t>06 6941 1363</t>
        </is>
      </c>
      <c r="R149" s="156" t="inlineStr">
        <is>
          <t>Not identified</t>
        </is>
      </c>
      <c r="S149" s="156" t="inlineStr">
        <is>
          <t>Company inquiry only (form)</t>
        </is>
      </c>
      <c r="T149" s="158">
        <f>SUM(Z149:AF149)</f>
        <v>17</v>
      </c>
      <c r="U149" s="162" t="inlineStr">
        <is>
          <t>V4</t>
        </is>
      </c>
      <c r="V149" s="156" t="inlineStr">
        <is>
          <t>QUALIFY FIRST: animal hospital sales not confirmed in sources. Osaka device trading house of nearly 80 years serving public and university hospitals.</t>
        </is>
      </c>
      <c r="W149" s="156" t="inlineStr">
        <is>
          <t>Open by asking whether they serve animal hospitals today; if yes, offer a vet line with no overlap to their human ultrasound brands.</t>
        </is>
      </c>
      <c r="X149" s="156" t="inlineStr">
        <is>
          <t>Not checked (human list not in v17)</t>
        </is>
      </c>
      <c r="Y149" s="156" t="inlineStr">
        <is>
          <t>https://www.kns-md.co.jp/ ; https://www.kns-md.co.jp/contact/</t>
        </is>
      </c>
      <c r="Z149" s="156" t="n">
        <v>2</v>
      </c>
      <c r="AA149" s="156" t="n">
        <v>3</v>
      </c>
      <c r="AB149" s="156" t="n">
        <v>3</v>
      </c>
      <c r="AC149" s="156" t="n">
        <v>2</v>
      </c>
      <c r="AD149" s="156" t="n">
        <v>1</v>
      </c>
      <c r="AE149" s="156" t="n">
        <v>4</v>
      </c>
      <c r="AF149" s="156" t="n">
        <v>2</v>
      </c>
      <c r="AG149" s="163" t="inlineStr">
        <is>
          <t>Qualify first</t>
        </is>
      </c>
    </row>
    <row r="150" ht="75" customHeight="1" s="114">
      <c r="A150" s="156" t="n">
        <v>146</v>
      </c>
      <c r="B150" s="156" t="inlineStr">
        <is>
          <t>Koshin International Co., Ltd.</t>
        </is>
      </c>
      <c r="C150" s="156" t="inlineStr">
        <is>
          <t>コーシンインターナショナル株式会社</t>
        </is>
      </c>
      <c r="D150" s="156" t="inlineStr">
        <is>
          <t>Not found (NTA lookup blocked; dedupe by Japanese name)</t>
        </is>
      </c>
      <c r="E150" s="156" t="inlineStr">
        <is>
          <t>Hyogo</t>
        </is>
      </c>
      <c r="F150" s="156" t="inlineStr">
        <is>
          <t>Kansai</t>
        </is>
      </c>
      <c r="G150" s="156" t="inlineStr">
        <is>
          <t>Not found</t>
        </is>
      </c>
      <c r="H150" s="156" t="inlineStr">
        <is>
          <t>Human device sales licences; 動物用 licence not confirmed</t>
        </is>
      </c>
      <c r="I150" s="156" t="inlineStr">
        <is>
          <t>Human multi brand lines (ultrasound brands not confirmed)</t>
        </is>
      </c>
      <c r="J150" s="156" t="inlineStr">
        <is>
          <t>Companion</t>
        </is>
      </c>
      <c r="K150" s="156" t="inlineStr">
        <is>
          <t>Hyogo</t>
        </is>
      </c>
      <c r="L150" s="156" t="inlineStr">
        <is>
          <t>Not found</t>
        </is>
      </c>
      <c r="M150" s="156" t="inlineStr">
        <is>
          <t>n/a</t>
        </is>
      </c>
      <c r="N150" s="156" t="inlineStr">
        <is>
          <t>Not identified</t>
        </is>
      </c>
      <c r="O150" s="156" t="inlineStr">
        <is>
          <t>Not identified</t>
        </is>
      </c>
      <c r="P150" s="156" t="inlineStr">
        <is>
          <t>Not searched (search budget)</t>
        </is>
      </c>
      <c r="Q150" s="156" t="inlineStr">
        <is>
          <t>Not found (use site)</t>
        </is>
      </c>
      <c r="R150" s="156" t="inlineStr">
        <is>
          <t>Not identified</t>
        </is>
      </c>
      <c r="S150" s="156" t="inlineStr">
        <is>
          <t>Unverified</t>
        </is>
      </c>
      <c r="T150" s="158">
        <f>SUM(Z150:AF150)</f>
        <v>17</v>
      </c>
      <c r="U150" s="162" t="inlineStr">
        <is>
          <t>V4</t>
        </is>
      </c>
      <c r="V150" s="156" t="inlineStr">
        <is>
          <t>QUALIFY FIRST: animal hospital sales not confirmed in sources. Hyogo device trading company. FLAG: HQ prefecture inferred from Hyogo listing.</t>
        </is>
      </c>
      <c r="W150" s="156" t="inlineStr">
        <is>
          <t>Open by asking whether they serve animal hospitals today; if yes, offer a vet line with no overlap to their human ultrasound brands.</t>
        </is>
      </c>
      <c r="X150" s="156" t="inlineStr">
        <is>
          <t>Not checked (human list not in v17)</t>
        </is>
      </c>
      <c r="Y150" s="156" t="inlineStr">
        <is>
          <t>https://houjin.goo.to/corporations/prefs/hyogo/category-s-medical-equipment-and-instrument-trading-companies</t>
        </is>
      </c>
      <c r="Z150" s="156" t="n">
        <v>2</v>
      </c>
      <c r="AA150" s="156" t="n">
        <v>3</v>
      </c>
      <c r="AB150" s="156" t="n">
        <v>3</v>
      </c>
      <c r="AC150" s="156" t="n">
        <v>2</v>
      </c>
      <c r="AD150" s="156" t="n">
        <v>1</v>
      </c>
      <c r="AE150" s="156" t="n">
        <v>4</v>
      </c>
      <c r="AF150" s="156" t="n">
        <v>2</v>
      </c>
      <c r="AG150" s="163" t="inlineStr">
        <is>
          <t>Qualify first</t>
        </is>
      </c>
    </row>
    <row r="151" ht="75" customHeight="1" s="114">
      <c r="A151" s="156" t="n">
        <v>147</v>
      </c>
      <c r="B151" s="156" t="inlineStr">
        <is>
          <t>Masuda Ika Kikai Co., Ltd.</t>
        </is>
      </c>
      <c r="C151" s="156" t="inlineStr">
        <is>
          <t>株式会社増田医科器械</t>
        </is>
      </c>
      <c r="D151" s="156" t="inlineStr">
        <is>
          <t>Not found (NTA lookup blocked; dedupe by Japanese name)</t>
        </is>
      </c>
      <c r="E151" s="156" t="inlineStr">
        <is>
          <t>Kyoto</t>
        </is>
      </c>
      <c r="F151" s="156" t="inlineStr">
        <is>
          <t>Kansai</t>
        </is>
      </c>
      <c r="G151" s="157" t="inlineStr">
        <is>
          <t>https://www.masudaika.co.jp</t>
        </is>
      </c>
      <c r="H151" s="156" t="inlineStr">
        <is>
          <t>Human device sales licences; 動物用 licence not confirmed</t>
        </is>
      </c>
      <c r="I151" s="156" t="inlineStr">
        <is>
          <t>Human multi brand lines (ultrasound brands not confirmed)</t>
        </is>
      </c>
      <c r="J151" s="156" t="inlineStr">
        <is>
          <t>Companion</t>
        </is>
      </c>
      <c r="K151" s="156" t="inlineStr">
        <is>
          <t>Kyoto, Shiga, Fukui, Osaka, Nara, Hyogo</t>
        </is>
      </c>
      <c r="L151" s="156" t="inlineStr">
        <is>
          <t>Not found</t>
        </is>
      </c>
      <c r="M151" s="156" t="inlineStr">
        <is>
          <t>n/a</t>
        </is>
      </c>
      <c r="N151" s="156" t="inlineStr">
        <is>
          <t>Not identified</t>
        </is>
      </c>
      <c r="O151" s="156" t="inlineStr">
        <is>
          <t>Not identified</t>
        </is>
      </c>
      <c r="P151" s="156" t="inlineStr">
        <is>
          <t>info@masudaika.co.jp</t>
        </is>
      </c>
      <c r="Q151" s="156" t="inlineStr">
        <is>
          <t>075 623 7111</t>
        </is>
      </c>
      <c r="R151" s="156" t="inlineStr">
        <is>
          <t>Not identified</t>
        </is>
      </c>
      <c r="S151" s="156" t="inlineStr">
        <is>
          <t>Likely (third party listing)</t>
        </is>
      </c>
      <c r="T151" s="158">
        <f>SUM(Z151:AF151)</f>
        <v>17</v>
      </c>
      <c r="U151" s="162" t="inlineStr">
        <is>
          <t>V4</t>
        </is>
      </c>
      <c r="V151" s="156" t="inlineStr">
        <is>
          <t>QUALIFY FIRST: animal hospital sales not confirmed in sources. Kyoto device and laboratory equipment dealer.</t>
        </is>
      </c>
      <c r="W151" s="156" t="inlineStr">
        <is>
          <t>Open by asking whether they serve animal hospitals today; if yes, offer a vet line with no overlap to their human ultrasound brands.</t>
        </is>
      </c>
      <c r="X151" s="156" t="inlineStr">
        <is>
          <t>Not checked (human list not in v17)</t>
        </is>
      </c>
      <c r="Y151" s="156" t="inlineStr">
        <is>
          <t>https://www.masudaika.co.jp/aboutus/ ; https://sia-japan.com/company_list/690/</t>
        </is>
      </c>
      <c r="Z151" s="156" t="n">
        <v>2</v>
      </c>
      <c r="AA151" s="156" t="n">
        <v>3</v>
      </c>
      <c r="AB151" s="156" t="n">
        <v>3</v>
      </c>
      <c r="AC151" s="156" t="n">
        <v>2</v>
      </c>
      <c r="AD151" s="156" t="n">
        <v>1</v>
      </c>
      <c r="AE151" s="156" t="n">
        <v>4</v>
      </c>
      <c r="AF151" s="156" t="n">
        <v>2</v>
      </c>
      <c r="AG151" s="163" t="inlineStr">
        <is>
          <t>Qualify first</t>
        </is>
      </c>
    </row>
    <row r="152" ht="75" customHeight="1" s="114">
      <c r="A152" s="156" t="n">
        <v>148</v>
      </c>
      <c r="B152" s="156" t="inlineStr">
        <is>
          <t>Medicon Co., Ltd.</t>
        </is>
      </c>
      <c r="C152" s="156" t="inlineStr">
        <is>
          <t>株式会社メディコン</t>
        </is>
      </c>
      <c r="D152" s="156" t="inlineStr">
        <is>
          <t>Not found (NTA lookup blocked; dedupe by Japanese name)</t>
        </is>
      </c>
      <c r="E152" s="156" t="inlineStr">
        <is>
          <t>Osaka</t>
        </is>
      </c>
      <c r="F152" s="156" t="inlineStr">
        <is>
          <t>Kansai</t>
        </is>
      </c>
      <c r="G152" s="156" t="inlineStr">
        <is>
          <t>Not found</t>
        </is>
      </c>
      <c r="H152" s="156" t="inlineStr">
        <is>
          <t>Human device sales licences; 動物用 licence not confirmed</t>
        </is>
      </c>
      <c r="I152" s="156" t="inlineStr">
        <is>
          <t>Human multi brand lines (ultrasound brands not confirmed)</t>
        </is>
      </c>
      <c r="J152" s="156" t="inlineStr">
        <is>
          <t>Companion</t>
        </is>
      </c>
      <c r="K152" s="156" t="inlineStr">
        <is>
          <t>Osaka</t>
        </is>
      </c>
      <c r="L152" s="156" t="inlineStr">
        <is>
          <t>Not found</t>
        </is>
      </c>
      <c r="M152" s="156" t="inlineStr">
        <is>
          <t>n/a</t>
        </is>
      </c>
      <c r="N152" s="156" t="inlineStr">
        <is>
          <t>Not identified</t>
        </is>
      </c>
      <c r="O152" s="156" t="inlineStr">
        <is>
          <t>Not identified</t>
        </is>
      </c>
      <c r="P152" s="156" t="inlineStr">
        <is>
          <t>Not searched (search budget)</t>
        </is>
      </c>
      <c r="Q152" s="156" t="inlineStr">
        <is>
          <t>Not found (use site)</t>
        </is>
      </c>
      <c r="R152" s="156" t="inlineStr">
        <is>
          <t>Not identified</t>
        </is>
      </c>
      <c r="S152" s="156" t="inlineStr">
        <is>
          <t>Unverified</t>
        </is>
      </c>
      <c r="T152" s="158">
        <f>SUM(Z152:AF152)</f>
        <v>17</v>
      </c>
      <c r="U152" s="162" t="inlineStr">
        <is>
          <t>V4</t>
        </is>
      </c>
      <c r="V152" s="156" t="inlineStr">
        <is>
          <t>QUALIFY FIRST: animal hospital sales not confirmed in sources. Osaka device and supplies wholesaler.</t>
        </is>
      </c>
      <c r="W152" s="156" t="inlineStr">
        <is>
          <t>Open by asking whether they serve animal hospitals today; if yes, offer a vet line with no overlap to their human ultrasound brands.</t>
        </is>
      </c>
      <c r="X152" s="156" t="inlineStr">
        <is>
          <t>Not checked (human list not in v17)</t>
        </is>
      </c>
      <c r="Y152" s="156" t="inlineStr">
        <is>
          <t>https://www.nikkei.com/compass/search/Y2F0ZWdvcnk9Y29tcGFueSZyZWdpb249MjcmaW5kdXN0cnlTPTA1MzI</t>
        </is>
      </c>
      <c r="Z152" s="156" t="n">
        <v>2</v>
      </c>
      <c r="AA152" s="156" t="n">
        <v>3</v>
      </c>
      <c r="AB152" s="156" t="n">
        <v>3</v>
      </c>
      <c r="AC152" s="156" t="n">
        <v>2</v>
      </c>
      <c r="AD152" s="156" t="n">
        <v>1</v>
      </c>
      <c r="AE152" s="156" t="n">
        <v>4</v>
      </c>
      <c r="AF152" s="156" t="n">
        <v>2</v>
      </c>
      <c r="AG152" s="163" t="inlineStr">
        <is>
          <t>Qualify first</t>
        </is>
      </c>
    </row>
    <row r="153" ht="75" customHeight="1" s="114">
      <c r="A153" s="156" t="n">
        <v>149</v>
      </c>
      <c r="B153" s="156" t="inlineStr">
        <is>
          <t>Minato Medical Science Co., Ltd.</t>
        </is>
      </c>
      <c r="C153" s="156" t="inlineStr">
        <is>
          <t>ミナト医科学株式会社</t>
        </is>
      </c>
      <c r="D153" s="156" t="inlineStr">
        <is>
          <t>Not found (NTA lookup blocked; dedupe by Japanese name)</t>
        </is>
      </c>
      <c r="E153" s="156" t="inlineStr">
        <is>
          <t>Osaka</t>
        </is>
      </c>
      <c r="F153" s="156" t="inlineStr">
        <is>
          <t>Kansai</t>
        </is>
      </c>
      <c r="G153" s="157" t="inlineStr">
        <is>
          <t>https://www.minato-med.co.jp/</t>
        </is>
      </c>
      <c r="H153" s="156" t="inlineStr">
        <is>
          <t>Human device sales licences; 動物用 licence not confirmed</t>
        </is>
      </c>
      <c r="I153" s="156" t="inlineStr">
        <is>
          <t>Human multi brand lines (ultrasound brands not confirmed)</t>
        </is>
      </c>
      <c r="J153" s="156" t="inlineStr">
        <is>
          <t>Companion</t>
        </is>
      </c>
      <c r="K153" s="156" t="inlineStr">
        <is>
          <t>National</t>
        </is>
      </c>
      <c r="L153" s="156" t="inlineStr">
        <is>
          <t>Not found</t>
        </is>
      </c>
      <c r="M153" s="156" t="inlineStr">
        <is>
          <t>n/a</t>
        </is>
      </c>
      <c r="N153" s="156" t="inlineStr">
        <is>
          <t>Not identified</t>
        </is>
      </c>
      <c r="O153" s="156" t="inlineStr">
        <is>
          <t>Not identified</t>
        </is>
      </c>
      <c r="P153" s="156" t="inlineStr">
        <is>
          <t>Not published; phone only</t>
        </is>
      </c>
      <c r="Q153" s="156" t="inlineStr">
        <is>
          <t>06 6303 7161</t>
        </is>
      </c>
      <c r="R153" s="156" t="inlineStr">
        <is>
          <t>Not identified</t>
        </is>
      </c>
      <c r="S153" s="156" t="inlineStr">
        <is>
          <t>Company inquiry only (phone)</t>
        </is>
      </c>
      <c r="T153" s="158">
        <f>SUM(Z153:AF153)</f>
        <v>17</v>
      </c>
      <c r="U153" s="162" t="inlineStr">
        <is>
          <t>V4</t>
        </is>
      </c>
      <c r="V153" s="156" t="inlineStr">
        <is>
          <t>QUALIFY FIRST: animal hospital sales not confirmed in sources. Rehabilitation and diagnostic device maker and seller; Kyoto association member. FLAG: HQ prefecture assumed Osaka; confirm.</t>
        </is>
      </c>
      <c r="W153" s="156" t="inlineStr">
        <is>
          <t>Open by asking whether they serve animal hospitals today; if yes, offer a vet line with no overlap to their human ultrasound brands.</t>
        </is>
      </c>
      <c r="X153" s="156" t="inlineStr">
        <is>
          <t>Not checked (human list not in v17)</t>
        </is>
      </c>
      <c r="Y153" s="156" t="inlineStr">
        <is>
          <t>http://mia-kyoto.gr.jp/members/minato.html ; https://www.minato-med.co.jp/company/office/tokyo/</t>
        </is>
      </c>
      <c r="Z153" s="156" t="n">
        <v>2</v>
      </c>
      <c r="AA153" s="156" t="n">
        <v>3</v>
      </c>
      <c r="AB153" s="156" t="n">
        <v>3</v>
      </c>
      <c r="AC153" s="156" t="n">
        <v>2</v>
      </c>
      <c r="AD153" s="156" t="n">
        <v>1</v>
      </c>
      <c r="AE153" s="156" t="n">
        <v>4</v>
      </c>
      <c r="AF153" s="156" t="n">
        <v>2</v>
      </c>
      <c r="AG153" s="163" t="inlineStr">
        <is>
          <t>Qualify first</t>
        </is>
      </c>
    </row>
    <row r="154" ht="75" customHeight="1" s="114">
      <c r="A154" s="156" t="n">
        <v>150</v>
      </c>
      <c r="B154" s="156" t="inlineStr">
        <is>
          <t>Miyano Iryoki Co., Ltd.</t>
        </is>
      </c>
      <c r="C154" s="156" t="inlineStr">
        <is>
          <t>宮野医療器株式会社</t>
        </is>
      </c>
      <c r="D154" s="156" t="inlineStr">
        <is>
          <t>Not found (NTA lookup blocked; dedupe by Japanese name)</t>
        </is>
      </c>
      <c r="E154" s="156" t="inlineStr">
        <is>
          <t>Hyogo</t>
        </is>
      </c>
      <c r="F154" s="156" t="inlineStr">
        <is>
          <t>Kansai</t>
        </is>
      </c>
      <c r="G154" s="157" t="inlineStr">
        <is>
          <t>https://www.miyano.co.jp</t>
        </is>
      </c>
      <c r="H154" s="156" t="inlineStr">
        <is>
          <t>Human device sales licences; 動物用 licence not confirmed</t>
        </is>
      </c>
      <c r="I154" s="156" t="inlineStr">
        <is>
          <t>Human multi brand lines (ultrasound brands not confirmed)</t>
        </is>
      </c>
      <c r="J154" s="156" t="inlineStr">
        <is>
          <t>Companion</t>
        </is>
      </c>
      <c r="K154" s="156" t="inlineStr">
        <is>
          <t>Kansai, West Japan to Kanto</t>
        </is>
      </c>
      <c r="L154" s="156" t="inlineStr">
        <is>
          <t>Fifth largest dealer by sales (Arrows column)</t>
        </is>
      </c>
      <c r="M154" s="156" t="inlineStr">
        <is>
          <t>n/a</t>
        </is>
      </c>
      <c r="N154" s="156" t="inlineStr">
        <is>
          <t>Not identified</t>
        </is>
      </c>
      <c r="O154" s="156" t="inlineStr">
        <is>
          <t>Not identified</t>
        </is>
      </c>
      <c r="P154" s="156" t="inlineStr">
        <is>
          <t>Not published; inquiry form: https://www.miyano.co.jp/contact</t>
        </is>
      </c>
      <c r="Q154" s="156" t="inlineStr">
        <is>
          <t>078 371 2121</t>
        </is>
      </c>
      <c r="R154" s="156" t="inlineStr">
        <is>
          <t>Not identified</t>
        </is>
      </c>
      <c r="S154" s="156" t="inlineStr">
        <is>
          <t>Company inquiry only (form)</t>
        </is>
      </c>
      <c r="T154" s="158">
        <f>SUM(Z154:AF154)</f>
        <v>17</v>
      </c>
      <c r="U154" s="162" t="inlineStr">
        <is>
          <t>V4</t>
        </is>
      </c>
      <c r="V154" s="156" t="inlineStr">
        <is>
          <t>QUALIFY FIRST: animal hospital sales not confirmed in sources. Kobe trading house founded 1946; fifth largest dealer by sales.</t>
        </is>
      </c>
      <c r="W154" s="156" t="inlineStr">
        <is>
          <t>Open by asking whether they serve animal hospitals today; if yes, offer a vet line with no overlap to their human ultrasound brands.</t>
        </is>
      </c>
      <c r="X154" s="156" t="inlineStr">
        <is>
          <t>Not checked (human list not in v17)</t>
        </is>
      </c>
      <c r="Y154" s="156" t="inlineStr">
        <is>
          <t>https://www.miyano.co.jp/business/iryo ; https://note.com/arrows_column/n/nd4fd35a1d8b1 ; https://www.miyano.co.jp/contact</t>
        </is>
      </c>
      <c r="Z154" s="156" t="n">
        <v>2</v>
      </c>
      <c r="AA154" s="156" t="n">
        <v>3</v>
      </c>
      <c r="AB154" s="156" t="n">
        <v>3</v>
      </c>
      <c r="AC154" s="156" t="n">
        <v>2</v>
      </c>
      <c r="AD154" s="156" t="n">
        <v>1</v>
      </c>
      <c r="AE154" s="156" t="n">
        <v>4</v>
      </c>
      <c r="AF154" s="156" t="n">
        <v>2</v>
      </c>
      <c r="AG154" s="163" t="inlineStr">
        <is>
          <t>Qualify first</t>
        </is>
      </c>
    </row>
    <row r="155" ht="75" customHeight="1" s="114">
      <c r="A155" s="156" t="n">
        <v>151</v>
      </c>
      <c r="B155" s="156" t="inlineStr">
        <is>
          <t>Muranaka Iryoki Co., Ltd.</t>
        </is>
      </c>
      <c r="C155" s="156" t="inlineStr">
        <is>
          <t>村中医療器株式会社</t>
        </is>
      </c>
      <c r="D155" s="156" t="inlineStr">
        <is>
          <t>Not found (NTA lookup blocked; dedupe by Japanese name)</t>
        </is>
      </c>
      <c r="E155" s="156" t="inlineStr">
        <is>
          <t>Osaka</t>
        </is>
      </c>
      <c r="F155" s="156" t="inlineStr">
        <is>
          <t>Kansai</t>
        </is>
      </c>
      <c r="G155" s="156" t="inlineStr">
        <is>
          <t>Not found</t>
        </is>
      </c>
      <c r="H155" s="156" t="inlineStr">
        <is>
          <t>Human device sales licences; 動物用 licence not confirmed</t>
        </is>
      </c>
      <c r="I155" s="156" t="inlineStr">
        <is>
          <t>Human multi brand lines (ultrasound brands not confirmed)</t>
        </is>
      </c>
      <c r="J155" s="156" t="inlineStr">
        <is>
          <t>Companion</t>
        </is>
      </c>
      <c r="K155" s="156" t="inlineStr">
        <is>
          <t>Osaka</t>
        </is>
      </c>
      <c r="L155" s="156" t="inlineStr">
        <is>
          <t>Not found</t>
        </is>
      </c>
      <c r="M155" s="156" t="inlineStr">
        <is>
          <t>n/a</t>
        </is>
      </c>
      <c r="N155" s="156" t="inlineStr">
        <is>
          <t>Not identified</t>
        </is>
      </c>
      <c r="O155" s="156" t="inlineStr">
        <is>
          <t>Not identified</t>
        </is>
      </c>
      <c r="P155" s="156" t="inlineStr">
        <is>
          <t>Not searched (search budget)</t>
        </is>
      </c>
      <c r="Q155" s="156" t="inlineStr">
        <is>
          <t>Not found (use site)</t>
        </is>
      </c>
      <c r="R155" s="156" t="inlineStr">
        <is>
          <t>Not identified</t>
        </is>
      </c>
      <c r="S155" s="156" t="inlineStr">
        <is>
          <t>Unverified</t>
        </is>
      </c>
      <c r="T155" s="158">
        <f>SUM(Z155:AF155)</f>
        <v>17</v>
      </c>
      <c r="U155" s="162" t="inlineStr">
        <is>
          <t>V4</t>
        </is>
      </c>
      <c r="V155" s="156" t="inlineStr">
        <is>
          <t>QUALIFY FIRST: animal hospital sales not confirmed in sources. Wholesales to device dealers and sells to university and public hospitals. FLAG: screened out in the v9 Reconciliation tab of the v17 workbook (no published vet business); kept only as a V4 qualify first lead.</t>
        </is>
      </c>
      <c r="W155" s="156" t="inlineStr">
        <is>
          <t>Open by asking whether they serve animal hospitals today; if yes, offer a vet line with no overlap to their human ultrasound brands.</t>
        </is>
      </c>
      <c r="X155" s="156" t="inlineStr">
        <is>
          <t>Y (named in v9 human dealer screen)</t>
        </is>
      </c>
      <c r="Y155" s="156" t="inlineStr">
        <is>
          <t>https://baseconnect.in/companies/prefecture/d80b180e-5fd9-4082-8cdc-a510179a3475/keyword/14f3dcec-9cd5-4be5-84e1-ddccb7bd228c</t>
        </is>
      </c>
      <c r="Z155" s="156" t="n">
        <v>2</v>
      </c>
      <c r="AA155" s="156" t="n">
        <v>3</v>
      </c>
      <c r="AB155" s="156" t="n">
        <v>3</v>
      </c>
      <c r="AC155" s="156" t="n">
        <v>2</v>
      </c>
      <c r="AD155" s="156" t="n">
        <v>1</v>
      </c>
      <c r="AE155" s="156" t="n">
        <v>4</v>
      </c>
      <c r="AF155" s="156" t="n">
        <v>2</v>
      </c>
      <c r="AG155" s="163" t="inlineStr">
        <is>
          <t>Qualify first</t>
        </is>
      </c>
    </row>
    <row r="156" ht="75" customHeight="1" s="114">
      <c r="A156" s="156" t="n">
        <v>152</v>
      </c>
      <c r="B156" s="156" t="inlineStr">
        <is>
          <t>Nakayama Ika Kikaiten Co., Ltd.</t>
        </is>
      </c>
      <c r="C156" s="156" t="inlineStr">
        <is>
          <t>株式会社中山医科器械店</t>
        </is>
      </c>
      <c r="D156" s="156" t="inlineStr">
        <is>
          <t>Not found (NTA lookup blocked; dedupe by Japanese name)</t>
        </is>
      </c>
      <c r="E156" s="156" t="inlineStr">
        <is>
          <t>Shiga</t>
        </is>
      </c>
      <c r="F156" s="156" t="inlineStr">
        <is>
          <t>Kansai</t>
        </is>
      </c>
      <c r="G156" s="157" t="inlineStr">
        <is>
          <t>https://nakayamaika.com/</t>
        </is>
      </c>
      <c r="H156" s="156" t="inlineStr">
        <is>
          <t>Human device sales licences; 動物用 licence not confirmed</t>
        </is>
      </c>
      <c r="I156" s="156" t="inlineStr">
        <is>
          <t>Human multi brand lines (ultrasound brands not confirmed)</t>
        </is>
      </c>
      <c r="J156" s="156" t="inlineStr">
        <is>
          <t>Companion</t>
        </is>
      </c>
      <c r="K156" s="156" t="inlineStr">
        <is>
          <t>Shiga</t>
        </is>
      </c>
      <c r="L156" s="156" t="inlineStr">
        <is>
          <t>Not found</t>
        </is>
      </c>
      <c r="M156" s="156" t="inlineStr">
        <is>
          <t>n/a</t>
        </is>
      </c>
      <c r="N156" s="156" t="inlineStr">
        <is>
          <t>Not identified</t>
        </is>
      </c>
      <c r="O156" s="156" t="inlineStr">
        <is>
          <t>Not identified</t>
        </is>
      </c>
      <c r="P156" s="156" t="inlineStr">
        <is>
          <t>Not published; phone only</t>
        </is>
      </c>
      <c r="Q156" s="156" t="inlineStr">
        <is>
          <t>077 548 1227</t>
        </is>
      </c>
      <c r="R156" s="156" t="inlineStr">
        <is>
          <t>Not identified</t>
        </is>
      </c>
      <c r="S156" s="156" t="inlineStr">
        <is>
          <t>Company inquiry only (form)</t>
        </is>
      </c>
      <c r="T156" s="158">
        <f>SUM(Z156:AF156)</f>
        <v>17</v>
      </c>
      <c r="U156" s="162" t="inlineStr">
        <is>
          <t>V4</t>
        </is>
      </c>
      <c r="V156" s="156" t="inlineStr">
        <is>
          <t>QUALIFY FIRST: animal hospital sales not confirmed in sources. Shiga device and supplies wholesaler.</t>
        </is>
      </c>
      <c r="W156" s="156" t="inlineStr">
        <is>
          <t>Open by asking whether they serve animal hospitals today; if yes, offer a vet line with no overlap to their human ultrasound brands.</t>
        </is>
      </c>
      <c r="X156" s="156" t="inlineStr">
        <is>
          <t>Not checked (human list not in v17)</t>
        </is>
      </c>
      <c r="Y156" s="156" t="inlineStr">
        <is>
          <t>https://baseconnect.in/companies/prefecture/1d5a2479-736c-41d9-98fe-d43b8d447ca4/category/b2358a1c-c4c6-46f4-a0b1-dee3a1b30a0b</t>
        </is>
      </c>
      <c r="Z156" s="156" t="n">
        <v>2</v>
      </c>
      <c r="AA156" s="156" t="n">
        <v>3</v>
      </c>
      <c r="AB156" s="156" t="n">
        <v>3</v>
      </c>
      <c r="AC156" s="156" t="n">
        <v>2</v>
      </c>
      <c r="AD156" s="156" t="n">
        <v>1</v>
      </c>
      <c r="AE156" s="156" t="n">
        <v>4</v>
      </c>
      <c r="AF156" s="156" t="n">
        <v>2</v>
      </c>
      <c r="AG156" s="163" t="inlineStr">
        <is>
          <t>Qualify first</t>
        </is>
      </c>
    </row>
    <row r="157" ht="75" customHeight="1" s="114">
      <c r="A157" s="156" t="n">
        <v>153</v>
      </c>
      <c r="B157" s="156" t="inlineStr">
        <is>
          <t>Sanshodo Co., Ltd.</t>
        </is>
      </c>
      <c r="C157" s="156" t="inlineStr">
        <is>
          <t>株式会社三笑堂</t>
        </is>
      </c>
      <c r="D157" s="156" t="inlineStr">
        <is>
          <t>Not found (NTA lookup blocked; dedupe by Japanese name)</t>
        </is>
      </c>
      <c r="E157" s="156" t="inlineStr">
        <is>
          <t>Kyoto</t>
        </is>
      </c>
      <c r="F157" s="156" t="inlineStr">
        <is>
          <t>Kansai</t>
        </is>
      </c>
      <c r="G157" s="157" t="inlineStr">
        <is>
          <t>https://sanshodoh.co.jp/</t>
        </is>
      </c>
      <c r="H157" s="156" t="inlineStr">
        <is>
          <t>Human device sales licences; 動物用 licence not confirmed</t>
        </is>
      </c>
      <c r="I157" s="156" t="inlineStr">
        <is>
          <t>Human multi brand lines (ultrasound brands not confirmed)</t>
        </is>
      </c>
      <c r="J157" s="156" t="inlineStr">
        <is>
          <t>Companion</t>
        </is>
      </c>
      <c r="K157" s="156" t="inlineStr">
        <is>
          <t>Kyoto</t>
        </is>
      </c>
      <c r="L157" s="156" t="inlineStr">
        <is>
          <t>Not found</t>
        </is>
      </c>
      <c r="M157" s="156" t="inlineStr">
        <is>
          <t>n/a</t>
        </is>
      </c>
      <c r="N157" s="156" t="inlineStr">
        <is>
          <t>Not identified</t>
        </is>
      </c>
      <c r="O157" s="156" t="inlineStr">
        <is>
          <t>Not identified</t>
        </is>
      </c>
      <c r="P157" s="156" t="inlineStr">
        <is>
          <t>pd@sanshodoh.co.jp</t>
        </is>
      </c>
      <c r="Q157" s="156" t="inlineStr">
        <is>
          <t>075 681 5131</t>
        </is>
      </c>
      <c r="R157" s="156" t="inlineStr">
        <is>
          <t>Not identified</t>
        </is>
      </c>
      <c r="S157" s="156" t="inlineStr">
        <is>
          <t>Likely (third party listing); association listing, date unknown</t>
        </is>
      </c>
      <c r="T157" s="158">
        <f>SUM(Z157:AF157)</f>
        <v>17</v>
      </c>
      <c r="U157" s="162" t="inlineStr">
        <is>
          <t>V4</t>
        </is>
      </c>
      <c r="V157" s="156" t="inlineStr">
        <is>
          <t>QUALIFY FIRST: animal hospital sales not confirmed in sources. Kyoto device wholesaler.</t>
        </is>
      </c>
      <c r="W157" s="156" t="inlineStr">
        <is>
          <t>Open by asking whether they serve animal hospitals today; if yes, offer a vet line with no overlap to their human ultrasound brands.</t>
        </is>
      </c>
      <c r="X157" s="156" t="inlineStr">
        <is>
          <t>Not checked (human list not in v17)</t>
        </is>
      </c>
      <c r="Y157" s="156" t="inlineStr">
        <is>
          <t>https://baseconnect.in/companies/prefecture/63038c5a-e328-472b-b9cc-039738609ba7/keyword/89941b4e-2dd1-4848-8957-48af280a31e0 ; http://www.mia-kyoto.gr.jp/members/sanshodo.html</t>
        </is>
      </c>
      <c r="Z157" s="156" t="n">
        <v>2</v>
      </c>
      <c r="AA157" s="156" t="n">
        <v>3</v>
      </c>
      <c r="AB157" s="156" t="n">
        <v>3</v>
      </c>
      <c r="AC157" s="156" t="n">
        <v>2</v>
      </c>
      <c r="AD157" s="156" t="n">
        <v>1</v>
      </c>
      <c r="AE157" s="156" t="n">
        <v>4</v>
      </c>
      <c r="AF157" s="156" t="n">
        <v>2</v>
      </c>
      <c r="AG157" s="163" t="inlineStr">
        <is>
          <t>Qualify first</t>
        </is>
      </c>
    </row>
    <row r="158" ht="75" customHeight="1" s="114">
      <c r="A158" s="156" t="n">
        <v>154</v>
      </c>
      <c r="B158" s="156" t="inlineStr">
        <is>
          <t>Seaman Co., Ltd.</t>
        </is>
      </c>
      <c r="C158" s="156" t="inlineStr">
        <is>
          <t>シーマン株式会社</t>
        </is>
      </c>
      <c r="D158" s="156" t="inlineStr">
        <is>
          <t>Not found (NTA lookup blocked; dedupe by Japanese name)</t>
        </is>
      </c>
      <c r="E158" s="156" t="inlineStr">
        <is>
          <t>Osaka</t>
        </is>
      </c>
      <c r="F158" s="156" t="inlineStr">
        <is>
          <t>Kansai</t>
        </is>
      </c>
      <c r="G158" s="156" t="inlineStr">
        <is>
          <t>Not found</t>
        </is>
      </c>
      <c r="H158" s="156" t="inlineStr">
        <is>
          <t>Human device sales licences; 動物用 licence not confirmed</t>
        </is>
      </c>
      <c r="I158" s="156" t="inlineStr">
        <is>
          <t>Human multi brand lines (ultrasound brands not confirmed)</t>
        </is>
      </c>
      <c r="J158" s="156" t="inlineStr">
        <is>
          <t>Companion</t>
        </is>
      </c>
      <c r="K158" s="156" t="inlineStr">
        <is>
          <t>Osaka</t>
        </is>
      </c>
      <c r="L158" s="156" t="inlineStr">
        <is>
          <t>Not found</t>
        </is>
      </c>
      <c r="M158" s="156" t="inlineStr">
        <is>
          <t>n/a</t>
        </is>
      </c>
      <c r="N158" s="156" t="inlineStr">
        <is>
          <t>Not identified</t>
        </is>
      </c>
      <c r="O158" s="156" t="inlineStr">
        <is>
          <t>Not identified</t>
        </is>
      </c>
      <c r="P158" s="156" t="inlineStr">
        <is>
          <t>Not searched (search budget)</t>
        </is>
      </c>
      <c r="Q158" s="156" t="inlineStr">
        <is>
          <t>Not found (use site)</t>
        </is>
      </c>
      <c r="R158" s="156" t="inlineStr">
        <is>
          <t>Not identified</t>
        </is>
      </c>
      <c r="S158" s="156" t="inlineStr">
        <is>
          <t>Unverified</t>
        </is>
      </c>
      <c r="T158" s="158">
        <f>SUM(Z158:AF158)</f>
        <v>17</v>
      </c>
      <c r="U158" s="162" t="inlineStr">
        <is>
          <t>V4</t>
        </is>
      </c>
      <c r="V158" s="156" t="inlineStr">
        <is>
          <t>QUALIFY FIRST: animal hospital sales not confirmed in sources. Cath lab device wholesaler with maintenance.</t>
        </is>
      </c>
      <c r="W158" s="156" t="inlineStr">
        <is>
          <t>Open by asking whether they serve animal hospitals today; if yes, offer a vet line with no overlap to their human ultrasound brands.</t>
        </is>
      </c>
      <c r="X158" s="156" t="inlineStr">
        <is>
          <t>Not checked (human list not in v17)</t>
        </is>
      </c>
      <c r="Y158" s="156" t="inlineStr">
        <is>
          <t>https://baseconnect.in/companies/prefecture/d80b180e-5fd9-4082-8cdc-a510179a3475/keyword/89941b4e-2dd1-4848-8957-48af280a31e0</t>
        </is>
      </c>
      <c r="Z158" s="156" t="n">
        <v>2</v>
      </c>
      <c r="AA158" s="156" t="n">
        <v>3</v>
      </c>
      <c r="AB158" s="156" t="n">
        <v>3</v>
      </c>
      <c r="AC158" s="156" t="n">
        <v>2</v>
      </c>
      <c r="AD158" s="156" t="n">
        <v>1</v>
      </c>
      <c r="AE158" s="156" t="n">
        <v>4</v>
      </c>
      <c r="AF158" s="156" t="n">
        <v>2</v>
      </c>
      <c r="AG158" s="163" t="inlineStr">
        <is>
          <t>Qualify first</t>
        </is>
      </c>
    </row>
    <row r="159" ht="75" customHeight="1" s="114">
      <c r="A159" s="156" t="n">
        <v>155</v>
      </c>
      <c r="B159" s="156" t="inlineStr">
        <is>
          <t>Total Medical Supply Co., Ltd.</t>
        </is>
      </c>
      <c r="C159" s="156" t="inlineStr">
        <is>
          <t>株式会社トータルメディカルサプライ</t>
        </is>
      </c>
      <c r="D159" s="156" t="inlineStr">
        <is>
          <t>Not found (NTA lookup blocked; dedupe by Japanese name)</t>
        </is>
      </c>
      <c r="E159" s="156" t="inlineStr">
        <is>
          <t>Hyogo</t>
        </is>
      </c>
      <c r="F159" s="156" t="inlineStr">
        <is>
          <t>Kansai</t>
        </is>
      </c>
      <c r="G159" s="156" t="inlineStr">
        <is>
          <t>Not found</t>
        </is>
      </c>
      <c r="H159" s="156" t="inlineStr">
        <is>
          <t>Human device sales licences; 動物用 licence not confirmed</t>
        </is>
      </c>
      <c r="I159" s="156" t="inlineStr">
        <is>
          <t>Human multi brand lines (ultrasound brands not confirmed)</t>
        </is>
      </c>
      <c r="J159" s="156" t="inlineStr">
        <is>
          <t>Companion</t>
        </is>
      </c>
      <c r="K159" s="156" t="inlineStr">
        <is>
          <t>Kobe (Port Island)</t>
        </is>
      </c>
      <c r="L159" s="156" t="inlineStr">
        <is>
          <t>Not found</t>
        </is>
      </c>
      <c r="M159" s="156" t="inlineStr">
        <is>
          <t>n/a</t>
        </is>
      </c>
      <c r="N159" s="156" t="inlineStr">
        <is>
          <t>Not identified</t>
        </is>
      </c>
      <c r="O159" s="156" t="inlineStr">
        <is>
          <t>Not identified</t>
        </is>
      </c>
      <c r="P159" s="156" t="inlineStr">
        <is>
          <t>Not searched (search budget)</t>
        </is>
      </c>
      <c r="Q159" s="156" t="inlineStr">
        <is>
          <t>Not found (use site)</t>
        </is>
      </c>
      <c r="R159" s="156" t="inlineStr">
        <is>
          <t>Not identified</t>
        </is>
      </c>
      <c r="S159" s="156" t="inlineStr">
        <is>
          <t>Unverified</t>
        </is>
      </c>
      <c r="T159" s="158">
        <f>SUM(Z159:AF159)</f>
        <v>17</v>
      </c>
      <c r="U159" s="162" t="inlineStr">
        <is>
          <t>V4</t>
        </is>
      </c>
      <c r="V159" s="156" t="inlineStr">
        <is>
          <t>QUALIFY FIRST: animal hospital sales not confirmed in sources. Wholesaler of devices and medical products.</t>
        </is>
      </c>
      <c r="W159" s="156" t="inlineStr">
        <is>
          <t>Open by asking whether they serve animal hospitals today; if yes, offer a vet line with no overlap to their human ultrasound brands.</t>
        </is>
      </c>
      <c r="X159" s="156" t="inlineStr">
        <is>
          <t>Not checked (human list not in v17)</t>
        </is>
      </c>
      <c r="Y159" s="156" t="inlineStr">
        <is>
          <t>https://baseconnect.in/companies/prefecture/912d7b2d-41c2-4923-a5c1-6666f9834966/keyword/14f3dcec-9cd5-4be5-84e1-ddccb7bd228c</t>
        </is>
      </c>
      <c r="Z159" s="156" t="n">
        <v>2</v>
      </c>
      <c r="AA159" s="156" t="n">
        <v>3</v>
      </c>
      <c r="AB159" s="156" t="n">
        <v>3</v>
      </c>
      <c r="AC159" s="156" t="n">
        <v>2</v>
      </c>
      <c r="AD159" s="156" t="n">
        <v>1</v>
      </c>
      <c r="AE159" s="156" t="n">
        <v>4</v>
      </c>
      <c r="AF159" s="156" t="n">
        <v>2</v>
      </c>
      <c r="AG159" s="163" t="inlineStr">
        <is>
          <t>Qualify first</t>
        </is>
      </c>
    </row>
    <row r="160" ht="75" customHeight="1" s="114">
      <c r="A160" s="156" t="n">
        <v>156</v>
      </c>
      <c r="B160" s="156" t="inlineStr">
        <is>
          <t>Umeno Medical Co., Ltd.</t>
        </is>
      </c>
      <c r="C160" s="156" t="inlineStr">
        <is>
          <t>梅野メディカル株式会社</t>
        </is>
      </c>
      <c r="D160" s="156" t="inlineStr">
        <is>
          <t>Not found (NTA lookup blocked; dedupe by Japanese name)</t>
        </is>
      </c>
      <c r="E160" s="156" t="inlineStr">
        <is>
          <t>Kyoto</t>
        </is>
      </c>
      <c r="F160" s="156" t="inlineStr">
        <is>
          <t>Kansai</t>
        </is>
      </c>
      <c r="G160" s="156" t="inlineStr">
        <is>
          <t>Not found</t>
        </is>
      </c>
      <c r="H160" s="156" t="inlineStr">
        <is>
          <t>Human device sales licences; 動物用 licence not confirmed</t>
        </is>
      </c>
      <c r="I160" s="156" t="inlineStr">
        <is>
          <t>Human multi brand lines (ultrasound brands not confirmed)</t>
        </is>
      </c>
      <c r="J160" s="156" t="inlineStr">
        <is>
          <t>Companion</t>
        </is>
      </c>
      <c r="K160" s="156" t="inlineStr">
        <is>
          <t>Kyoto</t>
        </is>
      </c>
      <c r="L160" s="156" t="inlineStr">
        <is>
          <t>Not found</t>
        </is>
      </c>
      <c r="M160" s="156" t="inlineStr">
        <is>
          <t>n/a</t>
        </is>
      </c>
      <c r="N160" s="156" t="inlineStr">
        <is>
          <t>Not identified</t>
        </is>
      </c>
      <c r="O160" s="156" t="inlineStr">
        <is>
          <t>Not identified</t>
        </is>
      </c>
      <c r="P160" s="156" t="inlineStr">
        <is>
          <t>umeno@mug.biglobe.ne.jp</t>
        </is>
      </c>
      <c r="Q160" s="156" t="inlineStr">
        <is>
          <t>Not found (use site)</t>
        </is>
      </c>
      <c r="R160" s="156" t="inlineStr">
        <is>
          <t>Not identified</t>
        </is>
      </c>
      <c r="S160" s="156" t="inlineStr">
        <is>
          <t>Likely (third party listing)</t>
        </is>
      </c>
      <c r="T160" s="158">
        <f>SUM(Z160:AF160)</f>
        <v>17</v>
      </c>
      <c r="U160" s="162" t="inlineStr">
        <is>
          <t>V4</t>
        </is>
      </c>
      <c r="V160" s="156" t="inlineStr">
        <is>
          <t>QUALIFY FIRST: animal hospital sales not confirmed in sources. Kyoto device and materials dealer.</t>
        </is>
      </c>
      <c r="W160" s="156" t="inlineStr">
        <is>
          <t>Open by asking whether they serve animal hospitals today; if yes, offer a vet line with no overlap to their human ultrasound brands.</t>
        </is>
      </c>
      <c r="X160" s="156" t="inlineStr">
        <is>
          <t>Not checked (human list not in v17)</t>
        </is>
      </c>
      <c r="Y160" s="156" t="inlineStr">
        <is>
          <t>https://baseconnect.in/companies/prefecture/63038c5a-e328-472b-b9cc-039738609ba7/category/b2358a1c-c4c6-46f4-a0b1-dee3a1b30a0b ; http://www.mia-kyoto.gr.jp/members/umeno.html</t>
        </is>
      </c>
      <c r="Z160" s="156" t="n">
        <v>2</v>
      </c>
      <c r="AA160" s="156" t="n">
        <v>3</v>
      </c>
      <c r="AB160" s="156" t="n">
        <v>3</v>
      </c>
      <c r="AC160" s="156" t="n">
        <v>2</v>
      </c>
      <c r="AD160" s="156" t="n">
        <v>1</v>
      </c>
      <c r="AE160" s="156" t="n">
        <v>4</v>
      </c>
      <c r="AF160" s="156" t="n">
        <v>2</v>
      </c>
      <c r="AG160" s="163" t="inlineStr">
        <is>
          <t>Qualify first</t>
        </is>
      </c>
    </row>
    <row r="161" ht="75" customHeight="1" s="114">
      <c r="A161" s="156" t="n">
        <v>157</v>
      </c>
      <c r="B161" s="156" t="inlineStr">
        <is>
          <t>Yayoi Co., Ltd.</t>
        </is>
      </c>
      <c r="C161" s="156" t="inlineStr">
        <is>
          <t>株式会社やよい</t>
        </is>
      </c>
      <c r="D161" s="156" t="inlineStr">
        <is>
          <t>Not found (NTA lookup blocked; dedupe by Japanese name)</t>
        </is>
      </c>
      <c r="E161" s="156" t="inlineStr">
        <is>
          <t>Hyogo</t>
        </is>
      </c>
      <c r="F161" s="156" t="inlineStr">
        <is>
          <t>Kansai</t>
        </is>
      </c>
      <c r="G161" s="156" t="inlineStr">
        <is>
          <t>Not found</t>
        </is>
      </c>
      <c r="H161" s="156" t="inlineStr">
        <is>
          <t>Human device sales licences; 動物用 licence not confirmed</t>
        </is>
      </c>
      <c r="I161" s="156" t="inlineStr">
        <is>
          <t>Human multi brand lines (ultrasound brands not confirmed)</t>
        </is>
      </c>
      <c r="J161" s="156" t="inlineStr">
        <is>
          <t>Companion</t>
        </is>
      </c>
      <c r="K161" s="156" t="inlineStr">
        <is>
          <t>Hyogo</t>
        </is>
      </c>
      <c r="L161" s="156" t="inlineStr">
        <is>
          <t>Not found</t>
        </is>
      </c>
      <c r="M161" s="156" t="inlineStr">
        <is>
          <t>n/a</t>
        </is>
      </c>
      <c r="N161" s="156" t="inlineStr">
        <is>
          <t>Not identified</t>
        </is>
      </c>
      <c r="O161" s="156" t="inlineStr">
        <is>
          <t>Not identified</t>
        </is>
      </c>
      <c r="P161" s="156" t="inlineStr">
        <is>
          <t>Not searched (search budget)</t>
        </is>
      </c>
      <c r="Q161" s="156" t="inlineStr">
        <is>
          <t>Not found (use site)</t>
        </is>
      </c>
      <c r="R161" s="156" t="inlineStr">
        <is>
          <t>Not identified</t>
        </is>
      </c>
      <c r="S161" s="156" t="inlineStr">
        <is>
          <t>Unverified</t>
        </is>
      </c>
      <c r="T161" s="158">
        <f>SUM(Z161:AF161)</f>
        <v>17</v>
      </c>
      <c r="U161" s="162" t="inlineStr">
        <is>
          <t>V4</t>
        </is>
      </c>
      <c r="V161" s="156" t="inlineStr">
        <is>
          <t>QUALIFY FIRST: animal hospital sales not confirmed in sources. Hyogo device and supplies wholesaler.</t>
        </is>
      </c>
      <c r="W161" s="156" t="inlineStr">
        <is>
          <t>Open by asking whether they serve animal hospitals today; if yes, offer a vet line with no overlap to their human ultrasound brands.</t>
        </is>
      </c>
      <c r="X161" s="156" t="inlineStr">
        <is>
          <t>Not checked (human list not in v17)</t>
        </is>
      </c>
      <c r="Y161" s="156" t="inlineStr">
        <is>
          <t>https://www.nikkei.com/compass/search/Y2F0ZWdvcnk9Y29tcGFueSZyZWdpb249MjgmaW5kdXN0cnlTPTA1MzI</t>
        </is>
      </c>
      <c r="Z161" s="156" t="n">
        <v>2</v>
      </c>
      <c r="AA161" s="156" t="n">
        <v>3</v>
      </c>
      <c r="AB161" s="156" t="n">
        <v>3</v>
      </c>
      <c r="AC161" s="156" t="n">
        <v>2</v>
      </c>
      <c r="AD161" s="156" t="n">
        <v>1</v>
      </c>
      <c r="AE161" s="156" t="n">
        <v>4</v>
      </c>
      <c r="AF161" s="156" t="n">
        <v>2</v>
      </c>
      <c r="AG161" s="163" t="inlineStr">
        <is>
          <t>Qualify first</t>
        </is>
      </c>
    </row>
    <row r="162" ht="75" customHeight="1" s="114">
      <c r="A162" s="156" t="n">
        <v>158</v>
      </c>
      <c r="B162" s="156" t="inlineStr">
        <is>
          <t>Accoh Ltd.</t>
        </is>
      </c>
      <c r="C162" s="156" t="inlineStr">
        <is>
          <t>有限会社アコー</t>
        </is>
      </c>
      <c r="D162" s="156" t="inlineStr">
        <is>
          <t>Not found (NTA lookup blocked; dedupe by Japanese name)</t>
        </is>
      </c>
      <c r="E162" s="156" t="inlineStr">
        <is>
          <t>Gunma</t>
        </is>
      </c>
      <c r="F162" s="156" t="inlineStr">
        <is>
          <t>Kanto</t>
        </is>
      </c>
      <c r="G162" s="156" t="inlineStr">
        <is>
          <t>Not found</t>
        </is>
      </c>
      <c r="H162" s="156" t="inlineStr">
        <is>
          <t>Human device sales licences; 動物用 licence not confirmed</t>
        </is>
      </c>
      <c r="I162" s="156" t="inlineStr">
        <is>
          <t>Human multi brand lines (ultrasound brands not confirmed)</t>
        </is>
      </c>
      <c r="J162" s="156" t="inlineStr">
        <is>
          <t>Companion</t>
        </is>
      </c>
      <c r="K162" s="156" t="inlineStr">
        <is>
          <t>Gunma (Tamamura)</t>
        </is>
      </c>
      <c r="L162" s="156" t="inlineStr">
        <is>
          <t>Not found</t>
        </is>
      </c>
      <c r="M162" s="156" t="inlineStr">
        <is>
          <t>n/a</t>
        </is>
      </c>
      <c r="N162" s="156" t="inlineStr">
        <is>
          <t>Not identified</t>
        </is>
      </c>
      <c r="O162" s="156" t="inlineStr">
        <is>
          <t>Not identified</t>
        </is>
      </c>
      <c r="P162" s="156" t="inlineStr">
        <is>
          <t>Not searched (search budget)</t>
        </is>
      </c>
      <c r="Q162" s="156" t="inlineStr">
        <is>
          <t>Not found (use site)</t>
        </is>
      </c>
      <c r="R162" s="156" t="inlineStr">
        <is>
          <t>Not identified</t>
        </is>
      </c>
      <c r="S162" s="156" t="inlineStr">
        <is>
          <t>Unverified</t>
        </is>
      </c>
      <c r="T162" s="158">
        <f>SUM(Z162:AF162)</f>
        <v>17</v>
      </c>
      <c r="U162" s="162" t="inlineStr">
        <is>
          <t>V4</t>
        </is>
      </c>
      <c r="V162" s="156" t="inlineStr">
        <is>
          <t>QUALIFY FIRST: animal hospital sales not confirmed in sources. Gunma device wholesaler.</t>
        </is>
      </c>
      <c r="W162" s="156" t="inlineStr">
        <is>
          <t>Open by asking whether they serve animal hospitals today; if yes, offer a vet line with no overlap to their human ultrasound brands.</t>
        </is>
      </c>
      <c r="X162" s="156" t="inlineStr">
        <is>
          <t>Not checked (human list not in v17)</t>
        </is>
      </c>
      <c r="Y162" s="156" t="inlineStr">
        <is>
          <t>https://baseconnect.in/companies/prefecture/c59cfe5b-871c-44d1-8594-96d4a5882e4b/keyword/89941b4e-2dd1-4848-8957-48af280a31e0</t>
        </is>
      </c>
      <c r="Z162" s="156" t="n">
        <v>2</v>
      </c>
      <c r="AA162" s="156" t="n">
        <v>3</v>
      </c>
      <c r="AB162" s="156" t="n">
        <v>3</v>
      </c>
      <c r="AC162" s="156" t="n">
        <v>2</v>
      </c>
      <c r="AD162" s="156" t="n">
        <v>1</v>
      </c>
      <c r="AE162" s="156" t="n">
        <v>4</v>
      </c>
      <c r="AF162" s="156" t="n">
        <v>2</v>
      </c>
      <c r="AG162" s="163" t="inlineStr">
        <is>
          <t>Qualify first</t>
        </is>
      </c>
    </row>
    <row r="163" ht="75" customHeight="1" s="114">
      <c r="A163" s="156" t="n">
        <v>159</v>
      </c>
      <c r="B163" s="156" t="inlineStr">
        <is>
          <t>Alfresa Holdings Corporation</t>
        </is>
      </c>
      <c r="C163" s="156" t="inlineStr">
        <is>
          <t>アルフレッサホールディングス株式会社</t>
        </is>
      </c>
      <c r="D163" s="156" t="inlineStr">
        <is>
          <t>Not found (NTA lookup blocked; dedupe by Japanese name)</t>
        </is>
      </c>
      <c r="E163" s="156" t="inlineStr">
        <is>
          <t>Tokyo</t>
        </is>
      </c>
      <c r="F163" s="156" t="inlineStr">
        <is>
          <t>Kanto</t>
        </is>
      </c>
      <c r="G163" s="156" t="inlineStr">
        <is>
          <t>Not found</t>
        </is>
      </c>
      <c r="H163" s="156" t="inlineStr">
        <is>
          <t>Human device sales licences; 動物用 licence not confirmed</t>
        </is>
      </c>
      <c r="I163" s="156" t="inlineStr">
        <is>
          <t>Human multi brand lines (ultrasound brands not confirmed)</t>
        </is>
      </c>
      <c r="J163" s="156" t="inlineStr">
        <is>
          <t>Companion</t>
        </is>
      </c>
      <c r="K163" s="156" t="inlineStr">
        <is>
          <t>National</t>
        </is>
      </c>
      <c r="L163" s="156" t="inlineStr">
        <is>
          <t>Large</t>
        </is>
      </c>
      <c r="M163" s="156" t="inlineStr">
        <is>
          <t>n/a</t>
        </is>
      </c>
      <c r="N163" s="156" t="inlineStr">
        <is>
          <t>Not identified</t>
        </is>
      </c>
      <c r="O163" s="156" t="inlineStr">
        <is>
          <t>Not identified</t>
        </is>
      </c>
      <c r="P163" s="156" t="inlineStr">
        <is>
          <t>Not searched (search budget)</t>
        </is>
      </c>
      <c r="Q163" s="156" t="inlineStr">
        <is>
          <t>Not found (use site)</t>
        </is>
      </c>
      <c r="R163" s="156" t="inlineStr">
        <is>
          <t>Not identified</t>
        </is>
      </c>
      <c r="S163" s="156" t="inlineStr">
        <is>
          <t>Unverified</t>
        </is>
      </c>
      <c r="T163" s="158">
        <f>SUM(Z163:AF163)</f>
        <v>17</v>
      </c>
      <c r="U163" s="162" t="inlineStr">
        <is>
          <t>V4</t>
        </is>
      </c>
      <c r="V163" s="156" t="inlineStr">
        <is>
          <t>QUALIFY FIRST: animal hospital sales not confirmed in sources. Major pharma and device wholesale group.</t>
        </is>
      </c>
      <c r="W163" s="156" t="inlineStr">
        <is>
          <t>Open by asking whether they serve animal hospitals today; if yes, offer a vet line with no overlap to their human ultrasound brands.</t>
        </is>
      </c>
      <c r="X163" s="156" t="inlineStr">
        <is>
          <t>Not checked (human list not in v17)</t>
        </is>
      </c>
      <c r="Y163" s="156" t="inlineStr">
        <is>
          <t>https://baseconnect.in/companies/prefecture/a30ebdff-361b-42be-8372-1b0d350f48a0/category/b2358a1c-c4c6-46f4-a0b1-dee3a1b30a0b</t>
        </is>
      </c>
      <c r="Z163" s="156" t="n">
        <v>2</v>
      </c>
      <c r="AA163" s="156" t="n">
        <v>3</v>
      </c>
      <c r="AB163" s="156" t="n">
        <v>3</v>
      </c>
      <c r="AC163" s="156" t="n">
        <v>2</v>
      </c>
      <c r="AD163" s="156" t="n">
        <v>1</v>
      </c>
      <c r="AE163" s="156" t="n">
        <v>4</v>
      </c>
      <c r="AF163" s="156" t="n">
        <v>2</v>
      </c>
      <c r="AG163" s="163" t="inlineStr">
        <is>
          <t>Qualify first</t>
        </is>
      </c>
    </row>
    <row r="164" ht="75" customHeight="1" s="114">
      <c r="A164" s="156" t="n">
        <v>160</v>
      </c>
      <c r="B164" s="156" t="inlineStr">
        <is>
          <t>Alfresa Medical Service Co., Ltd.</t>
        </is>
      </c>
      <c r="C164" s="156" t="inlineStr">
        <is>
          <t>アルフレッサメディカルサービス株式会社</t>
        </is>
      </c>
      <c r="D164" s="156" t="inlineStr">
        <is>
          <t>Not found (NTA lookup blocked; dedupe by Japanese name)</t>
        </is>
      </c>
      <c r="E164" s="156" t="inlineStr">
        <is>
          <t>Tokyo</t>
        </is>
      </c>
      <c r="F164" s="156" t="inlineStr">
        <is>
          <t>Kanto</t>
        </is>
      </c>
      <c r="G164" s="156" t="inlineStr">
        <is>
          <t>Not found</t>
        </is>
      </c>
      <c r="H164" s="156" t="inlineStr">
        <is>
          <t>Human device sales licences; 動物用 licence not confirmed</t>
        </is>
      </c>
      <c r="I164" s="156" t="inlineStr">
        <is>
          <t>Human multi brand lines (ultrasound brands not confirmed)</t>
        </is>
      </c>
      <c r="J164" s="156" t="inlineStr">
        <is>
          <t>Companion</t>
        </is>
      </c>
      <c r="K164" s="156" t="inlineStr">
        <is>
          <t>National</t>
        </is>
      </c>
      <c r="L164" s="156" t="inlineStr">
        <is>
          <t>Not found</t>
        </is>
      </c>
      <c r="M164" s="156" t="inlineStr">
        <is>
          <t>n/a</t>
        </is>
      </c>
      <c r="N164" s="156" t="inlineStr">
        <is>
          <t>Not identified</t>
        </is>
      </c>
      <c r="O164" s="156" t="inlineStr">
        <is>
          <t>Not identified</t>
        </is>
      </c>
      <c r="P164" s="156" t="inlineStr">
        <is>
          <t>Not searched (search budget)</t>
        </is>
      </c>
      <c r="Q164" s="156" t="inlineStr">
        <is>
          <t>Not found (use site)</t>
        </is>
      </c>
      <c r="R164" s="156" t="inlineStr">
        <is>
          <t>Not identified</t>
        </is>
      </c>
      <c r="S164" s="156" t="inlineStr">
        <is>
          <t>Unverified</t>
        </is>
      </c>
      <c r="T164" s="158">
        <f>SUM(Z164:AF164)</f>
        <v>17</v>
      </c>
      <c r="U164" s="162" t="inlineStr">
        <is>
          <t>V4</t>
        </is>
      </c>
      <c r="V164" s="156" t="inlineStr">
        <is>
          <t>QUALIFY FIRST: animal hospital sales not confirmed in sources. Device arm of the Alfresa group. FLAG: Same group as Alfresa Holdings; coordinate.</t>
        </is>
      </c>
      <c r="W164" s="156" t="inlineStr">
        <is>
          <t>Open by asking whether they serve animal hospitals today; if yes, offer a vet line with no overlap to their human ultrasound brands.</t>
        </is>
      </c>
      <c r="X164" s="156" t="inlineStr">
        <is>
          <t>Not checked (human list not in v17)</t>
        </is>
      </c>
      <c r="Y164" s="156" t="inlineStr">
        <is>
          <t>https://www.nikkei.com/compass/search/Y2F0ZWdvcnk9Y29tcGFueSZyZWdpb249MTMmaW5kdXN0cnlTPTA1MzI</t>
        </is>
      </c>
      <c r="Z164" s="156" t="n">
        <v>2</v>
      </c>
      <c r="AA164" s="156" t="n">
        <v>3</v>
      </c>
      <c r="AB164" s="156" t="n">
        <v>3</v>
      </c>
      <c r="AC164" s="156" t="n">
        <v>2</v>
      </c>
      <c r="AD164" s="156" t="n">
        <v>1</v>
      </c>
      <c r="AE164" s="156" t="n">
        <v>4</v>
      </c>
      <c r="AF164" s="156" t="n">
        <v>2</v>
      </c>
      <c r="AG164" s="163" t="inlineStr">
        <is>
          <t>Qualify first</t>
        </is>
      </c>
    </row>
    <row r="165" ht="75" customHeight="1" s="114">
      <c r="A165" s="156" t="n">
        <v>161</v>
      </c>
      <c r="B165" s="156" t="inlineStr">
        <is>
          <t>Century Medical, Inc.</t>
        </is>
      </c>
      <c r="C165" s="156" t="inlineStr">
        <is>
          <t>センチュリーメディカル株式会社</t>
        </is>
      </c>
      <c r="D165" s="156" t="inlineStr">
        <is>
          <t>Not found (NTA lookup blocked; dedupe by Japanese name)</t>
        </is>
      </c>
      <c r="E165" s="156" t="inlineStr">
        <is>
          <t>Tokyo</t>
        </is>
      </c>
      <c r="F165" s="156" t="inlineStr">
        <is>
          <t>Kanto</t>
        </is>
      </c>
      <c r="G165" s="157" t="inlineStr">
        <is>
          <t>http://www.cmi.co.jp/</t>
        </is>
      </c>
      <c r="H165" s="156" t="inlineStr">
        <is>
          <t>Human device sales licences; 動物用 licence not confirmed</t>
        </is>
      </c>
      <c r="I165" s="156" t="inlineStr">
        <is>
          <t>Human multi brand lines (ultrasound brands not confirmed)</t>
        </is>
      </c>
      <c r="J165" s="156" t="inlineStr">
        <is>
          <t>Companion</t>
        </is>
      </c>
      <c r="K165" s="156" t="inlineStr">
        <is>
          <t>National</t>
        </is>
      </c>
      <c r="L165" s="156" t="inlineStr">
        <is>
          <t>Not found</t>
        </is>
      </c>
      <c r="M165" s="156" t="inlineStr">
        <is>
          <t>n/a</t>
        </is>
      </c>
      <c r="N165" s="156" t="inlineStr">
        <is>
          <t>Not identified</t>
        </is>
      </c>
      <c r="O165" s="156" t="inlineStr">
        <is>
          <t>Not identified</t>
        </is>
      </c>
      <c r="P165" s="156" t="inlineStr">
        <is>
          <t>privacy@cmi.co.jp</t>
        </is>
      </c>
      <c r="Q165" s="156" t="inlineStr">
        <is>
          <t>03 3491 0161</t>
        </is>
      </c>
      <c r="R165" s="156" t="inlineStr">
        <is>
          <t>Not identified</t>
        </is>
      </c>
      <c r="S165" s="156" t="inlineStr">
        <is>
          <t>Verified (published on own site, read via search); privacy contact, ask to forward</t>
        </is>
      </c>
      <c r="T165" s="158">
        <f>SUM(Z165:AF165)</f>
        <v>17</v>
      </c>
      <c r="U165" s="162" t="inlineStr">
        <is>
          <t>V4</t>
        </is>
      </c>
      <c r="V165" s="156" t="inlineStr">
        <is>
          <t>QUALIFY FIRST: animal hospital sales not confirmed in sources. Importer and wholesaler of medical devices (Itochu group). FLAG: Importer; could also play MAH role if vet interest exists. FLAG: screened out in the v9 Reconciliation tab of the v17 workbook (no published vet business); kept only as a V4 qualify first lead.</t>
        </is>
      </c>
      <c r="W165" s="156" t="inlineStr">
        <is>
          <t>Open by asking whether they serve animal hospitals today; if yes, offer a vet line with no overlap to their human ultrasound brands.</t>
        </is>
      </c>
      <c r="X165" s="156" t="inlineStr">
        <is>
          <t>Y (named in v9 human dealer screen)</t>
        </is>
      </c>
      <c r="Y165" s="156" t="inlineStr">
        <is>
          <t>https://baseconnect.in/companies/prefecture/a30ebdff-361b-42be-8372-1b0d350f48a0/keyword/89941b4e-2dd1-4848-8957-48af280a31e0 ; http://www.cmi.co.jp/privacy-policy/</t>
        </is>
      </c>
      <c r="Z165" s="156" t="n">
        <v>2</v>
      </c>
      <c r="AA165" s="156" t="n">
        <v>3</v>
      </c>
      <c r="AB165" s="156" t="n">
        <v>3</v>
      </c>
      <c r="AC165" s="156" t="n">
        <v>2</v>
      </c>
      <c r="AD165" s="156" t="n">
        <v>1</v>
      </c>
      <c r="AE165" s="156" t="n">
        <v>4</v>
      </c>
      <c r="AF165" s="156" t="n">
        <v>2</v>
      </c>
      <c r="AG165" s="163" t="inlineStr">
        <is>
          <t>Qualify first</t>
        </is>
      </c>
    </row>
    <row r="166" ht="75" customHeight="1" s="114">
      <c r="A166" s="156" t="n">
        <v>162</v>
      </c>
      <c r="B166" s="156" t="inlineStr">
        <is>
          <t>Condex Co., Ltd.</t>
        </is>
      </c>
      <c r="C166" s="156" t="inlineStr">
        <is>
          <t>株式会社コンデックス</t>
        </is>
      </c>
      <c r="D166" s="156" t="inlineStr">
        <is>
          <t>Not found (NTA lookup blocked; dedupe by Japanese name)</t>
        </is>
      </c>
      <c r="E166" s="156" t="inlineStr">
        <is>
          <t>Saitama</t>
        </is>
      </c>
      <c r="F166" s="156" t="inlineStr">
        <is>
          <t>Kanto</t>
        </is>
      </c>
      <c r="G166" s="156" t="inlineStr">
        <is>
          <t>Not found</t>
        </is>
      </c>
      <c r="H166" s="156" t="inlineStr">
        <is>
          <t>Human device sales licences; 動物用 licence not confirmed</t>
        </is>
      </c>
      <c r="I166" s="156" t="inlineStr">
        <is>
          <t>Human multi brand lines (ultrasound brands not confirmed)</t>
        </is>
      </c>
      <c r="J166" s="156" t="inlineStr">
        <is>
          <t>Companion</t>
        </is>
      </c>
      <c r="K166" s="156" t="inlineStr">
        <is>
          <t>Saitama (Koshigaya)</t>
        </is>
      </c>
      <c r="L166" s="156" t="inlineStr">
        <is>
          <t>Not found</t>
        </is>
      </c>
      <c r="M166" s="156" t="inlineStr">
        <is>
          <t>n/a</t>
        </is>
      </c>
      <c r="N166" s="156" t="inlineStr">
        <is>
          <t>Not identified</t>
        </is>
      </c>
      <c r="O166" s="156" t="inlineStr">
        <is>
          <t>Not identified</t>
        </is>
      </c>
      <c r="P166" s="156" t="inlineStr">
        <is>
          <t>Not searched (search budget)</t>
        </is>
      </c>
      <c r="Q166" s="156" t="inlineStr">
        <is>
          <t>Not found (use site)</t>
        </is>
      </c>
      <c r="R166" s="156" t="inlineStr">
        <is>
          <t>Not identified</t>
        </is>
      </c>
      <c r="S166" s="156" t="inlineStr">
        <is>
          <t>Unverified</t>
        </is>
      </c>
      <c r="T166" s="158">
        <f>SUM(Z166:AF166)</f>
        <v>17</v>
      </c>
      <c r="U166" s="162" t="inlineStr">
        <is>
          <t>V4</t>
        </is>
      </c>
      <c r="V166" s="156" t="inlineStr">
        <is>
          <t>QUALIFY FIRST: animal hospital sales not confirmed in sources. Sells and wholesales operating tables and washers.</t>
        </is>
      </c>
      <c r="W166" s="156" t="inlineStr">
        <is>
          <t>Open by asking whether they serve animal hospitals today; if yes, offer a vet line with no overlap to their human ultrasound brands.</t>
        </is>
      </c>
      <c r="X166" s="156" t="inlineStr">
        <is>
          <t>Not checked (human list not in v17)</t>
        </is>
      </c>
      <c r="Y166" s="156" t="inlineStr">
        <is>
          <t>https://baseconnect.in/companies/prefecture/5b2e6d00-cfba-4d0b-850d-54757e4b4d7f/keyword/89941b4e-2dd1-4848-8957-48af280a31e0</t>
        </is>
      </c>
      <c r="Z166" s="156" t="n">
        <v>2</v>
      </c>
      <c r="AA166" s="156" t="n">
        <v>3</v>
      </c>
      <c r="AB166" s="156" t="n">
        <v>3</v>
      </c>
      <c r="AC166" s="156" t="n">
        <v>2</v>
      </c>
      <c r="AD166" s="156" t="n">
        <v>1</v>
      </c>
      <c r="AE166" s="156" t="n">
        <v>4</v>
      </c>
      <c r="AF166" s="156" t="n">
        <v>2</v>
      </c>
      <c r="AG166" s="163" t="inlineStr">
        <is>
          <t>Qualify first</t>
        </is>
      </c>
    </row>
    <row r="167" ht="75" customHeight="1" s="114">
      <c r="A167" s="156" t="n">
        <v>163</v>
      </c>
      <c r="B167" s="156" t="inlineStr">
        <is>
          <t>Hoshino Iryoki Co., Ltd.</t>
        </is>
      </c>
      <c r="C167" s="156" t="inlineStr">
        <is>
          <t>ホシノ医療器株式会社</t>
        </is>
      </c>
      <c r="D167" s="156" t="inlineStr">
        <is>
          <t>Not found (NTA lookup blocked; dedupe by Japanese name)</t>
        </is>
      </c>
      <c r="E167" s="156" t="inlineStr">
        <is>
          <t>Saitama</t>
        </is>
      </c>
      <c r="F167" s="156" t="inlineStr">
        <is>
          <t>Kanto</t>
        </is>
      </c>
      <c r="G167" s="156" t="inlineStr">
        <is>
          <t>Not found</t>
        </is>
      </c>
      <c r="H167" s="156" t="inlineStr">
        <is>
          <t>Human device sales licences; 動物用 licence not confirmed</t>
        </is>
      </c>
      <c r="I167" s="156" t="inlineStr">
        <is>
          <t>Human multi brand lines (ultrasound brands not confirmed)</t>
        </is>
      </c>
      <c r="J167" s="156" t="inlineStr">
        <is>
          <t>Companion</t>
        </is>
      </c>
      <c r="K167" s="156" t="inlineStr">
        <is>
          <t>Saitama</t>
        </is>
      </c>
      <c r="L167" s="156" t="inlineStr">
        <is>
          <t>Not found</t>
        </is>
      </c>
      <c r="M167" s="156" t="inlineStr">
        <is>
          <t>n/a</t>
        </is>
      </c>
      <c r="N167" s="156" t="inlineStr">
        <is>
          <t>Not identified</t>
        </is>
      </c>
      <c r="O167" s="156" t="inlineStr">
        <is>
          <t>Not identified</t>
        </is>
      </c>
      <c r="P167" s="156" t="inlineStr">
        <is>
          <t>Not searched (search budget)</t>
        </is>
      </c>
      <c r="Q167" s="156" t="inlineStr">
        <is>
          <t>Not found (use site)</t>
        </is>
      </c>
      <c r="R167" s="156" t="inlineStr">
        <is>
          <t>Not identified</t>
        </is>
      </c>
      <c r="S167" s="156" t="inlineStr">
        <is>
          <t>Unverified</t>
        </is>
      </c>
      <c r="T167" s="158">
        <f>SUM(Z167:AF167)</f>
        <v>17</v>
      </c>
      <c r="U167" s="162" t="inlineStr">
        <is>
          <t>V4</t>
        </is>
      </c>
      <c r="V167" s="156" t="inlineStr">
        <is>
          <t>QUALIFY FIRST: animal hospital sales not confirmed in sources. Medical supplies and instruments dealer. FLAG: HQ prefecture inferred from a Saitama listing.</t>
        </is>
      </c>
      <c r="W167" s="156" t="inlineStr">
        <is>
          <t>Open by asking whether they serve animal hospitals today; if yes, offer a vet line with no overlap to their human ultrasound brands.</t>
        </is>
      </c>
      <c r="X167" s="156" t="inlineStr">
        <is>
          <t>Not checked (human list not in v17)</t>
        </is>
      </c>
      <c r="Y167" s="156" t="inlineStr">
        <is>
          <t>https://baseconnect.in/companies/prefecture/5b2e6d00-cfba-4d0b-850d-54757e4b4d7f/keyword/14f3dcec-9cd5-4be5-84e1-ddccb7bd228c</t>
        </is>
      </c>
      <c r="Z167" s="156" t="n">
        <v>2</v>
      </c>
      <c r="AA167" s="156" t="n">
        <v>3</v>
      </c>
      <c r="AB167" s="156" t="n">
        <v>3</v>
      </c>
      <c r="AC167" s="156" t="n">
        <v>2</v>
      </c>
      <c r="AD167" s="156" t="n">
        <v>1</v>
      </c>
      <c r="AE167" s="156" t="n">
        <v>4</v>
      </c>
      <c r="AF167" s="156" t="n">
        <v>2</v>
      </c>
      <c r="AG167" s="163" t="inlineStr">
        <is>
          <t>Qualify first</t>
        </is>
      </c>
    </row>
    <row r="168" ht="75" customHeight="1" s="114">
      <c r="A168" s="156" t="n">
        <v>164</v>
      </c>
      <c r="B168" s="156" t="inlineStr">
        <is>
          <t>Isobe Medical Ltd.</t>
        </is>
      </c>
      <c r="C168" s="156" t="inlineStr">
        <is>
          <t>有限会社イソベメディカル</t>
        </is>
      </c>
      <c r="D168" s="156" t="inlineStr">
        <is>
          <t>Not found (NTA lookup blocked; dedupe by Japanese name)</t>
        </is>
      </c>
      <c r="E168" s="156" t="inlineStr">
        <is>
          <t>Saitama</t>
        </is>
      </c>
      <c r="F168" s="156" t="inlineStr">
        <is>
          <t>Kanto</t>
        </is>
      </c>
      <c r="G168" s="156" t="inlineStr">
        <is>
          <t>Not found</t>
        </is>
      </c>
      <c r="H168" s="156" t="inlineStr">
        <is>
          <t>Human device sales licences; 動物用 licence not confirmed</t>
        </is>
      </c>
      <c r="I168" s="156" t="inlineStr">
        <is>
          <t>Human multi brand lines (ultrasound brands not confirmed)</t>
        </is>
      </c>
      <c r="J168" s="156" t="inlineStr">
        <is>
          <t>Companion</t>
        </is>
      </c>
      <c r="K168" s="156" t="inlineStr">
        <is>
          <t>Saitama (Kawagoe)</t>
        </is>
      </c>
      <c r="L168" s="156" t="inlineStr">
        <is>
          <t>Not found</t>
        </is>
      </c>
      <c r="M168" s="156" t="inlineStr">
        <is>
          <t>n/a</t>
        </is>
      </c>
      <c r="N168" s="156" t="inlineStr">
        <is>
          <t>Not identified</t>
        </is>
      </c>
      <c r="O168" s="156" t="inlineStr">
        <is>
          <t>Not identified</t>
        </is>
      </c>
      <c r="P168" s="156" t="inlineStr">
        <is>
          <t>Not searched (search budget)</t>
        </is>
      </c>
      <c r="Q168" s="156" t="inlineStr">
        <is>
          <t>Not found (use site)</t>
        </is>
      </c>
      <c r="R168" s="156" t="inlineStr">
        <is>
          <t>Not identified</t>
        </is>
      </c>
      <c r="S168" s="156" t="inlineStr">
        <is>
          <t>Unverified</t>
        </is>
      </c>
      <c r="T168" s="158">
        <f>SUM(Z168:AF168)</f>
        <v>17</v>
      </c>
      <c r="U168" s="162" t="inlineStr">
        <is>
          <t>V4</t>
        </is>
      </c>
      <c r="V168" s="156" t="inlineStr">
        <is>
          <t>QUALIFY FIRST: animal hospital sales not confirmed in sources. Orthopaedic materials wholesaler; Saitama device dealers association member.</t>
        </is>
      </c>
      <c r="W168" s="156" t="inlineStr">
        <is>
          <t>Open by asking whether they serve animal hospitals today; if yes, offer a vet line with no overlap to their human ultrasound brands.</t>
        </is>
      </c>
      <c r="X168" s="156" t="inlineStr">
        <is>
          <t>Not checked (human list not in v17)</t>
        </is>
      </c>
      <c r="Y168" s="156" t="inlineStr">
        <is>
          <t>https://baseconnect.in/companies/prefecture/5b2e6d00-cfba-4d0b-850d-54757e4b4d7f/keyword/89941b4e-2dd1-4848-8957-48af280a31e0</t>
        </is>
      </c>
      <c r="Z168" s="156" t="n">
        <v>2</v>
      </c>
      <c r="AA168" s="156" t="n">
        <v>3</v>
      </c>
      <c r="AB168" s="156" t="n">
        <v>3</v>
      </c>
      <c r="AC168" s="156" t="n">
        <v>2</v>
      </c>
      <c r="AD168" s="156" t="n">
        <v>1</v>
      </c>
      <c r="AE168" s="156" t="n">
        <v>4</v>
      </c>
      <c r="AF168" s="156" t="n">
        <v>2</v>
      </c>
      <c r="AG168" s="163" t="inlineStr">
        <is>
          <t>Qualify first</t>
        </is>
      </c>
    </row>
    <row r="169" ht="75" customHeight="1" s="114">
      <c r="A169" s="156" t="n">
        <v>165</v>
      </c>
      <c r="B169" s="156" t="inlineStr">
        <is>
          <t>Iwabuchi Yakuhin Co., Ltd.</t>
        </is>
      </c>
      <c r="C169" s="156" t="inlineStr">
        <is>
          <t>岩渕薬品株式会社</t>
        </is>
      </c>
      <c r="D169" s="156" t="inlineStr">
        <is>
          <t>Not found (NTA lookup blocked; dedupe by Japanese name)</t>
        </is>
      </c>
      <c r="E169" s="156" t="inlineStr">
        <is>
          <t>Chiba</t>
        </is>
      </c>
      <c r="F169" s="156" t="inlineStr">
        <is>
          <t>Kanto</t>
        </is>
      </c>
      <c r="G169" s="156" t="inlineStr">
        <is>
          <t>Not found</t>
        </is>
      </c>
      <c r="H169" s="156" t="inlineStr">
        <is>
          <t>Human device sales licences; 動物用 licence not confirmed</t>
        </is>
      </c>
      <c r="I169" s="156" t="inlineStr">
        <is>
          <t>Human multi brand lines (ultrasound brands not confirmed)</t>
        </is>
      </c>
      <c r="J169" s="156" t="inlineStr">
        <is>
          <t>Companion</t>
        </is>
      </c>
      <c r="K169" s="156" t="inlineStr">
        <is>
          <t>Chiba</t>
        </is>
      </c>
      <c r="L169" s="156" t="inlineStr">
        <is>
          <t>Not found</t>
        </is>
      </c>
      <c r="M169" s="156" t="inlineStr">
        <is>
          <t>n/a</t>
        </is>
      </c>
      <c r="N169" s="156" t="inlineStr">
        <is>
          <t>Not identified</t>
        </is>
      </c>
      <c r="O169" s="156" t="inlineStr">
        <is>
          <t>Not identified</t>
        </is>
      </c>
      <c r="P169" s="156" t="inlineStr">
        <is>
          <t>Not searched (search budget)</t>
        </is>
      </c>
      <c r="Q169" s="156" t="inlineStr">
        <is>
          <t>Not found (use site)</t>
        </is>
      </c>
      <c r="R169" s="156" t="inlineStr">
        <is>
          <t>Not identified</t>
        </is>
      </c>
      <c r="S169" s="156" t="inlineStr">
        <is>
          <t>Unverified</t>
        </is>
      </c>
      <c r="T169" s="158">
        <f>SUM(Z169:AF169)</f>
        <v>17</v>
      </c>
      <c r="U169" s="162" t="inlineStr">
        <is>
          <t>V4</t>
        </is>
      </c>
      <c r="V169" s="156" t="inlineStr">
        <is>
          <t>QUALIFY FIRST: animal hospital sales not confirmed in sources. Chiba pharma and device wholesaler.</t>
        </is>
      </c>
      <c r="W169" s="156" t="inlineStr">
        <is>
          <t>Open by asking whether they serve animal hospitals today; if yes, offer a vet line with no overlap to their human ultrasound brands.</t>
        </is>
      </c>
      <c r="X169" s="156" t="inlineStr">
        <is>
          <t>Not checked (human list not in v17)</t>
        </is>
      </c>
      <c r="Y169" s="156" t="inlineStr">
        <is>
          <t>https://baseconnect.in/companies/prefecture/3420045f-8609-4232-9407-75407ae4e6e8/keyword/89941b4e-2dd1-4848-8957-48af280a31e0 ; http://www.citydo.com/prf/chiba/chiba/guide/sg/wg_list.html?c=0501005</t>
        </is>
      </c>
      <c r="Z169" s="156" t="n">
        <v>2</v>
      </c>
      <c r="AA169" s="156" t="n">
        <v>3</v>
      </c>
      <c r="AB169" s="156" t="n">
        <v>3</v>
      </c>
      <c r="AC169" s="156" t="n">
        <v>2</v>
      </c>
      <c r="AD169" s="156" t="n">
        <v>1</v>
      </c>
      <c r="AE169" s="156" t="n">
        <v>4</v>
      </c>
      <c r="AF169" s="156" t="n">
        <v>2</v>
      </c>
      <c r="AG169" s="163" t="inlineStr">
        <is>
          <t>Qualify first</t>
        </is>
      </c>
    </row>
    <row r="170" ht="75" customHeight="1" s="114">
      <c r="A170" s="156" t="n">
        <v>166</v>
      </c>
      <c r="B170" s="156" t="inlineStr">
        <is>
          <t>J Tec Co., Ltd. (Tochigi)</t>
        </is>
      </c>
      <c r="C170" s="156" t="inlineStr">
        <is>
          <t>株式会社ジェイテック</t>
        </is>
      </c>
      <c r="D170" s="156" t="inlineStr">
        <is>
          <t>Not found (NTA lookup blocked; dedupe by Japanese name)</t>
        </is>
      </c>
      <c r="E170" s="156" t="inlineStr">
        <is>
          <t>Tochigi</t>
        </is>
      </c>
      <c r="F170" s="156" t="inlineStr">
        <is>
          <t>Kanto</t>
        </is>
      </c>
      <c r="G170" s="156" t="inlineStr">
        <is>
          <t>Not found</t>
        </is>
      </c>
      <c r="H170" s="156" t="inlineStr">
        <is>
          <t>Human device sales licences; 動物用 licence not confirmed</t>
        </is>
      </c>
      <c r="I170" s="156" t="inlineStr">
        <is>
          <t>Human multi brand lines (ultrasound brands not confirmed)</t>
        </is>
      </c>
      <c r="J170" s="156" t="inlineStr">
        <is>
          <t>Companion</t>
        </is>
      </c>
      <c r="K170" s="156" t="inlineStr">
        <is>
          <t>Tochigi</t>
        </is>
      </c>
      <c r="L170" s="156" t="inlineStr">
        <is>
          <t>Not found</t>
        </is>
      </c>
      <c r="M170" s="156" t="inlineStr">
        <is>
          <t>n/a</t>
        </is>
      </c>
      <c r="N170" s="156" t="inlineStr">
        <is>
          <t>Not identified</t>
        </is>
      </c>
      <c r="O170" s="156" t="inlineStr">
        <is>
          <t>Not identified</t>
        </is>
      </c>
      <c r="P170" s="156" t="inlineStr">
        <is>
          <t>Not searched (search budget)</t>
        </is>
      </c>
      <c r="Q170" s="156" t="inlineStr">
        <is>
          <t>Not found (use site)</t>
        </is>
      </c>
      <c r="R170" s="156" t="inlineStr">
        <is>
          <t>Not identified</t>
        </is>
      </c>
      <c r="S170" s="156" t="inlineStr">
        <is>
          <t>Unverified</t>
        </is>
      </c>
      <c r="T170" s="158">
        <f>SUM(Z170:AF170)</f>
        <v>17</v>
      </c>
      <c r="U170" s="162" t="inlineStr">
        <is>
          <t>V4</t>
        </is>
      </c>
      <c r="V170" s="156" t="inlineStr">
        <is>
          <t>QUALIFY FIRST: animal hospital sales not confirmed in sources. Sells catheters and ventilators.</t>
        </is>
      </c>
      <c r="W170" s="156" t="inlineStr">
        <is>
          <t>Open by asking whether they serve animal hospitals today; if yes, offer a vet line with no overlap to their human ultrasound brands.</t>
        </is>
      </c>
      <c r="X170" s="156" t="inlineStr">
        <is>
          <t>Not checked (human list not in v17)</t>
        </is>
      </c>
      <c r="Y170" s="156" t="inlineStr">
        <is>
          <t>https://baseconnect.in/companies/prefecture/5d54c878-c20d-4f57-bb73-e021f2210d6c/keyword/14f3dcec-9cd5-4be5-84e1-ddccb7bd228c</t>
        </is>
      </c>
      <c r="Z170" s="156" t="n">
        <v>2</v>
      </c>
      <c r="AA170" s="156" t="n">
        <v>3</v>
      </c>
      <c r="AB170" s="156" t="n">
        <v>3</v>
      </c>
      <c r="AC170" s="156" t="n">
        <v>2</v>
      </c>
      <c r="AD170" s="156" t="n">
        <v>1</v>
      </c>
      <c r="AE170" s="156" t="n">
        <v>4</v>
      </c>
      <c r="AF170" s="156" t="n">
        <v>2</v>
      </c>
      <c r="AG170" s="163" t="inlineStr">
        <is>
          <t>Qualify first</t>
        </is>
      </c>
    </row>
    <row r="171" ht="75" customHeight="1" s="114">
      <c r="A171" s="156" t="n">
        <v>167</v>
      </c>
      <c r="B171" s="156" t="inlineStr">
        <is>
          <t>KMC Co., Ltd.</t>
        </is>
      </c>
      <c r="C171" s="156" t="inlineStr">
        <is>
          <t>株式会社ケイエムシー</t>
        </is>
      </c>
      <c r="D171" s="156" t="inlineStr">
        <is>
          <t>Not found (NTA lookup blocked; dedupe by Japanese name)</t>
        </is>
      </c>
      <c r="E171" s="156" t="inlineStr">
        <is>
          <t>Chiba</t>
        </is>
      </c>
      <c r="F171" s="156" t="inlineStr">
        <is>
          <t>Kanto</t>
        </is>
      </c>
      <c r="G171" s="156" t="inlineStr">
        <is>
          <t>Not found</t>
        </is>
      </c>
      <c r="H171" s="156" t="inlineStr">
        <is>
          <t>Human device sales licences; 動物用 licence not confirmed</t>
        </is>
      </c>
      <c r="I171" s="156" t="inlineStr">
        <is>
          <t>Human multi brand lines (ultrasound brands not confirmed)</t>
        </is>
      </c>
      <c r="J171" s="156" t="inlineStr">
        <is>
          <t>Companion</t>
        </is>
      </c>
      <c r="K171" s="156" t="inlineStr">
        <is>
          <t>Chiba</t>
        </is>
      </c>
      <c r="L171" s="156" t="inlineStr">
        <is>
          <t>Not found</t>
        </is>
      </c>
      <c r="M171" s="156" t="inlineStr">
        <is>
          <t>n/a</t>
        </is>
      </c>
      <c r="N171" s="156" t="inlineStr">
        <is>
          <t>Not identified</t>
        </is>
      </c>
      <c r="O171" s="156" t="inlineStr">
        <is>
          <t>Not identified</t>
        </is>
      </c>
      <c r="P171" s="156" t="inlineStr">
        <is>
          <t>Not searched (search budget)</t>
        </is>
      </c>
      <c r="Q171" s="156" t="inlineStr">
        <is>
          <t>Not found (use site)</t>
        </is>
      </c>
      <c r="R171" s="156" t="inlineStr">
        <is>
          <t>Not identified</t>
        </is>
      </c>
      <c r="S171" s="156" t="inlineStr">
        <is>
          <t>Unverified</t>
        </is>
      </c>
      <c r="T171" s="158">
        <f>SUM(Z171:AF171)</f>
        <v>17</v>
      </c>
      <c r="U171" s="162" t="inlineStr">
        <is>
          <t>V4</t>
        </is>
      </c>
      <c r="V171" s="156" t="inlineStr">
        <is>
          <t>QUALIFY FIRST: animal hospital sales not confirmed in sources. Chiba device wholesaler.</t>
        </is>
      </c>
      <c r="W171" s="156" t="inlineStr">
        <is>
          <t>Open by asking whether they serve animal hospitals today; if yes, offer a vet line with no overlap to their human ultrasound brands.</t>
        </is>
      </c>
      <c r="X171" s="156" t="inlineStr">
        <is>
          <t>Not checked (human list not in v17)</t>
        </is>
      </c>
      <c r="Y171" s="156" t="inlineStr">
        <is>
          <t>https://baseconnect.in/companies/prefecture/3420045f-8609-4232-9407-75407ae4e6e8/keyword/89941b4e-2dd1-4848-8957-48af280a31e0</t>
        </is>
      </c>
      <c r="Z171" s="156" t="n">
        <v>2</v>
      </c>
      <c r="AA171" s="156" t="n">
        <v>3</v>
      </c>
      <c r="AB171" s="156" t="n">
        <v>3</v>
      </c>
      <c r="AC171" s="156" t="n">
        <v>2</v>
      </c>
      <c r="AD171" s="156" t="n">
        <v>1</v>
      </c>
      <c r="AE171" s="156" t="n">
        <v>4</v>
      </c>
      <c r="AF171" s="156" t="n">
        <v>2</v>
      </c>
      <c r="AG171" s="163" t="inlineStr">
        <is>
          <t>Qualify first</t>
        </is>
      </c>
    </row>
    <row r="172" ht="75" customHeight="1" s="114">
      <c r="A172" s="156" t="n">
        <v>168</v>
      </c>
      <c r="B172" s="156" t="inlineStr">
        <is>
          <t>Koei Ltd.</t>
        </is>
      </c>
      <c r="C172" s="156" t="inlineStr">
        <is>
          <t>有限会社昊栄</t>
        </is>
      </c>
      <c r="D172" s="156" t="inlineStr">
        <is>
          <t>Not found (NTA lookup blocked; dedupe by Japanese name)</t>
        </is>
      </c>
      <c r="E172" s="156" t="inlineStr">
        <is>
          <t>Ibaraki</t>
        </is>
      </c>
      <c r="F172" s="156" t="inlineStr">
        <is>
          <t>Kanto</t>
        </is>
      </c>
      <c r="G172" s="156" t="inlineStr">
        <is>
          <t>Not found</t>
        </is>
      </c>
      <c r="H172" s="156" t="inlineStr">
        <is>
          <t>Human device sales licences; 動物用 licence not confirmed</t>
        </is>
      </c>
      <c r="I172" s="156" t="inlineStr">
        <is>
          <t>Human multi brand lines (ultrasound brands not confirmed)</t>
        </is>
      </c>
      <c r="J172" s="156" t="inlineStr">
        <is>
          <t>Companion</t>
        </is>
      </c>
      <c r="K172" s="156" t="inlineStr">
        <is>
          <t>Ibaraki (Chikusei)</t>
        </is>
      </c>
      <c r="L172" s="156" t="inlineStr">
        <is>
          <t>Not found</t>
        </is>
      </c>
      <c r="M172" s="156" t="inlineStr">
        <is>
          <t>n/a</t>
        </is>
      </c>
      <c r="N172" s="156" t="inlineStr">
        <is>
          <t>Not identified</t>
        </is>
      </c>
      <c r="O172" s="156" t="inlineStr">
        <is>
          <t>Not identified</t>
        </is>
      </c>
      <c r="P172" s="156" t="inlineStr">
        <is>
          <t>Not searched (search budget)</t>
        </is>
      </c>
      <c r="Q172" s="156" t="inlineStr">
        <is>
          <t>Not found (use site)</t>
        </is>
      </c>
      <c r="R172" s="156" t="inlineStr">
        <is>
          <t>Not identified</t>
        </is>
      </c>
      <c r="S172" s="156" t="inlineStr">
        <is>
          <t>Unverified</t>
        </is>
      </c>
      <c r="T172" s="158">
        <f>SUM(Z172:AF172)</f>
        <v>17</v>
      </c>
      <c r="U172" s="162" t="inlineStr">
        <is>
          <t>V4</t>
        </is>
      </c>
      <c r="V172" s="156" t="inlineStr">
        <is>
          <t>QUALIFY FIRST: animal hospital sales not confirmed in sources. Device and welfare equipment wholesaler.</t>
        </is>
      </c>
      <c r="W172" s="156" t="inlineStr">
        <is>
          <t>Open by asking whether they serve animal hospitals today; if yes, offer a vet line with no overlap to their human ultrasound brands.</t>
        </is>
      </c>
      <c r="X172" s="156" t="inlineStr">
        <is>
          <t>Not checked (human list not in v17)</t>
        </is>
      </c>
      <c r="Y172" s="156" t="inlineStr">
        <is>
          <t>https://baseconnect.in/companies/prefecture/d8203dea-91e2-41c3-a785-b80aa997273c/category/b2358a1c-c4c6-46f4-a0b1-dee3a1b30a0b</t>
        </is>
      </c>
      <c r="Z172" s="156" t="n">
        <v>2</v>
      </c>
      <c r="AA172" s="156" t="n">
        <v>3</v>
      </c>
      <c r="AB172" s="156" t="n">
        <v>3</v>
      </c>
      <c r="AC172" s="156" t="n">
        <v>2</v>
      </c>
      <c r="AD172" s="156" t="n">
        <v>1</v>
      </c>
      <c r="AE172" s="156" t="n">
        <v>4</v>
      </c>
      <c r="AF172" s="156" t="n">
        <v>2</v>
      </c>
      <c r="AG172" s="163" t="inlineStr">
        <is>
          <t>Qualify first</t>
        </is>
      </c>
    </row>
    <row r="173" ht="75" customHeight="1" s="114">
      <c r="A173" s="156" t="n">
        <v>169</v>
      </c>
      <c r="B173" s="156" t="inlineStr">
        <is>
          <t>LMS Co., Ltd.</t>
        </is>
      </c>
      <c r="C173" s="156" t="inlineStr">
        <is>
          <t>株式会社エル・エム・エス</t>
        </is>
      </c>
      <c r="D173" s="156" t="inlineStr">
        <is>
          <t>Not found (NTA lookup blocked; dedupe by Japanese name)</t>
        </is>
      </c>
      <c r="E173" s="156" t="inlineStr">
        <is>
          <t>Tokyo</t>
        </is>
      </c>
      <c r="F173" s="156" t="inlineStr">
        <is>
          <t>Kanto</t>
        </is>
      </c>
      <c r="G173" s="156" t="inlineStr">
        <is>
          <t>Not found</t>
        </is>
      </c>
      <c r="H173" s="156" t="inlineStr">
        <is>
          <t>Human device sales licences; 動物用 licence not confirmed</t>
        </is>
      </c>
      <c r="I173" s="156" t="inlineStr">
        <is>
          <t>Human multi brand lines (ultrasound brands not confirmed)</t>
        </is>
      </c>
      <c r="J173" s="156" t="inlineStr">
        <is>
          <t>Companion</t>
        </is>
      </c>
      <c r="K173" s="156" t="inlineStr">
        <is>
          <t>National</t>
        </is>
      </c>
      <c r="L173" s="156" t="inlineStr">
        <is>
          <t>Not found</t>
        </is>
      </c>
      <c r="M173" s="156" t="inlineStr">
        <is>
          <t>n/a</t>
        </is>
      </c>
      <c r="N173" s="156" t="inlineStr">
        <is>
          <t>Not identified</t>
        </is>
      </c>
      <c r="O173" s="156" t="inlineStr">
        <is>
          <t>Not identified</t>
        </is>
      </c>
      <c r="P173" s="156" t="inlineStr">
        <is>
          <t>Not searched (search budget)</t>
        </is>
      </c>
      <c r="Q173" s="156" t="inlineStr">
        <is>
          <t>Not found (use site)</t>
        </is>
      </c>
      <c r="R173" s="156" t="inlineStr">
        <is>
          <t>Not identified</t>
        </is>
      </c>
      <c r="S173" s="156" t="inlineStr">
        <is>
          <t>Unverified</t>
        </is>
      </c>
      <c r="T173" s="158">
        <f>SUM(Z173:AF173)</f>
        <v>17</v>
      </c>
      <c r="U173" s="162" t="inlineStr">
        <is>
          <t>V4</t>
        </is>
      </c>
      <c r="V173" s="156" t="inlineStr">
        <is>
          <t>QUALIFY FIRST: animal hospital sales not confirmed in sources. Tokyo device wholesaler.</t>
        </is>
      </c>
      <c r="W173" s="156" t="inlineStr">
        <is>
          <t>Open by asking whether they serve animal hospitals today; if yes, offer a vet line with no overlap to their human ultrasound brands.</t>
        </is>
      </c>
      <c r="X173" s="156" t="inlineStr">
        <is>
          <t>Not checked (human list not in v17)</t>
        </is>
      </c>
      <c r="Y173" s="156" t="inlineStr">
        <is>
          <t>https://www.nikkei.com/compass/search/Y2F0ZWdvcnk9Y29tcGFueSZyZWdpb249MTMmaW5kdXN0cnlTPTA1MzI</t>
        </is>
      </c>
      <c r="Z173" s="156" t="n">
        <v>2</v>
      </c>
      <c r="AA173" s="156" t="n">
        <v>3</v>
      </c>
      <c r="AB173" s="156" t="n">
        <v>3</v>
      </c>
      <c r="AC173" s="156" t="n">
        <v>2</v>
      </c>
      <c r="AD173" s="156" t="n">
        <v>1</v>
      </c>
      <c r="AE173" s="156" t="n">
        <v>4</v>
      </c>
      <c r="AF173" s="156" t="n">
        <v>2</v>
      </c>
      <c r="AG173" s="163" t="inlineStr">
        <is>
          <t>Qualify first</t>
        </is>
      </c>
    </row>
    <row r="174" ht="75" customHeight="1" s="114">
      <c r="A174" s="156" t="n">
        <v>170</v>
      </c>
      <c r="B174" s="156" t="inlineStr">
        <is>
          <t>MC Medical, Inc.</t>
        </is>
      </c>
      <c r="C174" s="156" t="inlineStr">
        <is>
          <t>エム・シー・メディカル株式会社</t>
        </is>
      </c>
      <c r="D174" s="156" t="inlineStr">
        <is>
          <t>Not found (NTA lookup blocked; dedupe by Japanese name)</t>
        </is>
      </c>
      <c r="E174" s="156" t="inlineStr">
        <is>
          <t>Tokyo</t>
        </is>
      </c>
      <c r="F174" s="156" t="inlineStr">
        <is>
          <t>Kanto</t>
        </is>
      </c>
      <c r="G174" s="156" t="inlineStr">
        <is>
          <t>Not found</t>
        </is>
      </c>
      <c r="H174" s="156" t="inlineStr">
        <is>
          <t>Human device sales licences; 動物用 licence not confirmed</t>
        </is>
      </c>
      <c r="I174" s="156" t="inlineStr">
        <is>
          <t>Human multi brand lines (ultrasound brands not confirmed)</t>
        </is>
      </c>
      <c r="J174" s="156" t="inlineStr">
        <is>
          <t>Companion</t>
        </is>
      </c>
      <c r="K174" s="156" t="inlineStr">
        <is>
          <t>National</t>
        </is>
      </c>
      <c r="L174" s="156" t="inlineStr">
        <is>
          <t>Not found</t>
        </is>
      </c>
      <c r="M174" s="156" t="inlineStr">
        <is>
          <t>n/a</t>
        </is>
      </c>
      <c r="N174" s="156" t="inlineStr">
        <is>
          <t>Not identified</t>
        </is>
      </c>
      <c r="O174" s="156" t="inlineStr">
        <is>
          <t>Not identified</t>
        </is>
      </c>
      <c r="P174" s="156" t="inlineStr">
        <is>
          <t>Not searched (search budget)</t>
        </is>
      </c>
      <c r="Q174" s="156" t="inlineStr">
        <is>
          <t>Not found (use site)</t>
        </is>
      </c>
      <c r="R174" s="156" t="inlineStr">
        <is>
          <t>Not identified</t>
        </is>
      </c>
      <c r="S174" s="156" t="inlineStr">
        <is>
          <t>Unverified</t>
        </is>
      </c>
      <c r="T174" s="158">
        <f>SUM(Z174:AF174)</f>
        <v>17</v>
      </c>
      <c r="U174" s="162" t="inlineStr">
        <is>
          <t>V4</t>
        </is>
      </c>
      <c r="V174" s="156" t="inlineStr">
        <is>
          <t>QUALIFY FIRST: animal hospital sales not confirmed in sources. Tokyo device and supplies wholesaler.</t>
        </is>
      </c>
      <c r="W174" s="156" t="inlineStr">
        <is>
          <t>Open by asking whether they serve animal hospitals today; if yes, offer a vet line with no overlap to their human ultrasound brands.</t>
        </is>
      </c>
      <c r="X174" s="156" t="inlineStr">
        <is>
          <t>Not checked (human list not in v17)</t>
        </is>
      </c>
      <c r="Y174" s="156" t="inlineStr">
        <is>
          <t>https://www.nikkei.com/compass/search/Y2F0ZWdvcnk9Y29tcGFueSZyZWdpb249MTMmaW5kdXN0cnlTPTA1MzI</t>
        </is>
      </c>
      <c r="Z174" s="156" t="n">
        <v>2</v>
      </c>
      <c r="AA174" s="156" t="n">
        <v>3</v>
      </c>
      <c r="AB174" s="156" t="n">
        <v>3</v>
      </c>
      <c r="AC174" s="156" t="n">
        <v>2</v>
      </c>
      <c r="AD174" s="156" t="n">
        <v>1</v>
      </c>
      <c r="AE174" s="156" t="n">
        <v>4</v>
      </c>
      <c r="AF174" s="156" t="n">
        <v>2</v>
      </c>
      <c r="AG174" s="163" t="inlineStr">
        <is>
          <t>Qualify first</t>
        </is>
      </c>
    </row>
    <row r="175" ht="75" customHeight="1" s="114">
      <c r="A175" s="156" t="n">
        <v>171</v>
      </c>
      <c r="B175" s="156" t="inlineStr">
        <is>
          <t>Mediceo Corporation</t>
        </is>
      </c>
      <c r="C175" s="156" t="inlineStr">
        <is>
          <t>株式会社メディセオ</t>
        </is>
      </c>
      <c r="D175" s="156" t="inlineStr">
        <is>
          <t>Not found (NTA lookup blocked; dedupe by Japanese name)</t>
        </is>
      </c>
      <c r="E175" s="156" t="inlineStr">
        <is>
          <t>Tokyo</t>
        </is>
      </c>
      <c r="F175" s="156" t="inlineStr">
        <is>
          <t>Kanto</t>
        </is>
      </c>
      <c r="G175" s="156" t="inlineStr">
        <is>
          <t>Not found</t>
        </is>
      </c>
      <c r="H175" s="156" t="inlineStr">
        <is>
          <t>Human device sales licences; 動物用 licence not confirmed</t>
        </is>
      </c>
      <c r="I175" s="156" t="inlineStr">
        <is>
          <t>Human multi brand lines (ultrasound brands not confirmed)</t>
        </is>
      </c>
      <c r="J175" s="156" t="inlineStr">
        <is>
          <t>Companion</t>
        </is>
      </c>
      <c r="K175" s="156" t="inlineStr">
        <is>
          <t>National</t>
        </is>
      </c>
      <c r="L175" s="156" t="inlineStr">
        <is>
          <t>Large (Medipal group)</t>
        </is>
      </c>
      <c r="M175" s="156" t="inlineStr">
        <is>
          <t>n/a</t>
        </is>
      </c>
      <c r="N175" s="156" t="inlineStr">
        <is>
          <t>Not identified</t>
        </is>
      </c>
      <c r="O175" s="156" t="inlineStr">
        <is>
          <t>Not identified</t>
        </is>
      </c>
      <c r="P175" s="156" t="inlineStr">
        <is>
          <t>Not searched (search budget)</t>
        </is>
      </c>
      <c r="Q175" s="156" t="inlineStr">
        <is>
          <t>Not found (use site)</t>
        </is>
      </c>
      <c r="R175" s="156" t="inlineStr">
        <is>
          <t>Not identified</t>
        </is>
      </c>
      <c r="S175" s="156" t="inlineStr">
        <is>
          <t>Unverified</t>
        </is>
      </c>
      <c r="T175" s="158">
        <f>SUM(Z175:AF175)</f>
        <v>17</v>
      </c>
      <c r="U175" s="162" t="inlineStr">
        <is>
          <t>V4</t>
        </is>
      </c>
      <c r="V175" s="156" t="inlineStr">
        <is>
          <t>QUALIFY FIRST: animal hospital sales not confirmed in sources. Medipal group pharma and device wholesaler. FLAG: Same group as MP Agro (already on Japan Dealers tab); coordinate before contact.</t>
        </is>
      </c>
      <c r="W175" s="156" t="inlineStr">
        <is>
          <t>Open by asking whether they serve animal hospitals today; if yes, offer a vet line with no overlap to their human ultrasound brands.</t>
        </is>
      </c>
      <c r="X175" s="156" t="inlineStr">
        <is>
          <t>Not checked (human list not in v17)</t>
        </is>
      </c>
      <c r="Y175" s="156" t="inlineStr">
        <is>
          <t>https://baseconnect.in/companies/prefecture/a30ebdff-361b-42be-8372-1b0d350f48a0/keyword/89941b4e-2dd1-4848-8957-48af280a31e0</t>
        </is>
      </c>
      <c r="Z175" s="156" t="n">
        <v>2</v>
      </c>
      <c r="AA175" s="156" t="n">
        <v>3</v>
      </c>
      <c r="AB175" s="156" t="n">
        <v>3</v>
      </c>
      <c r="AC175" s="156" t="n">
        <v>2</v>
      </c>
      <c r="AD175" s="156" t="n">
        <v>1</v>
      </c>
      <c r="AE175" s="156" t="n">
        <v>4</v>
      </c>
      <c r="AF175" s="156" t="n">
        <v>2</v>
      </c>
      <c r="AG175" s="163" t="inlineStr">
        <is>
          <t>Qualify first</t>
        </is>
      </c>
    </row>
    <row r="176" ht="75" customHeight="1" s="114">
      <c r="A176" s="156" t="n">
        <v>172</v>
      </c>
      <c r="B176" s="156" t="inlineStr">
        <is>
          <t>Nissei Medical Co., Ltd.</t>
        </is>
      </c>
      <c r="C176" s="156" t="inlineStr">
        <is>
          <t>株式会社日成メディカル</t>
        </is>
      </c>
      <c r="D176" s="156" t="inlineStr">
        <is>
          <t>Not found (NTA lookup blocked; dedupe by Japanese name)</t>
        </is>
      </c>
      <c r="E176" s="156" t="inlineStr">
        <is>
          <t>Tochigi</t>
        </is>
      </c>
      <c r="F176" s="156" t="inlineStr">
        <is>
          <t>Kanto</t>
        </is>
      </c>
      <c r="G176" s="156" t="inlineStr">
        <is>
          <t>Not found</t>
        </is>
      </c>
      <c r="H176" s="156" t="inlineStr">
        <is>
          <t>Human device sales licences; 動物用 licence not confirmed</t>
        </is>
      </c>
      <c r="I176" s="156" t="inlineStr">
        <is>
          <t>Human multi brand lines (ultrasound brands not confirmed)</t>
        </is>
      </c>
      <c r="J176" s="156" t="inlineStr">
        <is>
          <t>Companion</t>
        </is>
      </c>
      <c r="K176" s="156" t="inlineStr">
        <is>
          <t>Tochigi</t>
        </is>
      </c>
      <c r="L176" s="156" t="inlineStr">
        <is>
          <t>Not found</t>
        </is>
      </c>
      <c r="M176" s="156" t="inlineStr">
        <is>
          <t>n/a</t>
        </is>
      </c>
      <c r="N176" s="156" t="inlineStr">
        <is>
          <t>Not identified</t>
        </is>
      </c>
      <c r="O176" s="156" t="inlineStr">
        <is>
          <t>Not identified</t>
        </is>
      </c>
      <c r="P176" s="156" t="inlineStr">
        <is>
          <t>Not searched (search budget)</t>
        </is>
      </c>
      <c r="Q176" s="156" t="inlineStr">
        <is>
          <t>Not found (use site)</t>
        </is>
      </c>
      <c r="R176" s="156" t="inlineStr">
        <is>
          <t>Not identified</t>
        </is>
      </c>
      <c r="S176" s="156" t="inlineStr">
        <is>
          <t>Unverified</t>
        </is>
      </c>
      <c r="T176" s="158">
        <f>SUM(Z176:AF176)</f>
        <v>17</v>
      </c>
      <c r="U176" s="162" t="inlineStr">
        <is>
          <t>V4</t>
        </is>
      </c>
      <c r="V176" s="156" t="inlineStr">
        <is>
          <t>QUALIFY FIRST: animal hospital sales not confirmed in sources. Dialysis equipment wholesaler.</t>
        </is>
      </c>
      <c r="W176" s="156" t="inlineStr">
        <is>
          <t>Open by asking whether they serve animal hospitals today; if yes, offer a vet line with no overlap to their human ultrasound brands.</t>
        </is>
      </c>
      <c r="X176" s="156" t="inlineStr">
        <is>
          <t>Not checked (human list not in v17)</t>
        </is>
      </c>
      <c r="Y176" s="156" t="inlineStr">
        <is>
          <t>https://baseconnect.in/companies/prefecture/5d54c878-c20d-4f57-bb73-e021f2210d6c/keyword/14f3dcec-9cd5-4be5-84e1-ddccb7bd228c</t>
        </is>
      </c>
      <c r="Z176" s="156" t="n">
        <v>2</v>
      </c>
      <c r="AA176" s="156" t="n">
        <v>3</v>
      </c>
      <c r="AB176" s="156" t="n">
        <v>3</v>
      </c>
      <c r="AC176" s="156" t="n">
        <v>2</v>
      </c>
      <c r="AD176" s="156" t="n">
        <v>1</v>
      </c>
      <c r="AE176" s="156" t="n">
        <v>4</v>
      </c>
      <c r="AF176" s="156" t="n">
        <v>2</v>
      </c>
      <c r="AG176" s="163" t="inlineStr">
        <is>
          <t>Qualify first</t>
        </is>
      </c>
    </row>
    <row r="177" ht="75" customHeight="1" s="114">
      <c r="A177" s="156" t="n">
        <v>173</v>
      </c>
      <c r="B177" s="156" t="inlineStr">
        <is>
          <t>Sun Medix Co., Ltd.</t>
        </is>
      </c>
      <c r="C177" s="156" t="inlineStr">
        <is>
          <t>サンメディックス株式会社</t>
        </is>
      </c>
      <c r="D177" s="156" t="inlineStr">
        <is>
          <t>Not found (NTA lookup blocked; dedupe by Japanese name)</t>
        </is>
      </c>
      <c r="E177" s="156" t="inlineStr">
        <is>
          <t>Tokyo</t>
        </is>
      </c>
      <c r="F177" s="156" t="inlineStr">
        <is>
          <t>Kanto</t>
        </is>
      </c>
      <c r="G177" s="156" t="inlineStr">
        <is>
          <t>Not found</t>
        </is>
      </c>
      <c r="H177" s="156" t="inlineStr">
        <is>
          <t>Human device sales licences; 動物用 licence not confirmed</t>
        </is>
      </c>
      <c r="I177" s="156" t="inlineStr">
        <is>
          <t>Human multi brand lines (ultrasound brands not confirmed)</t>
        </is>
      </c>
      <c r="J177" s="156" t="inlineStr">
        <is>
          <t>Companion</t>
        </is>
      </c>
      <c r="K177" s="156" t="inlineStr">
        <is>
          <t>Tokyo</t>
        </is>
      </c>
      <c r="L177" s="156" t="inlineStr">
        <is>
          <t>Not found</t>
        </is>
      </c>
      <c r="M177" s="156" t="inlineStr">
        <is>
          <t>n/a</t>
        </is>
      </c>
      <c r="N177" s="156" t="inlineStr">
        <is>
          <t>Not identified</t>
        </is>
      </c>
      <c r="O177" s="156" t="inlineStr">
        <is>
          <t>Not identified</t>
        </is>
      </c>
      <c r="P177" s="156" t="inlineStr">
        <is>
          <t>Not searched (search budget)</t>
        </is>
      </c>
      <c r="Q177" s="156" t="inlineStr">
        <is>
          <t>Not found (use site)</t>
        </is>
      </c>
      <c r="R177" s="156" t="inlineStr">
        <is>
          <t>Not identified</t>
        </is>
      </c>
      <c r="S177" s="156" t="inlineStr">
        <is>
          <t>Unverified</t>
        </is>
      </c>
      <c r="T177" s="158">
        <f>SUM(Z177:AF177)</f>
        <v>17</v>
      </c>
      <c r="U177" s="162" t="inlineStr">
        <is>
          <t>V4</t>
        </is>
      </c>
      <c r="V177" s="156" t="inlineStr">
        <is>
          <t>QUALIFY FIRST: animal hospital sales not confirmed in sources. Tokyo device wholesaler.</t>
        </is>
      </c>
      <c r="W177" s="156" t="inlineStr">
        <is>
          <t>Open by asking whether they serve animal hospitals today; if yes, offer a vet line with no overlap to their human ultrasound brands.</t>
        </is>
      </c>
      <c r="X177" s="156" t="inlineStr">
        <is>
          <t>Not checked (human list not in v17)</t>
        </is>
      </c>
      <c r="Y177" s="156" t="inlineStr">
        <is>
          <t>https://baseconnect.in/companies/prefecture/a30ebdff-361b-42be-8372-1b0d350f48a0/keyword/89941b4e-2dd1-4848-8957-48af280a31e0</t>
        </is>
      </c>
      <c r="Z177" s="156" t="n">
        <v>2</v>
      </c>
      <c r="AA177" s="156" t="n">
        <v>3</v>
      </c>
      <c r="AB177" s="156" t="n">
        <v>3</v>
      </c>
      <c r="AC177" s="156" t="n">
        <v>2</v>
      </c>
      <c r="AD177" s="156" t="n">
        <v>1</v>
      </c>
      <c r="AE177" s="156" t="n">
        <v>4</v>
      </c>
      <c r="AF177" s="156" t="n">
        <v>2</v>
      </c>
      <c r="AG177" s="163" t="inlineStr">
        <is>
          <t>Qualify first</t>
        </is>
      </c>
    </row>
    <row r="178" ht="75" customHeight="1" s="114">
      <c r="A178" s="156" t="n">
        <v>174</v>
      </c>
      <c r="B178" s="156" t="inlineStr">
        <is>
          <t>Toho Pharmaceutical Co., Ltd.</t>
        </is>
      </c>
      <c r="C178" s="156" t="inlineStr">
        <is>
          <t>東邦薬品株式会社</t>
        </is>
      </c>
      <c r="D178" s="156" t="inlineStr">
        <is>
          <t>Not found (NTA lookup blocked; dedupe by Japanese name)</t>
        </is>
      </c>
      <c r="E178" s="156" t="inlineStr">
        <is>
          <t>Tokyo</t>
        </is>
      </c>
      <c r="F178" s="156" t="inlineStr">
        <is>
          <t>Kanto</t>
        </is>
      </c>
      <c r="G178" s="156" t="inlineStr">
        <is>
          <t>Not found</t>
        </is>
      </c>
      <c r="H178" s="156" t="inlineStr">
        <is>
          <t>Human device sales licences; 動物用 licence not confirmed</t>
        </is>
      </c>
      <c r="I178" s="156" t="inlineStr">
        <is>
          <t>Human multi brand lines (ultrasound brands not confirmed)</t>
        </is>
      </c>
      <c r="J178" s="156" t="inlineStr">
        <is>
          <t>Companion</t>
        </is>
      </c>
      <c r="K178" s="156" t="inlineStr">
        <is>
          <t>National</t>
        </is>
      </c>
      <c r="L178" s="156" t="inlineStr">
        <is>
          <t>Large</t>
        </is>
      </c>
      <c r="M178" s="156" t="inlineStr">
        <is>
          <t>n/a</t>
        </is>
      </c>
      <c r="N178" s="156" t="inlineStr">
        <is>
          <t>Not identified</t>
        </is>
      </c>
      <c r="O178" s="156" t="inlineStr">
        <is>
          <t>Not identified</t>
        </is>
      </c>
      <c r="P178" s="156" t="inlineStr">
        <is>
          <t>Not searched (search budget)</t>
        </is>
      </c>
      <c r="Q178" s="156" t="inlineStr">
        <is>
          <t>Not found (use site)</t>
        </is>
      </c>
      <c r="R178" s="156" t="inlineStr">
        <is>
          <t>Not identified</t>
        </is>
      </c>
      <c r="S178" s="156" t="inlineStr">
        <is>
          <t>Unverified</t>
        </is>
      </c>
      <c r="T178" s="158">
        <f>SUM(Z178:AF178)</f>
        <v>17</v>
      </c>
      <c r="U178" s="162" t="inlineStr">
        <is>
          <t>V4</t>
        </is>
      </c>
      <c r="V178" s="156" t="inlineStr">
        <is>
          <t>QUALIFY FIRST: animal hospital sales not confirmed in sources. Major pharma and device wholesaler.</t>
        </is>
      </c>
      <c r="W178" s="156" t="inlineStr">
        <is>
          <t>Open by asking whether they serve animal hospitals today; if yes, offer a vet line with no overlap to their human ultrasound brands.</t>
        </is>
      </c>
      <c r="X178" s="156" t="inlineStr">
        <is>
          <t>Not checked (human list not in v17)</t>
        </is>
      </c>
      <c r="Y178" s="156" t="inlineStr">
        <is>
          <t>https://baseconnect.in/companies/prefecture/a30ebdff-361b-42be-8372-1b0d350f48a0/category/b2358a1c-c4c6-46f4-a0b1-dee3a1b30a0b</t>
        </is>
      </c>
      <c r="Z178" s="156" t="n">
        <v>2</v>
      </c>
      <c r="AA178" s="156" t="n">
        <v>3</v>
      </c>
      <c r="AB178" s="156" t="n">
        <v>3</v>
      </c>
      <c r="AC178" s="156" t="n">
        <v>2</v>
      </c>
      <c r="AD178" s="156" t="n">
        <v>1</v>
      </c>
      <c r="AE178" s="156" t="n">
        <v>4</v>
      </c>
      <c r="AF178" s="156" t="n">
        <v>2</v>
      </c>
      <c r="AG178" s="163" t="inlineStr">
        <is>
          <t>Qualify first</t>
        </is>
      </c>
    </row>
    <row r="179" ht="75" customHeight="1" s="114">
      <c r="A179" s="156" t="n">
        <v>175</v>
      </c>
      <c r="B179" s="156" t="inlineStr">
        <is>
          <t>Verda Co., Ltd.</t>
        </is>
      </c>
      <c r="C179" s="156" t="inlineStr">
        <is>
          <t>株式会社ベルダ</t>
        </is>
      </c>
      <c r="D179" s="156" t="inlineStr">
        <is>
          <t>Not found (NTA lookup blocked; dedupe by Japanese name)</t>
        </is>
      </c>
      <c r="E179" s="156" t="inlineStr">
        <is>
          <t>Chiba</t>
        </is>
      </c>
      <c r="F179" s="156" t="inlineStr">
        <is>
          <t>Kanto</t>
        </is>
      </c>
      <c r="G179" s="156" t="inlineStr">
        <is>
          <t>Not found</t>
        </is>
      </c>
      <c r="H179" s="156" t="inlineStr">
        <is>
          <t>Human device sales licences; 動物用 licence not confirmed</t>
        </is>
      </c>
      <c r="I179" s="156" t="inlineStr">
        <is>
          <t>Human multi brand lines (ultrasound brands not confirmed)</t>
        </is>
      </c>
      <c r="J179" s="156" t="inlineStr">
        <is>
          <t>Companion</t>
        </is>
      </c>
      <c r="K179" s="156" t="inlineStr">
        <is>
          <t>Chiba</t>
        </is>
      </c>
      <c r="L179" s="156" t="inlineStr">
        <is>
          <t>Not found</t>
        </is>
      </c>
      <c r="M179" s="156" t="inlineStr">
        <is>
          <t>n/a</t>
        </is>
      </c>
      <c r="N179" s="156" t="inlineStr">
        <is>
          <t>Not identified</t>
        </is>
      </c>
      <c r="O179" s="156" t="inlineStr">
        <is>
          <t>Not identified</t>
        </is>
      </c>
      <c r="P179" s="156" t="inlineStr">
        <is>
          <t>Not searched (search budget)</t>
        </is>
      </c>
      <c r="Q179" s="156" t="inlineStr">
        <is>
          <t>Not found (use site)</t>
        </is>
      </c>
      <c r="R179" s="156" t="inlineStr">
        <is>
          <t>Not identified</t>
        </is>
      </c>
      <c r="S179" s="156" t="inlineStr">
        <is>
          <t>Unverified</t>
        </is>
      </c>
      <c r="T179" s="158">
        <f>SUM(Z179:AF179)</f>
        <v>17</v>
      </c>
      <c r="U179" s="162" t="inlineStr">
        <is>
          <t>V4</t>
        </is>
      </c>
      <c r="V179" s="156" t="inlineStr">
        <is>
          <t>QUALIFY FIRST: animal hospital sales not confirmed in sources. Chiba device wholesaler.</t>
        </is>
      </c>
      <c r="W179" s="156" t="inlineStr">
        <is>
          <t>Open by asking whether they serve animal hospitals today; if yes, offer a vet line with no overlap to their human ultrasound brands.</t>
        </is>
      </c>
      <c r="X179" s="156" t="inlineStr">
        <is>
          <t>Not checked (human list not in v17)</t>
        </is>
      </c>
      <c r="Y179" s="156" t="inlineStr">
        <is>
          <t>https://baseconnect.in/companies/prefecture/3420045f-8609-4232-9407-75407ae4e6e8/keyword/89941b4e-2dd1-4848-8957-48af280a31e0</t>
        </is>
      </c>
      <c r="Z179" s="156" t="n">
        <v>2</v>
      </c>
      <c r="AA179" s="156" t="n">
        <v>3</v>
      </c>
      <c r="AB179" s="156" t="n">
        <v>3</v>
      </c>
      <c r="AC179" s="156" t="n">
        <v>2</v>
      </c>
      <c r="AD179" s="156" t="n">
        <v>1</v>
      </c>
      <c r="AE179" s="156" t="n">
        <v>4</v>
      </c>
      <c r="AF179" s="156" t="n">
        <v>2</v>
      </c>
      <c r="AG179" s="163" t="inlineStr">
        <is>
          <t>Qualify first</t>
        </is>
      </c>
    </row>
    <row r="180" ht="75" customHeight="1" s="114">
      <c r="A180" s="156" t="n">
        <v>176</v>
      </c>
      <c r="B180" s="156" t="inlineStr">
        <is>
          <t>Win International Co., Ltd.</t>
        </is>
      </c>
      <c r="C180" s="156" t="inlineStr">
        <is>
          <t>ウイン・インターナショナル株式会社</t>
        </is>
      </c>
      <c r="D180" s="156" t="inlineStr">
        <is>
          <t>Not found (NTA lookup blocked; dedupe by Japanese name)</t>
        </is>
      </c>
      <c r="E180" s="156" t="inlineStr">
        <is>
          <t>Tokyo</t>
        </is>
      </c>
      <c r="F180" s="156" t="inlineStr">
        <is>
          <t>Kanto</t>
        </is>
      </c>
      <c r="G180" s="156" t="inlineStr">
        <is>
          <t>Not found</t>
        </is>
      </c>
      <c r="H180" s="156" t="inlineStr">
        <is>
          <t>Human device sales licences; 動物用 licence not confirmed</t>
        </is>
      </c>
      <c r="I180" s="156" t="inlineStr">
        <is>
          <t>Human multi brand lines (ultrasound brands not confirmed)</t>
        </is>
      </c>
      <c r="J180" s="156" t="inlineStr">
        <is>
          <t>Companion</t>
        </is>
      </c>
      <c r="K180" s="156" t="inlineStr">
        <is>
          <t>National</t>
        </is>
      </c>
      <c r="L180" s="156" t="inlineStr">
        <is>
          <t>Not found</t>
        </is>
      </c>
      <c r="M180" s="156" t="inlineStr">
        <is>
          <t>n/a</t>
        </is>
      </c>
      <c r="N180" s="156" t="inlineStr">
        <is>
          <t>Not identified</t>
        </is>
      </c>
      <c r="O180" s="156" t="inlineStr">
        <is>
          <t>Not identified</t>
        </is>
      </c>
      <c r="P180" s="156" t="inlineStr">
        <is>
          <t>Not searched (search budget)</t>
        </is>
      </c>
      <c r="Q180" s="156" t="inlineStr">
        <is>
          <t>Not found (use site)</t>
        </is>
      </c>
      <c r="R180" s="156" t="inlineStr">
        <is>
          <t>Not identified</t>
        </is>
      </c>
      <c r="S180" s="156" t="inlineStr">
        <is>
          <t>Unverified</t>
        </is>
      </c>
      <c r="T180" s="158">
        <f>SUM(Z180:AF180)</f>
        <v>17</v>
      </c>
      <c r="U180" s="162" t="inlineStr">
        <is>
          <t>V4</t>
        </is>
      </c>
      <c r="V180" s="156" t="inlineStr">
        <is>
          <t>QUALIFY FIRST: animal hospital sales not confirmed in sources. Tokyo device importer and wholesaler. FLAG: Importer; could act as MAH.</t>
        </is>
      </c>
      <c r="W180" s="156" t="inlineStr">
        <is>
          <t>Open by asking whether they serve animal hospitals today; if yes, offer a vet line with no overlap to their human ultrasound brands.</t>
        </is>
      </c>
      <c r="X180" s="156" t="inlineStr">
        <is>
          <t>Not checked (human list not in v17)</t>
        </is>
      </c>
      <c r="Y180" s="156" t="inlineStr">
        <is>
          <t>https://www.nikkei.com/compass/search/Y2F0ZWdvcnk9Y29tcGFueSZyZWdpb249MTMmaW5kdXN0cnlTPTA1MzI</t>
        </is>
      </c>
      <c r="Z180" s="156" t="n">
        <v>2</v>
      </c>
      <c r="AA180" s="156" t="n">
        <v>3</v>
      </c>
      <c r="AB180" s="156" t="n">
        <v>3</v>
      </c>
      <c r="AC180" s="156" t="n">
        <v>2</v>
      </c>
      <c r="AD180" s="156" t="n">
        <v>1</v>
      </c>
      <c r="AE180" s="156" t="n">
        <v>4</v>
      </c>
      <c r="AF180" s="156" t="n">
        <v>2</v>
      </c>
      <c r="AG180" s="163" t="inlineStr">
        <is>
          <t>Qualify first</t>
        </is>
      </c>
    </row>
    <row r="181" ht="75" customHeight="1" s="114">
      <c r="A181" s="156" t="n">
        <v>177</v>
      </c>
      <c r="B181" s="156" t="inlineStr">
        <is>
          <t>Ace Medical Ltd.</t>
        </is>
      </c>
      <c r="C181" s="156" t="inlineStr">
        <is>
          <t>エースメディカル有限会社</t>
        </is>
      </c>
      <c r="D181" s="156" t="inlineStr">
        <is>
          <t>Not found (NTA lookup blocked; dedupe by Japanese name)</t>
        </is>
      </c>
      <c r="E181" s="156" t="inlineStr">
        <is>
          <t>Miyazaki</t>
        </is>
      </c>
      <c r="F181" s="156" t="inlineStr">
        <is>
          <t>Kyushu and Okinawa</t>
        </is>
      </c>
      <c r="G181" s="157" t="inlineStr">
        <is>
          <t>https://www.ace-med.co.jp/</t>
        </is>
      </c>
      <c r="H181" s="156" t="inlineStr">
        <is>
          <t>Human device sales licences; 動物用 licence not confirmed</t>
        </is>
      </c>
      <c r="I181" s="156" t="inlineStr">
        <is>
          <t>Human multi brand lines (ultrasound brands not confirmed)</t>
        </is>
      </c>
      <c r="J181" s="156" t="inlineStr">
        <is>
          <t>Companion</t>
        </is>
      </c>
      <c r="K181" s="156" t="inlineStr">
        <is>
          <t>Miyazaki</t>
        </is>
      </c>
      <c r="L181" s="156" t="inlineStr">
        <is>
          <t>Not found</t>
        </is>
      </c>
      <c r="M181" s="156" t="inlineStr">
        <is>
          <t>n/a</t>
        </is>
      </c>
      <c r="N181" s="156" t="inlineStr">
        <is>
          <t>Not identified</t>
        </is>
      </c>
      <c r="O181" s="156" t="inlineStr">
        <is>
          <t>Not identified</t>
        </is>
      </c>
      <c r="P181" s="156" t="inlineStr">
        <is>
          <t>Not published; phone only</t>
        </is>
      </c>
      <c r="Q181" s="156" t="inlineStr">
        <is>
          <t>0982 23 8115 (HQ Nobeoka); 0985 72 5500 (Miyazaki)</t>
        </is>
      </c>
      <c r="R181" s="156" t="inlineStr">
        <is>
          <t>Not identified</t>
        </is>
      </c>
      <c r="S181" s="156" t="inlineStr">
        <is>
          <t>Company inquiry only (form)</t>
        </is>
      </c>
      <c r="T181" s="158">
        <f>SUM(Z181:AF181)</f>
        <v>17</v>
      </c>
      <c r="U181" s="162" t="inlineStr">
        <is>
          <t>V4</t>
        </is>
      </c>
      <c r="V181" s="156" t="inlineStr">
        <is>
          <t>QUALIFY FIRST: animal hospital sales not confirmed in sources. Device and care supplies wholesaler.</t>
        </is>
      </c>
      <c r="W181" s="156" t="inlineStr">
        <is>
          <t>Open by asking whether they serve animal hospitals today; if yes, offer a vet line with no overlap to their human ultrasound brands.</t>
        </is>
      </c>
      <c r="X181" s="156" t="inlineStr">
        <is>
          <t>Not checked (human list not in v17)</t>
        </is>
      </c>
      <c r="Y181" s="156" t="inlineStr">
        <is>
          <t>https://baseconnect.in/companies/prefecture/b147f06d-09b9-4c4f-9e51-e7157354eec0/keyword/14f3dcec-9cd5-4be5-84e1-ddccb7bd228c</t>
        </is>
      </c>
      <c r="Z181" s="156" t="n">
        <v>2</v>
      </c>
      <c r="AA181" s="156" t="n">
        <v>3</v>
      </c>
      <c r="AB181" s="156" t="n">
        <v>3</v>
      </c>
      <c r="AC181" s="156" t="n">
        <v>2</v>
      </c>
      <c r="AD181" s="156" t="n">
        <v>1</v>
      </c>
      <c r="AE181" s="156" t="n">
        <v>4</v>
      </c>
      <c r="AF181" s="156" t="n">
        <v>2</v>
      </c>
      <c r="AG181" s="163" t="inlineStr">
        <is>
          <t>Qualify first</t>
        </is>
      </c>
    </row>
    <row r="182" ht="75" customHeight="1" s="114">
      <c r="A182" s="156" t="n">
        <v>178</v>
      </c>
      <c r="B182" s="156" t="inlineStr">
        <is>
          <t>Astem Co., Ltd.</t>
        </is>
      </c>
      <c r="C182" s="156" t="inlineStr">
        <is>
          <t>株式会社アステム</t>
        </is>
      </c>
      <c r="D182" s="156" t="inlineStr">
        <is>
          <t>Not found (NTA lookup blocked; dedupe by Japanese name)</t>
        </is>
      </c>
      <c r="E182" s="156" t="inlineStr">
        <is>
          <t>Oita</t>
        </is>
      </c>
      <c r="F182" s="156" t="inlineStr">
        <is>
          <t>Kyushu and Okinawa</t>
        </is>
      </c>
      <c r="G182" s="157" t="inlineStr">
        <is>
          <t>https://www.astemf.jp/</t>
        </is>
      </c>
      <c r="H182" s="156" t="inlineStr">
        <is>
          <t>Human device sales licences; 動物用 licence not confirmed</t>
        </is>
      </c>
      <c r="I182" s="156" t="inlineStr">
        <is>
          <t>Human multi brand lines (ultrasound brands not confirmed)</t>
        </is>
      </c>
      <c r="J182" s="156" t="inlineStr">
        <is>
          <t>Companion</t>
        </is>
      </c>
      <c r="K182" s="156" t="inlineStr">
        <is>
          <t>Kyushu</t>
        </is>
      </c>
      <c r="L182" s="156" t="inlineStr">
        <is>
          <t>Large regional</t>
        </is>
      </c>
      <c r="M182" s="156" t="inlineStr">
        <is>
          <t>n/a</t>
        </is>
      </c>
      <c r="N182" s="156" t="inlineStr">
        <is>
          <t>Not identified</t>
        </is>
      </c>
      <c r="O182" s="156" t="inlineStr">
        <is>
          <t>Not identified</t>
        </is>
      </c>
      <c r="P182" s="156" t="inlineStr">
        <is>
          <t>Not published; phone only</t>
        </is>
      </c>
      <c r="Q182" s="156" t="inlineStr">
        <is>
          <t>097 543 2111</t>
        </is>
      </c>
      <c r="R182" s="156" t="inlineStr">
        <is>
          <t>Not identified</t>
        </is>
      </c>
      <c r="S182" s="156" t="inlineStr">
        <is>
          <t>Company inquiry only (phone)</t>
        </is>
      </c>
      <c r="T182" s="158">
        <f>SUM(Z182:AF182)</f>
        <v>17</v>
      </c>
      <c r="U182" s="162" t="inlineStr">
        <is>
          <t>V4</t>
        </is>
      </c>
      <c r="V182" s="156" t="inlineStr">
        <is>
          <t>QUALIFY FIRST: animal hospital sales not confirmed in sources. Oita pharma and device wholesaler.</t>
        </is>
      </c>
      <c r="W182" s="156" t="inlineStr">
        <is>
          <t>Open by asking whether they serve animal hospitals today; if yes, offer a vet line with no overlap to their human ultrasound brands.</t>
        </is>
      </c>
      <c r="X182" s="156" t="inlineStr">
        <is>
          <t>Not checked (human list not in v17)</t>
        </is>
      </c>
      <c r="Y182" s="156" t="inlineStr">
        <is>
          <t>https://baseconnect.in/companies/keyword/14f3dcec-9cd5-4be5-84e1-ddccb7bd228c ; https://www.astemf.jp/company/officelist.php</t>
        </is>
      </c>
      <c r="Z182" s="156" t="n">
        <v>2</v>
      </c>
      <c r="AA182" s="156" t="n">
        <v>3</v>
      </c>
      <c r="AB182" s="156" t="n">
        <v>3</v>
      </c>
      <c r="AC182" s="156" t="n">
        <v>2</v>
      </c>
      <c r="AD182" s="156" t="n">
        <v>1</v>
      </c>
      <c r="AE182" s="156" t="n">
        <v>4</v>
      </c>
      <c r="AF182" s="156" t="n">
        <v>2</v>
      </c>
      <c r="AG182" s="163" t="inlineStr">
        <is>
          <t>Qualify first</t>
        </is>
      </c>
    </row>
    <row r="183" ht="75" customHeight="1" s="114">
      <c r="A183" s="156" t="n">
        <v>179</v>
      </c>
      <c r="B183" s="156" t="inlineStr">
        <is>
          <t>Crane Co., Ltd. (Nobeoka)</t>
        </is>
      </c>
      <c r="C183" s="156" t="inlineStr">
        <is>
          <t>株式会社クレイン</t>
        </is>
      </c>
      <c r="D183" s="156" t="inlineStr">
        <is>
          <t>Not found (NTA lookup blocked; dedupe by Japanese name)</t>
        </is>
      </c>
      <c r="E183" s="156" t="inlineStr">
        <is>
          <t>Miyazaki</t>
        </is>
      </c>
      <c r="F183" s="156" t="inlineStr">
        <is>
          <t>Kyushu and Okinawa</t>
        </is>
      </c>
      <c r="G183" s="156" t="inlineStr">
        <is>
          <t>Not found</t>
        </is>
      </c>
      <c r="H183" s="156" t="inlineStr">
        <is>
          <t>Human device sales licences; 動物用 licence not confirmed</t>
        </is>
      </c>
      <c r="I183" s="156" t="inlineStr">
        <is>
          <t>Human multi brand lines (ultrasound brands not confirmed)</t>
        </is>
      </c>
      <c r="J183" s="156" t="inlineStr">
        <is>
          <t>Companion</t>
        </is>
      </c>
      <c r="K183" s="156" t="inlineStr">
        <is>
          <t>Miyazaki (Nobeoka)</t>
        </is>
      </c>
      <c r="L183" s="156" t="inlineStr">
        <is>
          <t>Not found</t>
        </is>
      </c>
      <c r="M183" s="156" t="inlineStr">
        <is>
          <t>n/a</t>
        </is>
      </c>
      <c r="N183" s="156" t="inlineStr">
        <is>
          <t>Not identified</t>
        </is>
      </c>
      <c r="O183" s="156" t="inlineStr">
        <is>
          <t>Not identified</t>
        </is>
      </c>
      <c r="P183" s="156" t="inlineStr">
        <is>
          <t>Not searched (search budget)</t>
        </is>
      </c>
      <c r="Q183" s="156" t="inlineStr">
        <is>
          <t>Not found (use site)</t>
        </is>
      </c>
      <c r="R183" s="156" t="inlineStr">
        <is>
          <t>Not identified</t>
        </is>
      </c>
      <c r="S183" s="156" t="inlineStr">
        <is>
          <t>Unverified</t>
        </is>
      </c>
      <c r="T183" s="158">
        <f>SUM(Z183:AF183)</f>
        <v>17</v>
      </c>
      <c r="U183" s="162" t="inlineStr">
        <is>
          <t>V4</t>
        </is>
      </c>
      <c r="V183" s="156" t="inlineStr">
        <is>
          <t>QUALIFY FIRST: animal hospital sales not confirmed in sources. Miyazaki device dealer.</t>
        </is>
      </c>
      <c r="W183" s="156" t="inlineStr">
        <is>
          <t>Open by asking whether they serve animal hospitals today; if yes, offer a vet line with no overlap to their human ultrasound brands.</t>
        </is>
      </c>
      <c r="X183" s="156" t="inlineStr">
        <is>
          <t>Not checked (human list not in v17)</t>
        </is>
      </c>
      <c r="Y183" s="156" t="inlineStr">
        <is>
          <t>https://baseconnect.in/companies/prefecture/b147f06d-09b9-4c4f-9e51-e7157354eec0/keyword/14f3dcec-9cd5-4be5-84e1-ddccb7bd228c</t>
        </is>
      </c>
      <c r="Z183" s="156" t="n">
        <v>2</v>
      </c>
      <c r="AA183" s="156" t="n">
        <v>3</v>
      </c>
      <c r="AB183" s="156" t="n">
        <v>3</v>
      </c>
      <c r="AC183" s="156" t="n">
        <v>2</v>
      </c>
      <c r="AD183" s="156" t="n">
        <v>1</v>
      </c>
      <c r="AE183" s="156" t="n">
        <v>4</v>
      </c>
      <c r="AF183" s="156" t="n">
        <v>2</v>
      </c>
      <c r="AG183" s="163" t="inlineStr">
        <is>
          <t>Qualify first</t>
        </is>
      </c>
    </row>
    <row r="184" ht="75" customHeight="1" s="114">
      <c r="A184" s="156" t="n">
        <v>180</v>
      </c>
      <c r="B184" s="156" t="inlineStr">
        <is>
          <t>Fukuda Denshi Seibu Kita Sales Co., Ltd.</t>
        </is>
      </c>
      <c r="C184" s="156" t="inlineStr">
        <is>
          <t>フクダ電子西部北販売株式会社</t>
        </is>
      </c>
      <c r="D184" s="156" t="inlineStr">
        <is>
          <t>Not found (NTA lookup blocked; dedupe by Japanese name)</t>
        </is>
      </c>
      <c r="E184" s="156" t="inlineStr">
        <is>
          <t>Fukuoka</t>
        </is>
      </c>
      <c r="F184" s="156" t="inlineStr">
        <is>
          <t>Kyushu and Okinawa</t>
        </is>
      </c>
      <c r="G184" s="156" t="inlineStr">
        <is>
          <t>Not found</t>
        </is>
      </c>
      <c r="H184" s="156" t="inlineStr">
        <is>
          <t>Human device sales licences; 動物用 licence not confirmed</t>
        </is>
      </c>
      <c r="I184" s="156" t="inlineStr">
        <is>
          <t>Human multi brand lines (ultrasound brands not confirmed)</t>
        </is>
      </c>
      <c r="J184" s="156" t="inlineStr">
        <is>
          <t>Companion</t>
        </is>
      </c>
      <c r="K184" s="156" t="inlineStr">
        <is>
          <t>North Kyushu</t>
        </is>
      </c>
      <c r="L184" s="156" t="inlineStr">
        <is>
          <t>Not found</t>
        </is>
      </c>
      <c r="M184" s="156" t="inlineStr">
        <is>
          <t>n/a</t>
        </is>
      </c>
      <c r="N184" s="156" t="inlineStr">
        <is>
          <t>Not identified</t>
        </is>
      </c>
      <c r="O184" s="156" t="inlineStr">
        <is>
          <t>Not identified</t>
        </is>
      </c>
      <c r="P184" s="156" t="inlineStr">
        <is>
          <t>Not searched (search budget)</t>
        </is>
      </c>
      <c r="Q184" s="156" t="inlineStr">
        <is>
          <t>Not found (use site)</t>
        </is>
      </c>
      <c r="R184" s="156" t="inlineStr">
        <is>
          <t>Not identified</t>
        </is>
      </c>
      <c r="S184" s="156" t="inlineStr">
        <is>
          <t>Unverified</t>
        </is>
      </c>
      <c r="T184" s="158">
        <f>SUM(Z184:AF184)</f>
        <v>17</v>
      </c>
      <c r="U184" s="162" t="inlineStr">
        <is>
          <t>V4</t>
        </is>
      </c>
      <c r="V184" s="156" t="inlineStr">
        <is>
          <t>QUALIFY FIRST: animal hospital sales not confirmed in sources. Fukuda Denshi sales company (AED, ECG).</t>
        </is>
      </c>
      <c r="W184" s="156" t="inlineStr">
        <is>
          <t>Open by asking whether they serve animal hospitals today; if yes, offer a vet line with no overlap to their human ultrasound brands.</t>
        </is>
      </c>
      <c r="X184" s="156" t="inlineStr">
        <is>
          <t>Not checked (human list not in v17)</t>
        </is>
      </c>
      <c r="Y184" s="156" t="inlineStr">
        <is>
          <t>https://baseconnect.in/companies/prefecture/39b58ff0-63fd-405f-8b8a-37c5443ce5c7/keyword/89941b4e-2dd1-4848-8957-48af280a31e0</t>
        </is>
      </c>
      <c r="Z184" s="156" t="n">
        <v>2</v>
      </c>
      <c r="AA184" s="156" t="n">
        <v>3</v>
      </c>
      <c r="AB184" s="156" t="n">
        <v>3</v>
      </c>
      <c r="AC184" s="156" t="n">
        <v>2</v>
      </c>
      <c r="AD184" s="156" t="n">
        <v>1</v>
      </c>
      <c r="AE184" s="156" t="n">
        <v>4</v>
      </c>
      <c r="AF184" s="156" t="n">
        <v>2</v>
      </c>
      <c r="AG184" s="163" t="inlineStr">
        <is>
          <t>Qualify first</t>
        </is>
      </c>
    </row>
    <row r="185" ht="75" customHeight="1" s="114">
      <c r="A185" s="156" t="n">
        <v>181</v>
      </c>
      <c r="B185" s="156" t="inlineStr">
        <is>
          <t>Hachigo Iryoki Co., Ltd.</t>
        </is>
      </c>
      <c r="C185" s="156" t="inlineStr">
        <is>
          <t>八郷医療器株式会社</t>
        </is>
      </c>
      <c r="D185" s="156" t="inlineStr">
        <is>
          <t>Not found (NTA lookup blocked; dedupe by Japanese name)</t>
        </is>
      </c>
      <c r="E185" s="156" t="inlineStr">
        <is>
          <t>Kagoshima</t>
        </is>
      </c>
      <c r="F185" s="156" t="inlineStr">
        <is>
          <t>Kyushu and Okinawa</t>
        </is>
      </c>
      <c r="G185" s="157" t="inlineStr">
        <is>
          <t>http://hachigou.co.jp/</t>
        </is>
      </c>
      <c r="H185" s="156" t="inlineStr">
        <is>
          <t>Human device sales licences; 動物用 licence not confirmed</t>
        </is>
      </c>
      <c r="I185" s="156" t="inlineStr">
        <is>
          <t>Human multi brand lines (ultrasound brands not confirmed)</t>
        </is>
      </c>
      <c r="J185" s="156" t="inlineStr">
        <is>
          <t>Companion</t>
        </is>
      </c>
      <c r="K185" s="156" t="inlineStr">
        <is>
          <t>Kagoshima</t>
        </is>
      </c>
      <c r="L185" s="156" t="inlineStr">
        <is>
          <t>Not found</t>
        </is>
      </c>
      <c r="M185" s="156" t="inlineStr">
        <is>
          <t>n/a</t>
        </is>
      </c>
      <c r="N185" s="156" t="inlineStr">
        <is>
          <t>Not identified</t>
        </is>
      </c>
      <c r="O185" s="156" t="inlineStr">
        <is>
          <t>Not identified</t>
        </is>
      </c>
      <c r="P185" s="156" t="inlineStr">
        <is>
          <t>Not published; phone only</t>
        </is>
      </c>
      <c r="Q185" s="156" t="inlineStr">
        <is>
          <t>099 268 0010</t>
        </is>
      </c>
      <c r="R185" s="156" t="inlineStr">
        <is>
          <t>Not identified</t>
        </is>
      </c>
      <c r="S185" s="156" t="inlineStr">
        <is>
          <t>Company inquiry only (phone)</t>
        </is>
      </c>
      <c r="T185" s="158">
        <f>SUM(Z185:AF185)</f>
        <v>17</v>
      </c>
      <c r="U185" s="162" t="inlineStr">
        <is>
          <t>V4</t>
        </is>
      </c>
      <c r="V185" s="156" t="inlineStr">
        <is>
          <t>QUALIFY FIRST: animal hospital sales not confirmed in sources. Kagoshima device trading company.</t>
        </is>
      </c>
      <c r="W185" s="156" t="inlineStr">
        <is>
          <t>Open by asking whether they serve animal hospitals today; if yes, offer a vet line with no overlap to their human ultrasound brands.</t>
        </is>
      </c>
      <c r="X185" s="156" t="inlineStr">
        <is>
          <t>Not checked (human list not in v17)</t>
        </is>
      </c>
      <c r="Y185" s="156" t="inlineStr">
        <is>
          <t>https://baseconnect.in/companies/prefecture/344720c8-49c6-4a45-94af-958496d86524/category/b2358a1c-c4c6-46f4-a0b1-dee3a1b30a0b ; http://hachigou.co.jp/company.html</t>
        </is>
      </c>
      <c r="Z185" s="156" t="n">
        <v>2</v>
      </c>
      <c r="AA185" s="156" t="n">
        <v>3</v>
      </c>
      <c r="AB185" s="156" t="n">
        <v>3</v>
      </c>
      <c r="AC185" s="156" t="n">
        <v>2</v>
      </c>
      <c r="AD185" s="156" t="n">
        <v>1</v>
      </c>
      <c r="AE185" s="156" t="n">
        <v>4</v>
      </c>
      <c r="AF185" s="156" t="n">
        <v>2</v>
      </c>
      <c r="AG185" s="163" t="inlineStr">
        <is>
          <t>Qualify first</t>
        </is>
      </c>
    </row>
    <row r="186" ht="75" customHeight="1" s="114">
      <c r="A186" s="156" t="n">
        <v>182</v>
      </c>
      <c r="B186" s="156" t="inlineStr">
        <is>
          <t>ITI Co., Ltd.</t>
        </is>
      </c>
      <c r="C186" s="156" t="inlineStr">
        <is>
          <t>アイティーアイ株式会社</t>
        </is>
      </c>
      <c r="D186" s="156" t="inlineStr">
        <is>
          <t>Not found (NTA lookup blocked; dedupe by Japanese name)</t>
        </is>
      </c>
      <c r="E186" s="156" t="inlineStr">
        <is>
          <t>Nagasaki</t>
        </is>
      </c>
      <c r="F186" s="156" t="inlineStr">
        <is>
          <t>Kyushu and Okinawa</t>
        </is>
      </c>
      <c r="G186" s="156" t="inlineStr">
        <is>
          <t>Not found</t>
        </is>
      </c>
      <c r="H186" s="156" t="inlineStr">
        <is>
          <t>Human device sales licences; 動物用 licence not confirmed</t>
        </is>
      </c>
      <c r="I186" s="156" t="inlineStr">
        <is>
          <t>Human multi brand lines (ultrasound brands not confirmed)</t>
        </is>
      </c>
      <c r="J186" s="156" t="inlineStr">
        <is>
          <t>Companion</t>
        </is>
      </c>
      <c r="K186" s="156" t="inlineStr">
        <is>
          <t>Kyushu, Okinawa, Kanto, Yamaguchi</t>
        </is>
      </c>
      <c r="L186" s="156" t="inlineStr">
        <is>
          <t>Not found</t>
        </is>
      </c>
      <c r="M186" s="156" t="inlineStr">
        <is>
          <t>n/a</t>
        </is>
      </c>
      <c r="N186" s="156" t="inlineStr">
        <is>
          <t>Not identified</t>
        </is>
      </c>
      <c r="O186" s="156" t="inlineStr">
        <is>
          <t>Not identified</t>
        </is>
      </c>
      <c r="P186" s="156" t="inlineStr">
        <is>
          <t>Not searched (search budget)</t>
        </is>
      </c>
      <c r="Q186" s="156" t="inlineStr">
        <is>
          <t>Not found (use site)</t>
        </is>
      </c>
      <c r="R186" s="156" t="inlineStr">
        <is>
          <t>Not identified</t>
        </is>
      </c>
      <c r="S186" s="156" t="inlineStr">
        <is>
          <t>Unverified</t>
        </is>
      </c>
      <c r="T186" s="158">
        <f>SUM(Z186:AF186)</f>
        <v>17</v>
      </c>
      <c r="U186" s="162" t="inlineStr">
        <is>
          <t>V4</t>
        </is>
      </c>
      <c r="V186" s="156" t="inlineStr">
        <is>
          <t>QUALIFY FIRST: animal hospital sales not confirmed in sources. Nagasaki based device dealer covering Kyushu and Okinawa.</t>
        </is>
      </c>
      <c r="W186" s="156" t="inlineStr">
        <is>
          <t>Open by asking whether they serve animal hospitals today; if yes, offer a vet line with no overlap to their human ultrasound brands.</t>
        </is>
      </c>
      <c r="X186" s="156" t="inlineStr">
        <is>
          <t>Not checked (human list not in v17)</t>
        </is>
      </c>
      <c r="Y186" s="156" t="inlineStr">
        <is>
          <t>https://note.com/arrows_column/n/nd4fd35a1d8b1</t>
        </is>
      </c>
      <c r="Z186" s="156" t="n">
        <v>2</v>
      </c>
      <c r="AA186" s="156" t="n">
        <v>3</v>
      </c>
      <c r="AB186" s="156" t="n">
        <v>3</v>
      </c>
      <c r="AC186" s="156" t="n">
        <v>2</v>
      </c>
      <c r="AD186" s="156" t="n">
        <v>1</v>
      </c>
      <c r="AE186" s="156" t="n">
        <v>4</v>
      </c>
      <c r="AF186" s="156" t="n">
        <v>2</v>
      </c>
      <c r="AG186" s="163" t="inlineStr">
        <is>
          <t>Qualify first</t>
        </is>
      </c>
    </row>
    <row r="187" ht="75" customHeight="1" s="114">
      <c r="A187" s="156" t="n">
        <v>183</v>
      </c>
      <c r="B187" s="156" t="inlineStr">
        <is>
          <t>Kumamoto Iryo Gas Co., Ltd.</t>
        </is>
      </c>
      <c r="C187" s="156" t="inlineStr">
        <is>
          <t>熊本医療ガス株式会社</t>
        </is>
      </c>
      <c r="D187" s="156" t="inlineStr">
        <is>
          <t>Not found (NTA lookup blocked; dedupe by Japanese name)</t>
        </is>
      </c>
      <c r="E187" s="156" t="inlineStr">
        <is>
          <t>Kumamoto</t>
        </is>
      </c>
      <c r="F187" s="156" t="inlineStr">
        <is>
          <t>Kyushu and Okinawa</t>
        </is>
      </c>
      <c r="G187" s="156" t="inlineStr">
        <is>
          <t>Not found</t>
        </is>
      </c>
      <c r="H187" s="156" t="inlineStr">
        <is>
          <t>Human device sales licences; 動物用 licence not confirmed</t>
        </is>
      </c>
      <c r="I187" s="156" t="inlineStr">
        <is>
          <t>Human multi brand lines (ultrasound brands not confirmed)</t>
        </is>
      </c>
      <c r="J187" s="156" t="inlineStr">
        <is>
          <t>Companion</t>
        </is>
      </c>
      <c r="K187" s="156" t="inlineStr">
        <is>
          <t>Kumamoto</t>
        </is>
      </c>
      <c r="L187" s="156" t="inlineStr">
        <is>
          <t>Not found</t>
        </is>
      </c>
      <c r="M187" s="156" t="inlineStr">
        <is>
          <t>n/a</t>
        </is>
      </c>
      <c r="N187" s="156" t="inlineStr">
        <is>
          <t>Not identified</t>
        </is>
      </c>
      <c r="O187" s="156" t="inlineStr">
        <is>
          <t>Not identified</t>
        </is>
      </c>
      <c r="P187" s="156" t="inlineStr">
        <is>
          <t>Not searched (search budget)</t>
        </is>
      </c>
      <c r="Q187" s="156" t="inlineStr">
        <is>
          <t>Not found (use site)</t>
        </is>
      </c>
      <c r="R187" s="156" t="inlineStr">
        <is>
          <t>Not identified</t>
        </is>
      </c>
      <c r="S187" s="156" t="inlineStr">
        <is>
          <t>Unverified</t>
        </is>
      </c>
      <c r="T187" s="158">
        <f>SUM(Z187:AF187)</f>
        <v>17</v>
      </c>
      <c r="U187" s="162" t="inlineStr">
        <is>
          <t>V4</t>
        </is>
      </c>
      <c r="V187" s="156" t="inlineStr">
        <is>
          <t>QUALIFY FIRST: animal hospital sales not confirmed in sources. Medical gas and device sales with installation work.</t>
        </is>
      </c>
      <c r="W187" s="156" t="inlineStr">
        <is>
          <t>Open by asking whether they serve animal hospitals today; if yes, offer a vet line with no overlap to their human ultrasound brands.</t>
        </is>
      </c>
      <c r="X187" s="156" t="inlineStr">
        <is>
          <t>Not checked (human list not in v17)</t>
        </is>
      </c>
      <c r="Y187" s="156" t="inlineStr">
        <is>
          <t>https://baseconnect.in/companies/prefecture/96c84bbe-0dd4-4885-9333-4913e3f022c9/keyword/89941b4e-2dd1-4848-8957-48af280a31e0</t>
        </is>
      </c>
      <c r="Z187" s="156" t="n">
        <v>2</v>
      </c>
      <c r="AA187" s="156" t="n">
        <v>3</v>
      </c>
      <c r="AB187" s="156" t="n">
        <v>3</v>
      </c>
      <c r="AC187" s="156" t="n">
        <v>2</v>
      </c>
      <c r="AD187" s="156" t="n">
        <v>1</v>
      </c>
      <c r="AE187" s="156" t="n">
        <v>4</v>
      </c>
      <c r="AF187" s="156" t="n">
        <v>2</v>
      </c>
      <c r="AG187" s="163" t="inlineStr">
        <is>
          <t>Qualify first</t>
        </is>
      </c>
    </row>
    <row r="188" ht="75" customHeight="1" s="114">
      <c r="A188" s="156" t="n">
        <v>184</v>
      </c>
      <c r="B188" s="156" t="inlineStr">
        <is>
          <t>Kyushu Iryo Service Co., Ltd.</t>
        </is>
      </c>
      <c r="C188" s="156" t="inlineStr">
        <is>
          <t>九州医療サービス株式会社</t>
        </is>
      </c>
      <c r="D188" s="156" t="inlineStr">
        <is>
          <t>Not found (NTA lookup blocked; dedupe by Japanese name)</t>
        </is>
      </c>
      <c r="E188" s="156" t="inlineStr">
        <is>
          <t>Fukuoka</t>
        </is>
      </c>
      <c r="F188" s="156" t="inlineStr">
        <is>
          <t>Kyushu and Okinawa</t>
        </is>
      </c>
      <c r="G188" s="156" t="inlineStr">
        <is>
          <t>Not found</t>
        </is>
      </c>
      <c r="H188" s="156" t="inlineStr">
        <is>
          <t>Human device sales licences; 動物用 licence not confirmed</t>
        </is>
      </c>
      <c r="I188" s="156" t="inlineStr">
        <is>
          <t>Human multi brand lines (ultrasound brands not confirmed)</t>
        </is>
      </c>
      <c r="J188" s="156" t="inlineStr">
        <is>
          <t>Companion</t>
        </is>
      </c>
      <c r="K188" s="156" t="inlineStr">
        <is>
          <t>Fukuoka (Nakagawa)</t>
        </is>
      </c>
      <c r="L188" s="156" t="inlineStr">
        <is>
          <t>Not found</t>
        </is>
      </c>
      <c r="M188" s="156" t="inlineStr">
        <is>
          <t>n/a</t>
        </is>
      </c>
      <c r="N188" s="156" t="inlineStr">
        <is>
          <t>Not identified</t>
        </is>
      </c>
      <c r="O188" s="156" t="inlineStr">
        <is>
          <t>Not identified</t>
        </is>
      </c>
      <c r="P188" s="156" t="inlineStr">
        <is>
          <t>Not searched (search budget)</t>
        </is>
      </c>
      <c r="Q188" s="156" t="inlineStr">
        <is>
          <t>Not found (use site)</t>
        </is>
      </c>
      <c r="R188" s="156" t="inlineStr">
        <is>
          <t>Not identified</t>
        </is>
      </c>
      <c r="S188" s="156" t="inlineStr">
        <is>
          <t>Unverified</t>
        </is>
      </c>
      <c r="T188" s="158">
        <f>SUM(Z188:AF188)</f>
        <v>17</v>
      </c>
      <c r="U188" s="162" t="inlineStr">
        <is>
          <t>V4</t>
        </is>
      </c>
      <c r="V188" s="156" t="inlineStr">
        <is>
          <t>QUALIFY FIRST: animal hospital sales not confirmed in sources. Medical and dental instrument wholesaler.</t>
        </is>
      </c>
      <c r="W188" s="156" t="inlineStr">
        <is>
          <t>Open by asking whether they serve animal hospitals today; if yes, offer a vet line with no overlap to their human ultrasound brands.</t>
        </is>
      </c>
      <c r="X188" s="156" t="inlineStr">
        <is>
          <t>Not checked (human list not in v17)</t>
        </is>
      </c>
      <c r="Y188" s="156" t="inlineStr">
        <is>
          <t>https://www.nikkei.com/compass/company/ib4WUdvTL1TxuRMigwCfQh</t>
        </is>
      </c>
      <c r="Z188" s="156" t="n">
        <v>2</v>
      </c>
      <c r="AA188" s="156" t="n">
        <v>3</v>
      </c>
      <c r="AB188" s="156" t="n">
        <v>3</v>
      </c>
      <c r="AC188" s="156" t="n">
        <v>2</v>
      </c>
      <c r="AD188" s="156" t="n">
        <v>1</v>
      </c>
      <c r="AE188" s="156" t="n">
        <v>4</v>
      </c>
      <c r="AF188" s="156" t="n">
        <v>2</v>
      </c>
      <c r="AG188" s="163" t="inlineStr">
        <is>
          <t>Qualify first</t>
        </is>
      </c>
    </row>
    <row r="189" ht="75" customHeight="1" s="114">
      <c r="A189" s="156" t="n">
        <v>185</v>
      </c>
      <c r="B189" s="156" t="inlineStr">
        <is>
          <t>Kyushu Toho Co., Ltd.</t>
        </is>
      </c>
      <c r="C189" s="156" t="inlineStr">
        <is>
          <t>株式会社九州東邦</t>
        </is>
      </c>
      <c r="D189" s="156" t="inlineStr">
        <is>
          <t>Not found (NTA lookup blocked; dedupe by Japanese name)</t>
        </is>
      </c>
      <c r="E189" s="156" t="inlineStr">
        <is>
          <t>Fukuoka</t>
        </is>
      </c>
      <c r="F189" s="156" t="inlineStr">
        <is>
          <t>Kyushu and Okinawa</t>
        </is>
      </c>
      <c r="G189" s="156" t="inlineStr">
        <is>
          <t>Not found</t>
        </is>
      </c>
      <c r="H189" s="156" t="inlineStr">
        <is>
          <t>Human device sales licences; 動物用 licence not confirmed</t>
        </is>
      </c>
      <c r="I189" s="156" t="inlineStr">
        <is>
          <t>Human multi brand lines (ultrasound brands not confirmed)</t>
        </is>
      </c>
      <c r="J189" s="156" t="inlineStr">
        <is>
          <t>Companion</t>
        </is>
      </c>
      <c r="K189" s="156" t="inlineStr">
        <is>
          <t>Kyushu</t>
        </is>
      </c>
      <c r="L189" s="156" t="inlineStr">
        <is>
          <t>Not found</t>
        </is>
      </c>
      <c r="M189" s="156" t="inlineStr">
        <is>
          <t>n/a</t>
        </is>
      </c>
      <c r="N189" s="156" t="inlineStr">
        <is>
          <t>Not identified</t>
        </is>
      </c>
      <c r="O189" s="156" t="inlineStr">
        <is>
          <t>Not identified</t>
        </is>
      </c>
      <c r="P189" s="156" t="inlineStr">
        <is>
          <t>Not searched (search budget)</t>
        </is>
      </c>
      <c r="Q189" s="156" t="inlineStr">
        <is>
          <t>Not found (use site)</t>
        </is>
      </c>
      <c r="R189" s="156" t="inlineStr">
        <is>
          <t>Not identified</t>
        </is>
      </c>
      <c r="S189" s="156" t="inlineStr">
        <is>
          <t>Unverified</t>
        </is>
      </c>
      <c r="T189" s="158">
        <f>SUM(Z189:AF189)</f>
        <v>17</v>
      </c>
      <c r="U189" s="162" t="inlineStr">
        <is>
          <t>V4</t>
        </is>
      </c>
      <c r="V189" s="156" t="inlineStr">
        <is>
          <t>QUALIFY FIRST: animal hospital sales not confirmed in sources. Fukuoka device and supplies trader (Toho group).</t>
        </is>
      </c>
      <c r="W189" s="156" t="inlineStr">
        <is>
          <t>Open by asking whether they serve animal hospitals today; if yes, offer a vet line with no overlap to their human ultrasound brands.</t>
        </is>
      </c>
      <c r="X189" s="156" t="inlineStr">
        <is>
          <t>Not checked (human list not in v17)</t>
        </is>
      </c>
      <c r="Y189" s="156" t="inlineStr">
        <is>
          <t>https://www.navitime.co.jp/category/0516/40/?tags=010190&amp;from=tag</t>
        </is>
      </c>
      <c r="Z189" s="156" t="n">
        <v>2</v>
      </c>
      <c r="AA189" s="156" t="n">
        <v>3</v>
      </c>
      <c r="AB189" s="156" t="n">
        <v>3</v>
      </c>
      <c r="AC189" s="156" t="n">
        <v>2</v>
      </c>
      <c r="AD189" s="156" t="n">
        <v>1</v>
      </c>
      <c r="AE189" s="156" t="n">
        <v>4</v>
      </c>
      <c r="AF189" s="156" t="n">
        <v>2</v>
      </c>
      <c r="AG189" s="163" t="inlineStr">
        <is>
          <t>Qualify first</t>
        </is>
      </c>
    </row>
    <row r="190" ht="75" customHeight="1" s="114">
      <c r="A190" s="156" t="n">
        <v>186</v>
      </c>
      <c r="B190" s="156" t="inlineStr">
        <is>
          <t>Miyashin Co., Ltd.</t>
        </is>
      </c>
      <c r="C190" s="156" t="inlineStr">
        <is>
          <t>株式会社宮信</t>
        </is>
      </c>
      <c r="D190" s="156" t="inlineStr">
        <is>
          <t>Not found (NTA lookup blocked; dedupe by Japanese name)</t>
        </is>
      </c>
      <c r="E190" s="156" t="inlineStr">
        <is>
          <t>Okinawa</t>
        </is>
      </c>
      <c r="F190" s="156" t="inlineStr">
        <is>
          <t>Kyushu and Okinawa</t>
        </is>
      </c>
      <c r="G190" s="156" t="inlineStr">
        <is>
          <t>Not found</t>
        </is>
      </c>
      <c r="H190" s="156" t="inlineStr">
        <is>
          <t>Human device sales licences; 動物用 licence not confirmed</t>
        </is>
      </c>
      <c r="I190" s="156" t="inlineStr">
        <is>
          <t>Human multi brand lines (ultrasound brands not confirmed)</t>
        </is>
      </c>
      <c r="J190" s="156" t="inlineStr">
        <is>
          <t>Companion</t>
        </is>
      </c>
      <c r="K190" s="156" t="inlineStr">
        <is>
          <t>Okinawa (Ginowan)</t>
        </is>
      </c>
      <c r="L190" s="156" t="inlineStr">
        <is>
          <t>Not found</t>
        </is>
      </c>
      <c r="M190" s="156" t="inlineStr">
        <is>
          <t>n/a</t>
        </is>
      </c>
      <c r="N190" s="156" t="inlineStr">
        <is>
          <t>Not identified</t>
        </is>
      </c>
      <c r="O190" s="156" t="inlineStr">
        <is>
          <t>Not identified</t>
        </is>
      </c>
      <c r="P190" s="156" t="inlineStr">
        <is>
          <t>Not searched (search budget)</t>
        </is>
      </c>
      <c r="Q190" s="156" t="inlineStr">
        <is>
          <t>Not found (use site)</t>
        </is>
      </c>
      <c r="R190" s="156" t="inlineStr">
        <is>
          <t>Not identified</t>
        </is>
      </c>
      <c r="S190" s="156" t="inlineStr">
        <is>
          <t>Unverified</t>
        </is>
      </c>
      <c r="T190" s="158">
        <f>SUM(Z190:AF190)</f>
        <v>17</v>
      </c>
      <c r="U190" s="162" t="inlineStr">
        <is>
          <t>V4</t>
        </is>
      </c>
      <c r="V190" s="156" t="inlineStr">
        <is>
          <t>QUALIFY FIRST: animal hospital sales not confirmed in sources. Okinawa device trading company.</t>
        </is>
      </c>
      <c r="W190" s="156" t="inlineStr">
        <is>
          <t>Open by asking whether they serve animal hospitals today; if yes, offer a vet line with no overlap to their human ultrasound brands.</t>
        </is>
      </c>
      <c r="X190" s="156" t="inlineStr">
        <is>
          <t>Not checked (human list not in v17)</t>
        </is>
      </c>
      <c r="Y190" s="156" t="inlineStr">
        <is>
          <t>https://www.navitime.co.jp/category/00/47/?tags=010190</t>
        </is>
      </c>
      <c r="Z190" s="156" t="n">
        <v>2</v>
      </c>
      <c r="AA190" s="156" t="n">
        <v>3</v>
      </c>
      <c r="AB190" s="156" t="n">
        <v>3</v>
      </c>
      <c r="AC190" s="156" t="n">
        <v>2</v>
      </c>
      <c r="AD190" s="156" t="n">
        <v>1</v>
      </c>
      <c r="AE190" s="156" t="n">
        <v>4</v>
      </c>
      <c r="AF190" s="156" t="n">
        <v>2</v>
      </c>
      <c r="AG190" s="163" t="inlineStr">
        <is>
          <t>Qualify first</t>
        </is>
      </c>
    </row>
    <row r="191" ht="75" customHeight="1" s="114">
      <c r="A191" s="156" t="n">
        <v>187</v>
      </c>
      <c r="B191" s="156" t="inlineStr">
        <is>
          <t>Okinawa Medico Co., Ltd.</t>
        </is>
      </c>
      <c r="C191" s="156" t="inlineStr">
        <is>
          <t>株式会社沖縄メディコ</t>
        </is>
      </c>
      <c r="D191" s="156" t="inlineStr">
        <is>
          <t>Not found (NTA lookup blocked; dedupe by Japanese name)</t>
        </is>
      </c>
      <c r="E191" s="156" t="inlineStr">
        <is>
          <t>Okinawa</t>
        </is>
      </c>
      <c r="F191" s="156" t="inlineStr">
        <is>
          <t>Kyushu and Okinawa</t>
        </is>
      </c>
      <c r="G191" s="157" t="inlineStr">
        <is>
          <t>https://okinawa-medico.com/</t>
        </is>
      </c>
      <c r="H191" s="156" t="inlineStr">
        <is>
          <t>Human device sales licences; 動物用 licence not confirmed</t>
        </is>
      </c>
      <c r="I191" s="156" t="inlineStr">
        <is>
          <t>Human multi brand lines (ultrasound brands not confirmed)</t>
        </is>
      </c>
      <c r="J191" s="156" t="inlineStr">
        <is>
          <t>Companion</t>
        </is>
      </c>
      <c r="K191" s="156" t="inlineStr">
        <is>
          <t>Okinawa</t>
        </is>
      </c>
      <c r="L191" s="156" t="inlineStr">
        <is>
          <t>Not found</t>
        </is>
      </c>
      <c r="M191" s="156" t="inlineStr">
        <is>
          <t>n/a</t>
        </is>
      </c>
      <c r="N191" s="156" t="inlineStr">
        <is>
          <t>Not identified</t>
        </is>
      </c>
      <c r="O191" s="156" t="inlineStr">
        <is>
          <t>Not identified</t>
        </is>
      </c>
      <c r="P191" s="156" t="inlineStr">
        <is>
          <t>Not published; phone only</t>
        </is>
      </c>
      <c r="Q191" s="156" t="inlineStr">
        <is>
          <t>098 876 5280</t>
        </is>
      </c>
      <c r="R191" s="156" t="inlineStr">
        <is>
          <t>Not identified</t>
        </is>
      </c>
      <c r="S191" s="156" t="inlineStr">
        <is>
          <t>Company inquiry only (phone)</t>
        </is>
      </c>
      <c r="T191" s="158">
        <f>SUM(Z191:AF191)</f>
        <v>17</v>
      </c>
      <c r="U191" s="162" t="inlineStr">
        <is>
          <t>V4</t>
        </is>
      </c>
      <c r="V191" s="156" t="inlineStr">
        <is>
          <t>QUALIFY FIRST: animal hospital sales not confirmed in sources. Okinawa general device trading house (Urasoe).</t>
        </is>
      </c>
      <c r="W191" s="156" t="inlineStr">
        <is>
          <t>Open by asking whether they serve animal hospitals today; if yes, offer a vet line with no overlap to their human ultrasound brands.</t>
        </is>
      </c>
      <c r="X191" s="156" t="inlineStr">
        <is>
          <t>Not checked (human list not in v17)</t>
        </is>
      </c>
      <c r="Y191" s="156" t="inlineStr">
        <is>
          <t>https://okinawa-medico.com/company/</t>
        </is>
      </c>
      <c r="Z191" s="156" t="n">
        <v>2</v>
      </c>
      <c r="AA191" s="156" t="n">
        <v>3</v>
      </c>
      <c r="AB191" s="156" t="n">
        <v>3</v>
      </c>
      <c r="AC191" s="156" t="n">
        <v>2</v>
      </c>
      <c r="AD191" s="156" t="n">
        <v>1</v>
      </c>
      <c r="AE191" s="156" t="n">
        <v>4</v>
      </c>
      <c r="AF191" s="156" t="n">
        <v>2</v>
      </c>
      <c r="AG191" s="163" t="inlineStr">
        <is>
          <t>Qualify first</t>
        </is>
      </c>
    </row>
    <row r="192" ht="75" customHeight="1" s="114">
      <c r="A192" s="156" t="n">
        <v>188</v>
      </c>
      <c r="B192" s="156" t="inlineStr">
        <is>
          <t>Ryuyaku Co., Ltd.</t>
        </is>
      </c>
      <c r="C192" s="156" t="inlineStr">
        <is>
          <t>株式会社琉薬</t>
        </is>
      </c>
      <c r="D192" s="156" t="inlineStr">
        <is>
          <t>Not found (NTA lookup blocked; dedupe by Japanese name)</t>
        </is>
      </c>
      <c r="E192" s="156" t="inlineStr">
        <is>
          <t>Okinawa</t>
        </is>
      </c>
      <c r="F192" s="156" t="inlineStr">
        <is>
          <t>Kyushu and Okinawa</t>
        </is>
      </c>
      <c r="G192" s="156" t="inlineStr">
        <is>
          <t>Not found</t>
        </is>
      </c>
      <c r="H192" s="156" t="inlineStr">
        <is>
          <t>Human device sales licences; 動物用 licence not confirmed</t>
        </is>
      </c>
      <c r="I192" s="156" t="inlineStr">
        <is>
          <t>Human multi brand lines (ultrasound brands not confirmed)</t>
        </is>
      </c>
      <c r="J192" s="156" t="inlineStr">
        <is>
          <t>Companion</t>
        </is>
      </c>
      <c r="K192" s="156" t="inlineStr">
        <is>
          <t>Okinawa (Urasoe)</t>
        </is>
      </c>
      <c r="L192" s="156" t="inlineStr">
        <is>
          <t>Not found</t>
        </is>
      </c>
      <c r="M192" s="156" t="inlineStr">
        <is>
          <t>n/a</t>
        </is>
      </c>
      <c r="N192" s="156" t="inlineStr">
        <is>
          <t>Not identified</t>
        </is>
      </c>
      <c r="O192" s="156" t="inlineStr">
        <is>
          <t>Not identified</t>
        </is>
      </c>
      <c r="P192" s="156" t="inlineStr">
        <is>
          <t>Not searched (search budget)</t>
        </is>
      </c>
      <c r="Q192" s="156" t="inlineStr">
        <is>
          <t>Not found (use site)</t>
        </is>
      </c>
      <c r="R192" s="156" t="inlineStr">
        <is>
          <t>Not identified</t>
        </is>
      </c>
      <c r="S192" s="156" t="inlineStr">
        <is>
          <t>Unverified</t>
        </is>
      </c>
      <c r="T192" s="158">
        <f>SUM(Z192:AF192)</f>
        <v>17</v>
      </c>
      <c r="U192" s="162" t="inlineStr">
        <is>
          <t>V4</t>
        </is>
      </c>
      <c r="V192" s="156" t="inlineStr">
        <is>
          <t>QUALIFY FIRST: animal hospital sales not confirmed in sources. Okinawa pharma and device wholesaler.</t>
        </is>
      </c>
      <c r="W192" s="156" t="inlineStr">
        <is>
          <t>Open by asking whether they serve animal hospitals today; if yes, offer a vet line with no overlap to their human ultrasound brands.</t>
        </is>
      </c>
      <c r="X192" s="156" t="inlineStr">
        <is>
          <t>Not checked (human list not in v17)</t>
        </is>
      </c>
      <c r="Y192" s="156" t="inlineStr">
        <is>
          <t>https://www.navitime.co.jp/category/00/47/?tags=010190</t>
        </is>
      </c>
      <c r="Z192" s="156" t="n">
        <v>2</v>
      </c>
      <c r="AA192" s="156" t="n">
        <v>3</v>
      </c>
      <c r="AB192" s="156" t="n">
        <v>3</v>
      </c>
      <c r="AC192" s="156" t="n">
        <v>2</v>
      </c>
      <c r="AD192" s="156" t="n">
        <v>1</v>
      </c>
      <c r="AE192" s="156" t="n">
        <v>4</v>
      </c>
      <c r="AF192" s="156" t="n">
        <v>2</v>
      </c>
      <c r="AG192" s="163" t="inlineStr">
        <is>
          <t>Qualify first</t>
        </is>
      </c>
    </row>
    <row r="193" ht="75" customHeight="1" s="114">
      <c r="A193" s="156" t="n">
        <v>189</v>
      </c>
      <c r="B193" s="156" t="inlineStr">
        <is>
          <t>Satsuma Yakuhin Co., Ltd.</t>
        </is>
      </c>
      <c r="C193" s="156" t="inlineStr">
        <is>
          <t>サツマ薬品株式会社</t>
        </is>
      </c>
      <c r="D193" s="156" t="inlineStr">
        <is>
          <t>Not found (NTA lookup blocked; dedupe by Japanese name)</t>
        </is>
      </c>
      <c r="E193" s="156" t="inlineStr">
        <is>
          <t>Kagoshima</t>
        </is>
      </c>
      <c r="F193" s="156" t="inlineStr">
        <is>
          <t>Kyushu and Okinawa</t>
        </is>
      </c>
      <c r="G193" s="156" t="inlineStr">
        <is>
          <t>Not found</t>
        </is>
      </c>
      <c r="H193" s="156" t="inlineStr">
        <is>
          <t>Human device sales licences; 動物用 licence not confirmed</t>
        </is>
      </c>
      <c r="I193" s="156" t="inlineStr">
        <is>
          <t>Human multi brand lines (ultrasound brands not confirmed)</t>
        </is>
      </c>
      <c r="J193" s="156" t="inlineStr">
        <is>
          <t>Companion</t>
        </is>
      </c>
      <c r="K193" s="156" t="inlineStr">
        <is>
          <t>Kagoshima</t>
        </is>
      </c>
      <c r="L193" s="156" t="inlineStr">
        <is>
          <t>Not found</t>
        </is>
      </c>
      <c r="M193" s="156" t="inlineStr">
        <is>
          <t>n/a</t>
        </is>
      </c>
      <c r="N193" s="156" t="inlineStr">
        <is>
          <t>Not identified</t>
        </is>
      </c>
      <c r="O193" s="156" t="inlineStr">
        <is>
          <t>Not identified</t>
        </is>
      </c>
      <c r="P193" s="156" t="inlineStr">
        <is>
          <t>Not searched (search budget)</t>
        </is>
      </c>
      <c r="Q193" s="156" t="inlineStr">
        <is>
          <t>Not found (use site)</t>
        </is>
      </c>
      <c r="R193" s="156" t="inlineStr">
        <is>
          <t>Not identified</t>
        </is>
      </c>
      <c r="S193" s="156" t="inlineStr">
        <is>
          <t>Unverified</t>
        </is>
      </c>
      <c r="T193" s="158">
        <f>SUM(Z193:AF193)</f>
        <v>17</v>
      </c>
      <c r="U193" s="162" t="inlineStr">
        <is>
          <t>V4</t>
        </is>
      </c>
      <c r="V193" s="156" t="inlineStr">
        <is>
          <t>QUALIFY FIRST: animal hospital sales not confirmed in sources. Kagoshima device trading company.</t>
        </is>
      </c>
      <c r="W193" s="156" t="inlineStr">
        <is>
          <t>Open by asking whether they serve animal hospitals today; if yes, offer a vet line with no overlap to their human ultrasound brands.</t>
        </is>
      </c>
      <c r="X193" s="156" t="inlineStr">
        <is>
          <t>Not checked (human list not in v17)</t>
        </is>
      </c>
      <c r="Y193" s="156" t="inlineStr">
        <is>
          <t>https://baseconnect.in/companies/prefecture/344720c8-49c6-4a45-94af-958496d86524/category/b2358a1c-c4c6-46f4-a0b1-dee3a1b30a0b</t>
        </is>
      </c>
      <c r="Z193" s="156" t="n">
        <v>2</v>
      </c>
      <c r="AA193" s="156" t="n">
        <v>3</v>
      </c>
      <c r="AB193" s="156" t="n">
        <v>3</v>
      </c>
      <c r="AC193" s="156" t="n">
        <v>2</v>
      </c>
      <c r="AD193" s="156" t="n">
        <v>1</v>
      </c>
      <c r="AE193" s="156" t="n">
        <v>4</v>
      </c>
      <c r="AF193" s="156" t="n">
        <v>2</v>
      </c>
      <c r="AG193" s="163" t="inlineStr">
        <is>
          <t>Qualify first</t>
        </is>
      </c>
    </row>
    <row r="194" ht="75" customHeight="1" s="114">
      <c r="A194" s="156" t="n">
        <v>190</v>
      </c>
      <c r="B194" s="156" t="inlineStr">
        <is>
          <t>Shinseido Co., Ltd.</t>
        </is>
      </c>
      <c r="C194" s="156" t="inlineStr">
        <is>
          <t>株式会社新生堂</t>
        </is>
      </c>
      <c r="D194" s="156" t="inlineStr">
        <is>
          <t>Not found (NTA lookup blocked; dedupe by Japanese name)</t>
        </is>
      </c>
      <c r="E194" s="156" t="inlineStr">
        <is>
          <t>Kumamoto</t>
        </is>
      </c>
      <c r="F194" s="156" t="inlineStr">
        <is>
          <t>Kyushu and Okinawa</t>
        </is>
      </c>
      <c r="G194" s="156" t="inlineStr">
        <is>
          <t>Not found</t>
        </is>
      </c>
      <c r="H194" s="156" t="inlineStr">
        <is>
          <t>Human device sales licences; 動物用 licence not confirmed</t>
        </is>
      </c>
      <c r="I194" s="156" t="inlineStr">
        <is>
          <t>Human multi brand lines (ultrasound brands not confirmed)</t>
        </is>
      </c>
      <c r="J194" s="156" t="inlineStr">
        <is>
          <t>Companion</t>
        </is>
      </c>
      <c r="K194" s="156" t="inlineStr">
        <is>
          <t>Kumamoto</t>
        </is>
      </c>
      <c r="L194" s="156" t="inlineStr">
        <is>
          <t>Not found</t>
        </is>
      </c>
      <c r="M194" s="156" t="inlineStr">
        <is>
          <t>n/a</t>
        </is>
      </c>
      <c r="N194" s="156" t="inlineStr">
        <is>
          <t>Not identified</t>
        </is>
      </c>
      <c r="O194" s="156" t="inlineStr">
        <is>
          <t>Not identified</t>
        </is>
      </c>
      <c r="P194" s="156" t="inlineStr">
        <is>
          <t>Not searched (search budget)</t>
        </is>
      </c>
      <c r="Q194" s="156" t="inlineStr">
        <is>
          <t>Not found (use site)</t>
        </is>
      </c>
      <c r="R194" s="156" t="inlineStr">
        <is>
          <t>Not identified</t>
        </is>
      </c>
      <c r="S194" s="156" t="inlineStr">
        <is>
          <t>Unverified</t>
        </is>
      </c>
      <c r="T194" s="158">
        <f>SUM(Z194:AF194)</f>
        <v>17</v>
      </c>
      <c r="U194" s="162" t="inlineStr">
        <is>
          <t>V4</t>
        </is>
      </c>
      <c r="V194" s="156" t="inlineStr">
        <is>
          <t>QUALIFY FIRST: animal hospital sales not confirmed in sources. Kumamoto pharma wholesaler to hospitals and pharmacies.</t>
        </is>
      </c>
      <c r="W194" s="156" t="inlineStr">
        <is>
          <t>Open by asking whether they serve animal hospitals today; if yes, offer a vet line with no overlap to their human ultrasound brands.</t>
        </is>
      </c>
      <c r="X194" s="156" t="inlineStr">
        <is>
          <t>Not checked (human list not in v17)</t>
        </is>
      </c>
      <c r="Y194" s="156" t="inlineStr">
        <is>
          <t>https://baseconnect.in/companies/prefecture/96c84bbe-0dd4-4885-9333-4913e3f022c9/keyword/89941b4e-2dd1-4848-8957-48af280a31e0</t>
        </is>
      </c>
      <c r="Z194" s="156" t="n">
        <v>2</v>
      </c>
      <c r="AA194" s="156" t="n">
        <v>3</v>
      </c>
      <c r="AB194" s="156" t="n">
        <v>3</v>
      </c>
      <c r="AC194" s="156" t="n">
        <v>2</v>
      </c>
      <c r="AD194" s="156" t="n">
        <v>1</v>
      </c>
      <c r="AE194" s="156" t="n">
        <v>4</v>
      </c>
      <c r="AF194" s="156" t="n">
        <v>2</v>
      </c>
      <c r="AG194" s="163" t="inlineStr">
        <is>
          <t>Qualify first</t>
        </is>
      </c>
    </row>
    <row r="195" ht="75" customHeight="1" s="114">
      <c r="A195" s="156" t="n">
        <v>191</v>
      </c>
      <c r="B195" s="156" t="inlineStr">
        <is>
          <t>Shoyaku Co., Ltd.</t>
        </is>
      </c>
      <c r="C195" s="156" t="inlineStr">
        <is>
          <t>株式会社翔薬</t>
        </is>
      </c>
      <c r="D195" s="156" t="inlineStr">
        <is>
          <t>Not found (NTA lookup blocked; dedupe by Japanese name)</t>
        </is>
      </c>
      <c r="E195" s="156" t="inlineStr">
        <is>
          <t>Fukuoka</t>
        </is>
      </c>
      <c r="F195" s="156" t="inlineStr">
        <is>
          <t>Kyushu and Okinawa</t>
        </is>
      </c>
      <c r="G195" s="156" t="inlineStr">
        <is>
          <t>Not found</t>
        </is>
      </c>
      <c r="H195" s="156" t="inlineStr">
        <is>
          <t>Human device sales licences; 動物用 licence not confirmed</t>
        </is>
      </c>
      <c r="I195" s="156" t="inlineStr">
        <is>
          <t>Human multi brand lines (ultrasound brands not confirmed)</t>
        </is>
      </c>
      <c r="J195" s="156" t="inlineStr">
        <is>
          <t>Companion</t>
        </is>
      </c>
      <c r="K195" s="156" t="inlineStr">
        <is>
          <t>Fukuoka</t>
        </is>
      </c>
      <c r="L195" s="156" t="inlineStr">
        <is>
          <t>Not found</t>
        </is>
      </c>
      <c r="M195" s="156" t="inlineStr">
        <is>
          <t>n/a</t>
        </is>
      </c>
      <c r="N195" s="156" t="inlineStr">
        <is>
          <t>Not identified</t>
        </is>
      </c>
      <c r="O195" s="156" t="inlineStr">
        <is>
          <t>Not identified</t>
        </is>
      </c>
      <c r="P195" s="156" t="inlineStr">
        <is>
          <t>Not searched (search budget)</t>
        </is>
      </c>
      <c r="Q195" s="156" t="inlineStr">
        <is>
          <t>Not found (use site)</t>
        </is>
      </c>
      <c r="R195" s="156" t="inlineStr">
        <is>
          <t>Not identified</t>
        </is>
      </c>
      <c r="S195" s="156" t="inlineStr">
        <is>
          <t>Unverified</t>
        </is>
      </c>
      <c r="T195" s="158">
        <f>SUM(Z195:AF195)</f>
        <v>17</v>
      </c>
      <c r="U195" s="162" t="inlineStr">
        <is>
          <t>V4</t>
        </is>
      </c>
      <c r="V195" s="156" t="inlineStr">
        <is>
          <t>QUALIFY FIRST: animal hospital sales not confirmed in sources. Pharma and device wholesaler.</t>
        </is>
      </c>
      <c r="W195" s="156" t="inlineStr">
        <is>
          <t>Open by asking whether they serve animal hospitals today; if yes, offer a vet line with no overlap to their human ultrasound brands.</t>
        </is>
      </c>
      <c r="X195" s="156" t="inlineStr">
        <is>
          <t>Not checked (human list not in v17)</t>
        </is>
      </c>
      <c r="Y195" s="156" t="inlineStr">
        <is>
          <t>https://baseconnect.in/companies/prefecture/39b58ff0-63fd-405f-8b8a-37c5443ce5c7/keyword/89941b4e-2dd1-4848-8957-48af280a31e0</t>
        </is>
      </c>
      <c r="Z195" s="156" t="n">
        <v>2</v>
      </c>
      <c r="AA195" s="156" t="n">
        <v>3</v>
      </c>
      <c r="AB195" s="156" t="n">
        <v>3</v>
      </c>
      <c r="AC195" s="156" t="n">
        <v>2</v>
      </c>
      <c r="AD195" s="156" t="n">
        <v>1</v>
      </c>
      <c r="AE195" s="156" t="n">
        <v>4</v>
      </c>
      <c r="AF195" s="156" t="n">
        <v>2</v>
      </c>
      <c r="AG195" s="163" t="inlineStr">
        <is>
          <t>Qualify first</t>
        </is>
      </c>
    </row>
    <row r="196" ht="75" customHeight="1" s="114">
      <c r="A196" s="156" t="n">
        <v>192</v>
      </c>
      <c r="B196" s="156" t="inlineStr">
        <is>
          <t>Yokoo Mutoh Co., Ltd.</t>
        </is>
      </c>
      <c r="C196" s="156" t="inlineStr">
        <is>
          <t>株式会社横尾ムトウ</t>
        </is>
      </c>
      <c r="D196" s="156" t="inlineStr">
        <is>
          <t>Not found (NTA lookup blocked; dedupe by Japanese name)</t>
        </is>
      </c>
      <c r="E196" s="156" t="inlineStr">
        <is>
          <t>Kagoshima</t>
        </is>
      </c>
      <c r="F196" s="156" t="inlineStr">
        <is>
          <t>Kyushu and Okinawa</t>
        </is>
      </c>
      <c r="G196" s="156" t="inlineStr">
        <is>
          <t>Not found</t>
        </is>
      </c>
      <c r="H196" s="156" t="inlineStr">
        <is>
          <t>Human device sales licences; 動物用 licence not confirmed</t>
        </is>
      </c>
      <c r="I196" s="156" t="inlineStr">
        <is>
          <t>Human multi brand lines (ultrasound brands not confirmed)</t>
        </is>
      </c>
      <c r="J196" s="156" t="inlineStr">
        <is>
          <t>Companion</t>
        </is>
      </c>
      <c r="K196" s="156" t="inlineStr">
        <is>
          <t>Kagoshima</t>
        </is>
      </c>
      <c r="L196" s="156" t="inlineStr">
        <is>
          <t>Not found</t>
        </is>
      </c>
      <c r="M196" s="156" t="inlineStr">
        <is>
          <t>n/a</t>
        </is>
      </c>
      <c r="N196" s="156" t="inlineStr">
        <is>
          <t>Not identified</t>
        </is>
      </c>
      <c r="O196" s="156" t="inlineStr">
        <is>
          <t>Not identified</t>
        </is>
      </c>
      <c r="P196" s="156" t="inlineStr">
        <is>
          <t>Not searched (search budget)</t>
        </is>
      </c>
      <c r="Q196" s="156" t="inlineStr">
        <is>
          <t>Not found (use site)</t>
        </is>
      </c>
      <c r="R196" s="156" t="inlineStr">
        <is>
          <t>Not identified</t>
        </is>
      </c>
      <c r="S196" s="156" t="inlineStr">
        <is>
          <t>Unverified</t>
        </is>
      </c>
      <c r="T196" s="158">
        <f>SUM(Z196:AF196)</f>
        <v>17</v>
      </c>
      <c r="U196" s="162" t="inlineStr">
        <is>
          <t>V4</t>
        </is>
      </c>
      <c r="V196" s="156" t="inlineStr">
        <is>
          <t>QUALIFY FIRST: animal hospital sales not confirmed in sources. Kagoshima medical and welfare equipment wholesaler. FLAG: Name suggests a Mutoh affiliate; coordinate with Mutoh.</t>
        </is>
      </c>
      <c r="W196" s="156" t="inlineStr">
        <is>
          <t>Open by asking whether they serve animal hospitals today; if yes, offer a vet line with no overlap to their human ultrasound brands.</t>
        </is>
      </c>
      <c r="X196" s="156" t="inlineStr">
        <is>
          <t>Not checked (human list not in v17)</t>
        </is>
      </c>
      <c r="Y196" s="156" t="inlineStr">
        <is>
          <t>https://baseconnect.in/companies/prefecture/344720c8-49c6-4a45-94af-958496d86524/category/b2358a1c-c4c6-46f4-a0b1-dee3a1b30a0b</t>
        </is>
      </c>
      <c r="Z196" s="156" t="n">
        <v>2</v>
      </c>
      <c r="AA196" s="156" t="n">
        <v>3</v>
      </c>
      <c r="AB196" s="156" t="n">
        <v>3</v>
      </c>
      <c r="AC196" s="156" t="n">
        <v>2</v>
      </c>
      <c r="AD196" s="156" t="n">
        <v>1</v>
      </c>
      <c r="AE196" s="156" t="n">
        <v>4</v>
      </c>
      <c r="AF196" s="156" t="n">
        <v>2</v>
      </c>
      <c r="AG196" s="163" t="inlineStr">
        <is>
          <t>Qualify first</t>
        </is>
      </c>
    </row>
    <row r="197" ht="75" customHeight="1" s="114">
      <c r="A197" s="156" t="n">
        <v>193</v>
      </c>
      <c r="B197" s="156" t="inlineStr">
        <is>
          <t>Aqua Med Japan Co., Ltd.</t>
        </is>
      </c>
      <c r="C197" s="156" t="inlineStr">
        <is>
          <t>アクアメッドジャパン株式会社</t>
        </is>
      </c>
      <c r="D197" s="156" t="inlineStr">
        <is>
          <t>Not found (NTA lookup blocked; dedupe by Japanese name)</t>
        </is>
      </c>
      <c r="E197" s="156" t="inlineStr">
        <is>
          <t>Miyagi</t>
        </is>
      </c>
      <c r="F197" s="156" t="inlineStr">
        <is>
          <t>Tohoku and Hokkaido</t>
        </is>
      </c>
      <c r="G197" s="156" t="inlineStr">
        <is>
          <t>Not found</t>
        </is>
      </c>
      <c r="H197" s="156" t="inlineStr">
        <is>
          <t>Human device sales licences; 動物用 licence not confirmed</t>
        </is>
      </c>
      <c r="I197" s="156" t="inlineStr">
        <is>
          <t>Human multi brand lines (ultrasound brands not confirmed)</t>
        </is>
      </c>
      <c r="J197" s="156" t="inlineStr">
        <is>
          <t>Companion</t>
        </is>
      </c>
      <c r="K197" s="156" t="inlineStr">
        <is>
          <t>Tohoku</t>
        </is>
      </c>
      <c r="L197" s="156" t="inlineStr">
        <is>
          <t>Not found</t>
        </is>
      </c>
      <c r="M197" s="156" t="inlineStr">
        <is>
          <t>n/a</t>
        </is>
      </c>
      <c r="N197" s="156" t="inlineStr">
        <is>
          <t>Not identified</t>
        </is>
      </c>
      <c r="O197" s="156" t="inlineStr">
        <is>
          <t>Not identified</t>
        </is>
      </c>
      <c r="P197" s="156" t="inlineStr">
        <is>
          <t>Not searched (search budget)</t>
        </is>
      </c>
      <c r="Q197" s="156" t="inlineStr">
        <is>
          <t>Not found (use site)</t>
        </is>
      </c>
      <c r="R197" s="156" t="inlineStr">
        <is>
          <t>Not identified</t>
        </is>
      </c>
      <c r="S197" s="156" t="inlineStr">
        <is>
          <t>Unverified</t>
        </is>
      </c>
      <c r="T197" s="158">
        <f>SUM(Z197:AF197)</f>
        <v>17</v>
      </c>
      <c r="U197" s="162" t="inlineStr">
        <is>
          <t>V4</t>
        </is>
      </c>
      <c r="V197" s="156" t="inlineStr">
        <is>
          <t>QUALIFY FIRST: animal hospital sales not confirmed in sources. Sendai joint replacement device specialist (2005).</t>
        </is>
      </c>
      <c r="W197" s="156" t="inlineStr">
        <is>
          <t>Open by asking whether they serve animal hospitals today; if yes, offer a vet line with no overlap to their human ultrasound brands.</t>
        </is>
      </c>
      <c r="X197" s="156" t="inlineStr">
        <is>
          <t>Not checked (human list not in v17)</t>
        </is>
      </c>
      <c r="Y197" s="156" t="inlineStr">
        <is>
          <t>https://tenshoku.mynavi.jp/tohoku/list/i02090/</t>
        </is>
      </c>
      <c r="Z197" s="156" t="n">
        <v>2</v>
      </c>
      <c r="AA197" s="156" t="n">
        <v>3</v>
      </c>
      <c r="AB197" s="156" t="n">
        <v>3</v>
      </c>
      <c r="AC197" s="156" t="n">
        <v>2</v>
      </c>
      <c r="AD197" s="156" t="n">
        <v>1</v>
      </c>
      <c r="AE197" s="156" t="n">
        <v>4</v>
      </c>
      <c r="AF197" s="156" t="n">
        <v>2</v>
      </c>
      <c r="AG197" s="163" t="inlineStr">
        <is>
          <t>Qualify first</t>
        </is>
      </c>
    </row>
    <row r="198" ht="75" customHeight="1" s="114">
      <c r="A198" s="156" t="n">
        <v>194</v>
      </c>
      <c r="B198" s="156" t="inlineStr">
        <is>
          <t>Asaka Ika Kikai</t>
        </is>
      </c>
      <c r="C198" s="156" t="inlineStr">
        <is>
          <t>安積医科器械</t>
        </is>
      </c>
      <c r="D198" s="156" t="inlineStr">
        <is>
          <t>Not found (NTA lookup blocked; dedupe by Japanese name)</t>
        </is>
      </c>
      <c r="E198" s="156" t="inlineStr">
        <is>
          <t>Fukushima</t>
        </is>
      </c>
      <c r="F198" s="156" t="inlineStr">
        <is>
          <t>Tohoku and Hokkaido</t>
        </is>
      </c>
      <c r="G198" s="156" t="inlineStr">
        <is>
          <t>Not found</t>
        </is>
      </c>
      <c r="H198" s="156" t="inlineStr">
        <is>
          <t>Human device sales licences; 動物用 licence not confirmed</t>
        </is>
      </c>
      <c r="I198" s="156" t="inlineStr">
        <is>
          <t>Human multi brand lines (ultrasound brands not confirmed)</t>
        </is>
      </c>
      <c r="J198" s="156" t="inlineStr">
        <is>
          <t>Companion</t>
        </is>
      </c>
      <c r="K198" s="156" t="inlineStr">
        <is>
          <t>Koriyama, Fukushima</t>
        </is>
      </c>
      <c r="L198" s="156" t="inlineStr">
        <is>
          <t>Not found</t>
        </is>
      </c>
      <c r="M198" s="156" t="inlineStr">
        <is>
          <t>n/a</t>
        </is>
      </c>
      <c r="N198" s="156" t="inlineStr">
        <is>
          <t>Not identified</t>
        </is>
      </c>
      <c r="O198" s="156" t="inlineStr">
        <is>
          <t>Not identified</t>
        </is>
      </c>
      <c r="P198" s="156" t="inlineStr">
        <is>
          <t>Not searched (search budget)</t>
        </is>
      </c>
      <c r="Q198" s="156" t="inlineStr">
        <is>
          <t>Not found (use site)</t>
        </is>
      </c>
      <c r="R198" s="156" t="inlineStr">
        <is>
          <t>Not identified</t>
        </is>
      </c>
      <c r="S198" s="156" t="inlineStr">
        <is>
          <t>Unverified</t>
        </is>
      </c>
      <c r="T198" s="158">
        <f>SUM(Z198:AF198)</f>
        <v>17</v>
      </c>
      <c r="U198" s="162" t="inlineStr">
        <is>
          <t>V4</t>
        </is>
      </c>
      <c r="V198" s="156" t="inlineStr">
        <is>
          <t>QUALIFY FIRST: animal hospital sales not confirmed in sources. Koriyama device dealer (AS ONE agent list). FLAG: Legal form not confirmed.</t>
        </is>
      </c>
      <c r="W198" s="156" t="inlineStr">
        <is>
          <t>Open by asking whether they serve animal hospitals today; if yes, offer a vet line with no overlap to their human ultrasound brands.</t>
        </is>
      </c>
      <c r="X198" s="156" t="inlineStr">
        <is>
          <t>Not checked (human list not in v17)</t>
        </is>
      </c>
      <c r="Y198" s="156" t="inlineStr">
        <is>
          <t>https://www.as-1.co.jp/agent/hospital/tohoku/</t>
        </is>
      </c>
      <c r="Z198" s="156" t="n">
        <v>2</v>
      </c>
      <c r="AA198" s="156" t="n">
        <v>3</v>
      </c>
      <c r="AB198" s="156" t="n">
        <v>3</v>
      </c>
      <c r="AC198" s="156" t="n">
        <v>2</v>
      </c>
      <c r="AD198" s="156" t="n">
        <v>1</v>
      </c>
      <c r="AE198" s="156" t="n">
        <v>4</v>
      </c>
      <c r="AF198" s="156" t="n">
        <v>2</v>
      </c>
      <c r="AG198" s="163" t="inlineStr">
        <is>
          <t>Qualify first</t>
        </is>
      </c>
    </row>
    <row r="199" ht="75" customHeight="1" s="114">
      <c r="A199" s="156" t="n">
        <v>195</v>
      </c>
      <c r="B199" s="156" t="inlineStr">
        <is>
          <t>Fukuda Denshi Hokkaido Sales Co., Ltd.</t>
        </is>
      </c>
      <c r="C199" s="156" t="inlineStr">
        <is>
          <t>フクダ電子北海道販売株式会社</t>
        </is>
      </c>
      <c r="D199" s="156" t="inlineStr">
        <is>
          <t>Not found (NTA lookup blocked; dedupe by Japanese name)</t>
        </is>
      </c>
      <c r="E199" s="156" t="inlineStr">
        <is>
          <t>Hokkaido</t>
        </is>
      </c>
      <c r="F199" s="156" t="inlineStr">
        <is>
          <t>Tohoku and Hokkaido</t>
        </is>
      </c>
      <c r="G199" s="156" t="inlineStr">
        <is>
          <t>Not found</t>
        </is>
      </c>
      <c r="H199" s="156" t="inlineStr">
        <is>
          <t>Human device sales licences; 動物用 licence not confirmed</t>
        </is>
      </c>
      <c r="I199" s="156" t="inlineStr">
        <is>
          <t>Human multi brand lines (ultrasound brands not confirmed)</t>
        </is>
      </c>
      <c r="J199" s="156" t="inlineStr">
        <is>
          <t>Companion</t>
        </is>
      </c>
      <c r="K199" s="156" t="inlineStr">
        <is>
          <t>Hokkaido</t>
        </is>
      </c>
      <c r="L199" s="156" t="inlineStr">
        <is>
          <t>Not found</t>
        </is>
      </c>
      <c r="M199" s="156" t="inlineStr">
        <is>
          <t>n/a</t>
        </is>
      </c>
      <c r="N199" s="156" t="inlineStr">
        <is>
          <t>Not identified</t>
        </is>
      </c>
      <c r="O199" s="156" t="inlineStr">
        <is>
          <t>Not identified</t>
        </is>
      </c>
      <c r="P199" s="156" t="inlineStr">
        <is>
          <t>Not searched (search budget)</t>
        </is>
      </c>
      <c r="Q199" s="156" t="inlineStr">
        <is>
          <t>Not found (use site)</t>
        </is>
      </c>
      <c r="R199" s="156" t="inlineStr">
        <is>
          <t>Not identified</t>
        </is>
      </c>
      <c r="S199" s="156" t="inlineStr">
        <is>
          <t>Unverified</t>
        </is>
      </c>
      <c r="T199" s="158">
        <f>SUM(Z199:AF199)</f>
        <v>17</v>
      </c>
      <c r="U199" s="162" t="inlineStr">
        <is>
          <t>V4</t>
        </is>
      </c>
      <c r="V199" s="156" t="inlineStr">
        <is>
          <t>QUALIFY FIRST: animal hospital sales not confirmed in sources. Fukuda Denshi sales company in Hokkaido.</t>
        </is>
      </c>
      <c r="W199" s="156" t="inlineStr">
        <is>
          <t>Open by asking whether they serve animal hospitals today; if yes, offer a vet line with no overlap to their human ultrasound brands.</t>
        </is>
      </c>
      <c r="X199" s="156" t="inlineStr">
        <is>
          <t>Not checked (human list not in v17)</t>
        </is>
      </c>
      <c r="Y199" s="156" t="inlineStr">
        <is>
          <t>https://baseconnect.in/companies/prefecture/9ebb3838-effc-47da-b634-994957a78319/keyword/89941b4e-2dd1-4848-8957-48af280a31e0</t>
        </is>
      </c>
      <c r="Z199" s="156" t="n">
        <v>2</v>
      </c>
      <c r="AA199" s="156" t="n">
        <v>3</v>
      </c>
      <c r="AB199" s="156" t="n">
        <v>3</v>
      </c>
      <c r="AC199" s="156" t="n">
        <v>2</v>
      </c>
      <c r="AD199" s="156" t="n">
        <v>1</v>
      </c>
      <c r="AE199" s="156" t="n">
        <v>4</v>
      </c>
      <c r="AF199" s="156" t="n">
        <v>2</v>
      </c>
      <c r="AG199" s="163" t="inlineStr">
        <is>
          <t>Qualify first</t>
        </is>
      </c>
    </row>
    <row r="200" ht="75" customHeight="1" s="114">
      <c r="A200" s="156" t="n">
        <v>196</v>
      </c>
      <c r="B200" s="156" t="inlineStr">
        <is>
          <t>Hokkai Medical Co., Ltd.</t>
        </is>
      </c>
      <c r="C200" s="156" t="inlineStr">
        <is>
          <t>株式会社北海メディカル</t>
        </is>
      </c>
      <c r="D200" s="156" t="inlineStr">
        <is>
          <t>Not found (NTA lookup blocked; dedupe by Japanese name)</t>
        </is>
      </c>
      <c r="E200" s="156" t="inlineStr">
        <is>
          <t>Hokkaido</t>
        </is>
      </c>
      <c r="F200" s="156" t="inlineStr">
        <is>
          <t>Tohoku and Hokkaido</t>
        </is>
      </c>
      <c r="G200" s="157" t="inlineStr">
        <is>
          <t>https://hokkai-md.com/</t>
        </is>
      </c>
      <c r="H200" s="156" t="inlineStr">
        <is>
          <t>Human device sales licences; 動物用 licence not confirmed</t>
        </is>
      </c>
      <c r="I200" s="156" t="inlineStr">
        <is>
          <t>Human multi brand lines (ultrasound brands not confirmed)</t>
        </is>
      </c>
      <c r="J200" s="156" t="inlineStr">
        <is>
          <t>Companion</t>
        </is>
      </c>
      <c r="K200" s="156" t="inlineStr">
        <is>
          <t>Sapporo</t>
        </is>
      </c>
      <c r="L200" s="156" t="inlineStr">
        <is>
          <t>Not found</t>
        </is>
      </c>
      <c r="M200" s="156" t="inlineStr">
        <is>
          <t>n/a</t>
        </is>
      </c>
      <c r="N200" s="156" t="inlineStr">
        <is>
          <t>Not identified</t>
        </is>
      </c>
      <c r="O200" s="156" t="inlineStr">
        <is>
          <t>Not identified</t>
        </is>
      </c>
      <c r="P200" s="156" t="inlineStr">
        <is>
          <t>Not published; phone only</t>
        </is>
      </c>
      <c r="Q200" s="156" t="inlineStr">
        <is>
          <t>011 712 0381</t>
        </is>
      </c>
      <c r="R200" s="156" t="inlineStr">
        <is>
          <t>Not identified</t>
        </is>
      </c>
      <c r="S200" s="156" t="inlineStr">
        <is>
          <t>Company inquiry only (phone)</t>
        </is>
      </c>
      <c r="T200" s="158">
        <f>SUM(Z200:AF200)</f>
        <v>17</v>
      </c>
      <c r="U200" s="162" t="inlineStr">
        <is>
          <t>V4</t>
        </is>
      </c>
      <c r="V200" s="156" t="inlineStr">
        <is>
          <t>QUALIFY FIRST: animal hospital sales not confirmed in sources. Sapporo device sales and clinic opening support.</t>
        </is>
      </c>
      <c r="W200" s="156" t="inlineStr">
        <is>
          <t>Open by asking whether they serve animal hospitals today; if yes, offer a vet line with no overlap to their human ultrasound brands.</t>
        </is>
      </c>
      <c r="X200" s="156" t="inlineStr">
        <is>
          <t>Not checked (human list not in v17)</t>
        </is>
      </c>
      <c r="Y200" s="156" t="inlineStr">
        <is>
          <t>https://hokkai-md.com/</t>
        </is>
      </c>
      <c r="Z200" s="156" t="n">
        <v>2</v>
      </c>
      <c r="AA200" s="156" t="n">
        <v>3</v>
      </c>
      <c r="AB200" s="156" t="n">
        <v>3</v>
      </c>
      <c r="AC200" s="156" t="n">
        <v>2</v>
      </c>
      <c r="AD200" s="156" t="n">
        <v>1</v>
      </c>
      <c r="AE200" s="156" t="n">
        <v>4</v>
      </c>
      <c r="AF200" s="156" t="n">
        <v>2</v>
      </c>
      <c r="AG200" s="163" t="inlineStr">
        <is>
          <t>Qualify first</t>
        </is>
      </c>
    </row>
    <row r="201" ht="75" customHeight="1" s="114">
      <c r="A201" s="156" t="n">
        <v>197</v>
      </c>
      <c r="B201" s="156" t="inlineStr">
        <is>
          <t>Hokuyaku Co., Ltd.</t>
        </is>
      </c>
      <c r="C201" s="156" t="inlineStr">
        <is>
          <t>株式会社ほくやく</t>
        </is>
      </c>
      <c r="D201" s="156" t="inlineStr">
        <is>
          <t>Not found (NTA lookup blocked; dedupe by Japanese name)</t>
        </is>
      </c>
      <c r="E201" s="156" t="inlineStr">
        <is>
          <t>Hokkaido</t>
        </is>
      </c>
      <c r="F201" s="156" t="inlineStr">
        <is>
          <t>Tohoku and Hokkaido</t>
        </is>
      </c>
      <c r="G201" s="156" t="inlineStr">
        <is>
          <t>Not found</t>
        </is>
      </c>
      <c r="H201" s="156" t="inlineStr">
        <is>
          <t>Human device sales licences; 動物用 licence not confirmed</t>
        </is>
      </c>
      <c r="I201" s="156" t="inlineStr">
        <is>
          <t>Human multi brand lines (ultrasound brands not confirmed)</t>
        </is>
      </c>
      <c r="J201" s="156" t="inlineStr">
        <is>
          <t>Companion</t>
        </is>
      </c>
      <c r="K201" s="156" t="inlineStr">
        <is>
          <t>Hokkaido</t>
        </is>
      </c>
      <c r="L201" s="156" t="inlineStr">
        <is>
          <t>Large</t>
        </is>
      </c>
      <c r="M201" s="156" t="inlineStr">
        <is>
          <t>n/a</t>
        </is>
      </c>
      <c r="N201" s="156" t="inlineStr">
        <is>
          <t>Not identified</t>
        </is>
      </c>
      <c r="O201" s="156" t="inlineStr">
        <is>
          <t>Not identified</t>
        </is>
      </c>
      <c r="P201" s="156" t="inlineStr">
        <is>
          <t>Not published; phone only</t>
        </is>
      </c>
      <c r="Q201" s="156" t="inlineStr">
        <is>
          <t>011 633 1030 (holding company)</t>
        </is>
      </c>
      <c r="R201" s="156" t="inlineStr">
        <is>
          <t>Not identified</t>
        </is>
      </c>
      <c r="S201" s="156" t="inlineStr">
        <is>
          <t>Company inquiry only (phone); via parent ほくやく・竹山ホールディングス</t>
        </is>
      </c>
      <c r="T201" s="158">
        <f>SUM(Z201:AF201)</f>
        <v>17</v>
      </c>
      <c r="U201" s="162" t="inlineStr">
        <is>
          <t>V4</t>
        </is>
      </c>
      <c r="V201" s="156" t="inlineStr">
        <is>
          <t>QUALIFY FIRST: animal hospital sales not confirmed in sources. Core pharma and device wholesaler of Hokuyaku Takeyama Holdings. FLAG: Same holding as Takeyama; coordinate.</t>
        </is>
      </c>
      <c r="W201" s="156" t="inlineStr">
        <is>
          <t>Open by asking whether they serve animal hospitals today; if yes, offer a vet line with no overlap to their human ultrasound brands.</t>
        </is>
      </c>
      <c r="X201" s="156" t="inlineStr">
        <is>
          <t>Not checked (human list not in v17)</t>
        </is>
      </c>
      <c r="Y201" s="156" t="inlineStr">
        <is>
          <t>https://www.hurex.jp/column/company/717/ ; https://www.hokutake.co.jp/company/kaisyagaiyo.html</t>
        </is>
      </c>
      <c r="Z201" s="156" t="n">
        <v>2</v>
      </c>
      <c r="AA201" s="156" t="n">
        <v>3</v>
      </c>
      <c r="AB201" s="156" t="n">
        <v>3</v>
      </c>
      <c r="AC201" s="156" t="n">
        <v>2</v>
      </c>
      <c r="AD201" s="156" t="n">
        <v>1</v>
      </c>
      <c r="AE201" s="156" t="n">
        <v>4</v>
      </c>
      <c r="AF201" s="156" t="n">
        <v>2</v>
      </c>
      <c r="AG201" s="163" t="inlineStr">
        <is>
          <t>Qualify first</t>
        </is>
      </c>
    </row>
    <row r="202" ht="75" customHeight="1" s="114">
      <c r="A202" s="156" t="n">
        <v>198</v>
      </c>
      <c r="B202" s="156" t="inlineStr">
        <is>
          <t>Koseki Co., Ltd.</t>
        </is>
      </c>
      <c r="C202" s="156" t="inlineStr">
        <is>
          <t>コセキ株式会社</t>
        </is>
      </c>
      <c r="D202" s="156" t="inlineStr">
        <is>
          <t>Not found (NTA lookup blocked; dedupe by Japanese name)</t>
        </is>
      </c>
      <c r="E202" s="156" t="inlineStr">
        <is>
          <t>Miyagi</t>
        </is>
      </c>
      <c r="F202" s="156" t="inlineStr">
        <is>
          <t>Tohoku and Hokkaido</t>
        </is>
      </c>
      <c r="G202" s="157" t="inlineStr">
        <is>
          <t>https://www.koseki.co.jp/</t>
        </is>
      </c>
      <c r="H202" s="156" t="inlineStr">
        <is>
          <t>Human device sales licences; 動物用 licence not confirmed</t>
        </is>
      </c>
      <c r="I202" s="156" t="inlineStr">
        <is>
          <t>Human multi brand lines (ultrasound brands not confirmed)</t>
        </is>
      </c>
      <c r="J202" s="156" t="inlineStr">
        <is>
          <t>Companion</t>
        </is>
      </c>
      <c r="K202" s="156" t="inlineStr">
        <is>
          <t>Six Tohoku prefectures and Tokyo area</t>
        </is>
      </c>
      <c r="L202" s="156" t="inlineStr">
        <is>
          <t>Not found</t>
        </is>
      </c>
      <c r="M202" s="156" t="inlineStr">
        <is>
          <t>n/a</t>
        </is>
      </c>
      <c r="N202" s="156" t="inlineStr">
        <is>
          <t>Not identified</t>
        </is>
      </c>
      <c r="O202" s="156" t="inlineStr">
        <is>
          <t>Not identified</t>
        </is>
      </c>
      <c r="P202" s="156" t="inlineStr">
        <is>
          <t>Not published; inquiry form: https://www.koseki.co.jp/contact/</t>
        </is>
      </c>
      <c r="Q202" s="156" t="inlineStr">
        <is>
          <t>022 272 2350 (Sendai sales office)</t>
        </is>
      </c>
      <c r="R202" s="156" t="inlineStr">
        <is>
          <t>Not identified</t>
        </is>
      </c>
      <c r="S202" s="156" t="inlineStr">
        <is>
          <t>Company inquiry only (form)</t>
        </is>
      </c>
      <c r="T202" s="158">
        <f>SUM(Z202:AF202)</f>
        <v>17</v>
      </c>
      <c r="U202" s="162" t="inlineStr">
        <is>
          <t>V4</t>
        </is>
      </c>
      <c r="V202" s="156" t="inlineStr">
        <is>
          <t>QUALIFY FIRST: animal hospital sales not confirmed in sources. Sendai multi line trading house (medical devices, AV and ICT).</t>
        </is>
      </c>
      <c r="W202" s="156" t="inlineStr">
        <is>
          <t>Open by asking whether they serve animal hospitals today; if yes, offer a vet line with no overlap to their human ultrasound brands.</t>
        </is>
      </c>
      <c r="X202" s="156" t="inlineStr">
        <is>
          <t>Not checked (human list not in v17)</t>
        </is>
      </c>
      <c r="Y202" s="156" t="inlineStr">
        <is>
          <t>https://www.koseki.co.jp/ ; https://www.koseki.co.jp/contact/</t>
        </is>
      </c>
      <c r="Z202" s="156" t="n">
        <v>2</v>
      </c>
      <c r="AA202" s="156" t="n">
        <v>3</v>
      </c>
      <c r="AB202" s="156" t="n">
        <v>3</v>
      </c>
      <c r="AC202" s="156" t="n">
        <v>2</v>
      </c>
      <c r="AD202" s="156" t="n">
        <v>1</v>
      </c>
      <c r="AE202" s="156" t="n">
        <v>4</v>
      </c>
      <c r="AF202" s="156" t="n">
        <v>2</v>
      </c>
      <c r="AG202" s="163" t="inlineStr">
        <is>
          <t>Qualify first</t>
        </is>
      </c>
    </row>
    <row r="203" ht="75" customHeight="1" s="114">
      <c r="A203" s="156" t="n">
        <v>199</v>
      </c>
      <c r="B203" s="156" t="inlineStr">
        <is>
          <t>Kyoritsu Ika Kikai Co., Ltd.</t>
        </is>
      </c>
      <c r="C203" s="156" t="inlineStr">
        <is>
          <t>共立医科器械株式会社</t>
        </is>
      </c>
      <c r="D203" s="156" t="inlineStr">
        <is>
          <t>Not found (NTA lookup blocked; dedupe by Japanese name)</t>
        </is>
      </c>
      <c r="E203" s="156" t="inlineStr">
        <is>
          <t>Iwate</t>
        </is>
      </c>
      <c r="F203" s="156" t="inlineStr">
        <is>
          <t>Tohoku and Hokkaido</t>
        </is>
      </c>
      <c r="G203" s="156" t="inlineStr">
        <is>
          <t>Not found</t>
        </is>
      </c>
      <c r="H203" s="156" t="inlineStr">
        <is>
          <t>Human device sales licences; 動物用 licence not confirmed</t>
        </is>
      </c>
      <c r="I203" s="156" t="inlineStr">
        <is>
          <t>Human multi brand lines (ultrasound brands not confirmed)</t>
        </is>
      </c>
      <c r="J203" s="156" t="inlineStr">
        <is>
          <t>Companion</t>
        </is>
      </c>
      <c r="K203" s="156" t="inlineStr">
        <is>
          <t>Iwate (Morioka)</t>
        </is>
      </c>
      <c r="L203" s="156" t="inlineStr">
        <is>
          <t>Not found</t>
        </is>
      </c>
      <c r="M203" s="156" t="inlineStr">
        <is>
          <t>n/a</t>
        </is>
      </c>
      <c r="N203" s="156" t="inlineStr">
        <is>
          <t>Not identified</t>
        </is>
      </c>
      <c r="O203" s="156" t="inlineStr">
        <is>
          <t>Not identified</t>
        </is>
      </c>
      <c r="P203" s="156" t="inlineStr">
        <is>
          <t>Not searched (search budget)</t>
        </is>
      </c>
      <c r="Q203" s="156" t="inlineStr">
        <is>
          <t>Not found (use site)</t>
        </is>
      </c>
      <c r="R203" s="156" t="inlineStr">
        <is>
          <t>Not identified</t>
        </is>
      </c>
      <c r="S203" s="156" t="inlineStr">
        <is>
          <t>Unverified</t>
        </is>
      </c>
      <c r="T203" s="158">
        <f>SUM(Z203:AF203)</f>
        <v>17</v>
      </c>
      <c r="U203" s="162" t="inlineStr">
        <is>
          <t>V4</t>
        </is>
      </c>
      <c r="V203" s="156" t="inlineStr">
        <is>
          <t>QUALIFY FIRST: animal hospital sales not confirmed in sources. Morioka device dealer; Iwate device dealers association member.</t>
        </is>
      </c>
      <c r="W203" s="156" t="inlineStr">
        <is>
          <t>Open by asking whether they serve animal hospitals today; if yes, offer a vet line with no overlap to their human ultrasound brands.</t>
        </is>
      </c>
      <c r="X203" s="156" t="inlineStr">
        <is>
          <t>Not checked (human list not in v17)</t>
        </is>
      </c>
      <c r="Y203" s="156" t="inlineStr">
        <is>
          <t>https://tohoku-ikihan.com/memberlist_category/iwate/ ; https://www.as-1.co.jp/agent/hospital/tohoku/</t>
        </is>
      </c>
      <c r="Z203" s="156" t="n">
        <v>2</v>
      </c>
      <c r="AA203" s="156" t="n">
        <v>3</v>
      </c>
      <c r="AB203" s="156" t="n">
        <v>3</v>
      </c>
      <c r="AC203" s="156" t="n">
        <v>2</v>
      </c>
      <c r="AD203" s="156" t="n">
        <v>1</v>
      </c>
      <c r="AE203" s="156" t="n">
        <v>4</v>
      </c>
      <c r="AF203" s="156" t="n">
        <v>2</v>
      </c>
      <c r="AG203" s="163" t="inlineStr">
        <is>
          <t>Qualify first</t>
        </is>
      </c>
    </row>
    <row r="204" ht="75" customHeight="1" s="114">
      <c r="A204" s="156" t="n">
        <v>200</v>
      </c>
      <c r="B204" s="156" t="inlineStr">
        <is>
          <t>Livinol System Co., Ltd.</t>
        </is>
      </c>
      <c r="C204" s="156" t="inlineStr">
        <is>
          <t>株式会社リヴィノールシステム</t>
        </is>
      </c>
      <c r="D204" s="156" t="inlineStr">
        <is>
          <t>Not found (NTA lookup blocked; dedupe by Japanese name)</t>
        </is>
      </c>
      <c r="E204" s="156" t="inlineStr">
        <is>
          <t>Hokkaido</t>
        </is>
      </c>
      <c r="F204" s="156" t="inlineStr">
        <is>
          <t>Tohoku and Hokkaido</t>
        </is>
      </c>
      <c r="G204" s="156" t="inlineStr">
        <is>
          <t>Not found</t>
        </is>
      </c>
      <c r="H204" s="156" t="inlineStr">
        <is>
          <t>Human device sales licences; 動物用 licence not confirmed</t>
        </is>
      </c>
      <c r="I204" s="156" t="inlineStr">
        <is>
          <t>Human multi brand lines (ultrasound brands not confirmed)</t>
        </is>
      </c>
      <c r="J204" s="156" t="inlineStr">
        <is>
          <t>Companion</t>
        </is>
      </c>
      <c r="K204" s="156" t="inlineStr">
        <is>
          <t>Hokkaido</t>
        </is>
      </c>
      <c r="L204" s="156" t="inlineStr">
        <is>
          <t>Not found</t>
        </is>
      </c>
      <c r="M204" s="156" t="inlineStr">
        <is>
          <t>n/a</t>
        </is>
      </c>
      <c r="N204" s="156" t="inlineStr">
        <is>
          <t>Not identified</t>
        </is>
      </c>
      <c r="O204" s="156" t="inlineStr">
        <is>
          <t>Not identified</t>
        </is>
      </c>
      <c r="P204" s="156" t="inlineStr">
        <is>
          <t>Not searched (search budget)</t>
        </is>
      </c>
      <c r="Q204" s="156" t="inlineStr">
        <is>
          <t>Not found (use site)</t>
        </is>
      </c>
      <c r="R204" s="156" t="inlineStr">
        <is>
          <t>Not identified</t>
        </is>
      </c>
      <c r="S204" s="156" t="inlineStr">
        <is>
          <t>Unverified</t>
        </is>
      </c>
      <c r="T204" s="158">
        <f>SUM(Z204:AF204)</f>
        <v>17</v>
      </c>
      <c r="U204" s="162" t="inlineStr">
        <is>
          <t>V4</t>
        </is>
      </c>
      <c r="V204" s="156" t="inlineStr">
        <is>
          <t>QUALIFY FIRST: animal hospital sales not confirmed in sources. Sapporo device wholesaler and consultancy (1977).</t>
        </is>
      </c>
      <c r="W204" s="156" t="inlineStr">
        <is>
          <t>Open by asking whether they serve animal hospitals today; if yes, offer a vet line with no overlap to their human ultrasound brands.</t>
        </is>
      </c>
      <c r="X204" s="156" t="inlineStr">
        <is>
          <t>Not checked (human list not in v17)</t>
        </is>
      </c>
      <c r="Y204" s="156" t="inlineStr">
        <is>
          <t>https://baseconnect.in/companies/prefecture/9ebb3838-effc-47da-b634-994957a78319/keyword/89941b4e-2dd1-4848-8957-48af280a31e0</t>
        </is>
      </c>
      <c r="Z204" s="156" t="n">
        <v>2</v>
      </c>
      <c r="AA204" s="156" t="n">
        <v>3</v>
      </c>
      <c r="AB204" s="156" t="n">
        <v>3</v>
      </c>
      <c r="AC204" s="156" t="n">
        <v>2</v>
      </c>
      <c r="AD204" s="156" t="n">
        <v>1</v>
      </c>
      <c r="AE204" s="156" t="n">
        <v>4</v>
      </c>
      <c r="AF204" s="156" t="n">
        <v>2</v>
      </c>
      <c r="AG204" s="163" t="inlineStr">
        <is>
          <t>Qualify first</t>
        </is>
      </c>
    </row>
    <row r="205" ht="75" customHeight="1" s="114">
      <c r="A205" s="156" t="n">
        <v>201</v>
      </c>
      <c r="B205" s="156" t="inlineStr">
        <is>
          <t>Maruki Ika Kikai Co., Ltd.</t>
        </is>
      </c>
      <c r="C205" s="156" t="inlineStr">
        <is>
          <t>丸木医科器械株式会社</t>
        </is>
      </c>
      <c r="D205" s="156" t="inlineStr">
        <is>
          <t>Not found (NTA lookup blocked; dedupe by Japanese name)</t>
        </is>
      </c>
      <c r="E205" s="156" t="inlineStr">
        <is>
          <t>Miyagi</t>
        </is>
      </c>
      <c r="F205" s="156" t="inlineStr">
        <is>
          <t>Tohoku and Hokkaido</t>
        </is>
      </c>
      <c r="G205" s="157" t="inlineStr">
        <is>
          <t>https://maruki-ms.co.jp/</t>
        </is>
      </c>
      <c r="H205" s="156" t="inlineStr">
        <is>
          <t>Human device sales licences; 動物用 licence not confirmed</t>
        </is>
      </c>
      <c r="I205" s="156" t="inlineStr">
        <is>
          <t>Human multi brand lines (ultrasound brands not confirmed)</t>
        </is>
      </c>
      <c r="J205" s="156" t="inlineStr">
        <is>
          <t>Companion</t>
        </is>
      </c>
      <c r="K205" s="156" t="inlineStr">
        <is>
          <t>Miyagi and Tohoku</t>
        </is>
      </c>
      <c r="L205" s="156" t="inlineStr">
        <is>
          <t>Not found</t>
        </is>
      </c>
      <c r="M205" s="156" t="inlineStr">
        <is>
          <t>n/a</t>
        </is>
      </c>
      <c r="N205" s="156" t="inlineStr">
        <is>
          <t>Not identified</t>
        </is>
      </c>
      <c r="O205" s="156" t="inlineStr">
        <is>
          <t>Not identified</t>
        </is>
      </c>
      <c r="P205" s="156" t="inlineStr">
        <is>
          <t>Not published; phone only</t>
        </is>
      </c>
      <c r="Q205" s="156" t="inlineStr">
        <is>
          <t>022 242 6001</t>
        </is>
      </c>
      <c r="R205" s="156" t="inlineStr">
        <is>
          <t>Not identified</t>
        </is>
      </c>
      <c r="S205" s="156" t="inlineStr">
        <is>
          <t>Company inquiry only (phone)</t>
        </is>
      </c>
      <c r="T205" s="158">
        <f>SUM(Z205:AF205)</f>
        <v>17</v>
      </c>
      <c r="U205" s="162" t="inlineStr">
        <is>
          <t>V4</t>
        </is>
      </c>
      <c r="V205" s="156" t="inlineStr">
        <is>
          <t>QUALIFY FIRST: animal hospital sales not confirmed in sources. Sendai device trading house tracing its roots to 1781.</t>
        </is>
      </c>
      <c r="W205" s="156" t="inlineStr">
        <is>
          <t>Open by asking whether they serve animal hospitals today; if yes, offer a vet line with no overlap to their human ultrasound brands.</t>
        </is>
      </c>
      <c r="X205" s="156" t="inlineStr">
        <is>
          <t>Not checked (human list not in v17)</t>
        </is>
      </c>
      <c r="Y205" s="156" t="inlineStr">
        <is>
          <t>https://maruki-ms.co.jp/ ; https://maruki-ms.co.jp/office</t>
        </is>
      </c>
      <c r="Z205" s="156" t="n">
        <v>2</v>
      </c>
      <c r="AA205" s="156" t="n">
        <v>3</v>
      </c>
      <c r="AB205" s="156" t="n">
        <v>3</v>
      </c>
      <c r="AC205" s="156" t="n">
        <v>2</v>
      </c>
      <c r="AD205" s="156" t="n">
        <v>1</v>
      </c>
      <c r="AE205" s="156" t="n">
        <v>4</v>
      </c>
      <c r="AF205" s="156" t="n">
        <v>2</v>
      </c>
      <c r="AG205" s="163" t="inlineStr">
        <is>
          <t>Qualify first</t>
        </is>
      </c>
    </row>
    <row r="206" ht="75" customHeight="1" s="114">
      <c r="A206" s="156" t="n">
        <v>202</v>
      </c>
      <c r="B206" s="156" t="inlineStr">
        <is>
          <t>Megumi Ika Kikai Co., Ltd.</t>
        </is>
      </c>
      <c r="C206" s="156" t="inlineStr">
        <is>
          <t>恵医科器械株式会社</t>
        </is>
      </c>
      <c r="D206" s="156" t="inlineStr">
        <is>
          <t>Not found (NTA lookup blocked; dedupe by Japanese name)</t>
        </is>
      </c>
      <c r="E206" s="156" t="inlineStr">
        <is>
          <t>Iwate</t>
        </is>
      </c>
      <c r="F206" s="156" t="inlineStr">
        <is>
          <t>Tohoku and Hokkaido</t>
        </is>
      </c>
      <c r="G206" s="156" t="inlineStr">
        <is>
          <t>Not found</t>
        </is>
      </c>
      <c r="H206" s="156" t="inlineStr">
        <is>
          <t>Human device sales licences; 動物用 licence not confirmed</t>
        </is>
      </c>
      <c r="I206" s="156" t="inlineStr">
        <is>
          <t>Human multi brand lines (ultrasound brands not confirmed)</t>
        </is>
      </c>
      <c r="J206" s="156" t="inlineStr">
        <is>
          <t>Companion</t>
        </is>
      </c>
      <c r="K206" s="156" t="inlineStr">
        <is>
          <t>Iwate</t>
        </is>
      </c>
      <c r="L206" s="156" t="inlineStr">
        <is>
          <t>Not found</t>
        </is>
      </c>
      <c r="M206" s="156" t="inlineStr">
        <is>
          <t>n/a</t>
        </is>
      </c>
      <c r="N206" s="156" t="inlineStr">
        <is>
          <t>Not identified</t>
        </is>
      </c>
      <c r="O206" s="156" t="inlineStr">
        <is>
          <t>Not identified</t>
        </is>
      </c>
      <c r="P206" s="156" t="inlineStr">
        <is>
          <t>Not published; phone only</t>
        </is>
      </c>
      <c r="Q206" s="156" t="inlineStr">
        <is>
          <t>019 641 8616</t>
        </is>
      </c>
      <c r="R206" s="156" t="inlineStr">
        <is>
          <t>Not identified</t>
        </is>
      </c>
      <c r="S206" s="156" t="inlineStr">
        <is>
          <t>Company inquiry only (phone)</t>
        </is>
      </c>
      <c r="T206" s="158">
        <f>SUM(Z206:AF206)</f>
        <v>17</v>
      </c>
      <c r="U206" s="162" t="inlineStr">
        <is>
          <t>V4</t>
        </is>
      </c>
      <c r="V206" s="156" t="inlineStr">
        <is>
          <t>QUALIFY FIRST: animal hospital sales not confirmed in sources. Iwate device dealers association member.</t>
        </is>
      </c>
      <c r="W206" s="156" t="inlineStr">
        <is>
          <t>Open by asking whether they serve animal hospitals today; if yes, offer a vet line with no overlap to their human ultrasound brands.</t>
        </is>
      </c>
      <c r="X206" s="156" t="inlineStr">
        <is>
          <t>Not checked (human list not in v17)</t>
        </is>
      </c>
      <c r="Y206" s="156" t="inlineStr">
        <is>
          <t>https://tohoku-ikihan.com/memberlist_category/iwate/ ; https://info.gbiz.go.jp/hojin/ichiran?hojinBango=6400001001554</t>
        </is>
      </c>
      <c r="Z206" s="156" t="n">
        <v>2</v>
      </c>
      <c r="AA206" s="156" t="n">
        <v>3</v>
      </c>
      <c r="AB206" s="156" t="n">
        <v>3</v>
      </c>
      <c r="AC206" s="156" t="n">
        <v>2</v>
      </c>
      <c r="AD206" s="156" t="n">
        <v>1</v>
      </c>
      <c r="AE206" s="156" t="n">
        <v>4</v>
      </c>
      <c r="AF206" s="156" t="n">
        <v>2</v>
      </c>
      <c r="AG206" s="163" t="inlineStr">
        <is>
          <t>Qualify first</t>
        </is>
      </c>
    </row>
    <row r="207" ht="75" customHeight="1" s="114">
      <c r="A207" s="156" t="n">
        <v>203</v>
      </c>
      <c r="B207" s="156" t="inlineStr">
        <is>
          <t>Nanbu Irika Co., Ltd.</t>
        </is>
      </c>
      <c r="C207" s="156" t="inlineStr">
        <is>
          <t>南部医理科株式会社</t>
        </is>
      </c>
      <c r="D207" s="156" t="inlineStr">
        <is>
          <t>Not found (NTA lookup blocked; dedupe by Japanese name)</t>
        </is>
      </c>
      <c r="E207" s="156" t="inlineStr">
        <is>
          <t>Iwate</t>
        </is>
      </c>
      <c r="F207" s="156" t="inlineStr">
        <is>
          <t>Tohoku and Hokkaido</t>
        </is>
      </c>
      <c r="G207" s="157" t="inlineStr">
        <is>
          <t>http://www.nanbu-irika.com/</t>
        </is>
      </c>
      <c r="H207" s="156" t="inlineStr">
        <is>
          <t>Human device sales licences; 動物用 licence not confirmed</t>
        </is>
      </c>
      <c r="I207" s="156" t="inlineStr">
        <is>
          <t>Human multi brand lines (ultrasound brands not confirmed)</t>
        </is>
      </c>
      <c r="J207" s="156" t="inlineStr">
        <is>
          <t>Companion</t>
        </is>
      </c>
      <c r="K207" s="156" t="inlineStr">
        <is>
          <t>Iwate</t>
        </is>
      </c>
      <c r="L207" s="156" t="inlineStr">
        <is>
          <t>Not found</t>
        </is>
      </c>
      <c r="M207" s="156" t="inlineStr">
        <is>
          <t>n/a</t>
        </is>
      </c>
      <c r="N207" s="156" t="inlineStr">
        <is>
          <t>Not identified</t>
        </is>
      </c>
      <c r="O207" s="156" t="inlineStr">
        <is>
          <t>Not identified</t>
        </is>
      </c>
      <c r="P207" s="156" t="inlineStr">
        <is>
          <t>Not published; phone only</t>
        </is>
      </c>
      <c r="Q207" s="156" t="inlineStr">
        <is>
          <t>Not found (use site)</t>
        </is>
      </c>
      <c r="R207" s="156" t="inlineStr">
        <is>
          <t>Not identified</t>
        </is>
      </c>
      <c r="S207" s="156" t="inlineStr">
        <is>
          <t>Company inquiry only (phone)</t>
        </is>
      </c>
      <c r="T207" s="158">
        <f>SUM(Z207:AF207)</f>
        <v>17</v>
      </c>
      <c r="U207" s="162" t="inlineStr">
        <is>
          <t>V4</t>
        </is>
      </c>
      <c r="V207" s="156" t="inlineStr">
        <is>
          <t>QUALIFY FIRST: animal hospital sales not confirmed in sources. Iwate device and lab dealer; association member.</t>
        </is>
      </c>
      <c r="W207" s="156" t="inlineStr">
        <is>
          <t>Open by asking whether they serve animal hospitals today; if yes, offer a vet line with no overlap to their human ultrasound brands.</t>
        </is>
      </c>
      <c r="X207" s="156" t="inlineStr">
        <is>
          <t>Not checked (human list not in v17)</t>
        </is>
      </c>
      <c r="Y207" s="156" t="inlineStr">
        <is>
          <t>https://tohoku-ikihan.com/memberlist_category/iwate/ ; http://nanbu-irika.com/company/gaiyo.html</t>
        </is>
      </c>
      <c r="Z207" s="156" t="n">
        <v>2</v>
      </c>
      <c r="AA207" s="156" t="n">
        <v>3</v>
      </c>
      <c r="AB207" s="156" t="n">
        <v>3</v>
      </c>
      <c r="AC207" s="156" t="n">
        <v>2</v>
      </c>
      <c r="AD207" s="156" t="n">
        <v>1</v>
      </c>
      <c r="AE207" s="156" t="n">
        <v>4</v>
      </c>
      <c r="AF207" s="156" t="n">
        <v>2</v>
      </c>
      <c r="AG207" s="163" t="inlineStr">
        <is>
          <t>Qualify first</t>
        </is>
      </c>
    </row>
    <row r="208" ht="75" customHeight="1" s="114">
      <c r="A208" s="156" t="n">
        <v>204</v>
      </c>
      <c r="B208" s="156" t="inlineStr">
        <is>
          <t>Okazaki Iryo</t>
        </is>
      </c>
      <c r="C208" s="156" t="inlineStr">
        <is>
          <t>岡崎医療</t>
        </is>
      </c>
      <c r="D208" s="156" t="inlineStr">
        <is>
          <t>Not found (NTA lookup blocked; dedupe by Japanese name)</t>
        </is>
      </c>
      <c r="E208" s="156" t="inlineStr">
        <is>
          <t>Yamagata</t>
        </is>
      </c>
      <c r="F208" s="156" t="inlineStr">
        <is>
          <t>Tohoku and Hokkaido</t>
        </is>
      </c>
      <c r="G208" s="156" t="inlineStr">
        <is>
          <t>Not found</t>
        </is>
      </c>
      <c r="H208" s="156" t="inlineStr">
        <is>
          <t>Human device sales licences; 動物用 licence not confirmed</t>
        </is>
      </c>
      <c r="I208" s="156" t="inlineStr">
        <is>
          <t>Human multi brand lines (ultrasound brands not confirmed)</t>
        </is>
      </c>
      <c r="J208" s="156" t="inlineStr">
        <is>
          <t>Companion</t>
        </is>
      </c>
      <c r="K208" s="156" t="inlineStr">
        <is>
          <t>Yamagata</t>
        </is>
      </c>
      <c r="L208" s="156" t="inlineStr">
        <is>
          <t>Not found</t>
        </is>
      </c>
      <c r="M208" s="156" t="inlineStr">
        <is>
          <t>n/a</t>
        </is>
      </c>
      <c r="N208" s="156" t="inlineStr">
        <is>
          <t>Not identified</t>
        </is>
      </c>
      <c r="O208" s="156" t="inlineStr">
        <is>
          <t>Not identified</t>
        </is>
      </c>
      <c r="P208" s="156" t="inlineStr">
        <is>
          <t>Not searched (search budget)</t>
        </is>
      </c>
      <c r="Q208" s="156" t="inlineStr">
        <is>
          <t>Not found (use site)</t>
        </is>
      </c>
      <c r="R208" s="156" t="inlineStr">
        <is>
          <t>Not identified</t>
        </is>
      </c>
      <c r="S208" s="156" t="inlineStr">
        <is>
          <t>Unverified</t>
        </is>
      </c>
      <c r="T208" s="158">
        <f>SUM(Z208:AF208)</f>
        <v>17</v>
      </c>
      <c r="U208" s="162" t="inlineStr">
        <is>
          <t>V4</t>
        </is>
      </c>
      <c r="V208" s="156" t="inlineStr">
        <is>
          <t>QUALIFY FIRST: animal hospital sales not confirmed in sources. Yamagata device dealer (AS ONE agent list). FLAG: Legal form not confirmed.</t>
        </is>
      </c>
      <c r="W208" s="156" t="inlineStr">
        <is>
          <t>Open by asking whether they serve animal hospitals today; if yes, offer a vet line with no overlap to their human ultrasound brands.</t>
        </is>
      </c>
      <c r="X208" s="156" t="inlineStr">
        <is>
          <t>Not checked (human list not in v17)</t>
        </is>
      </c>
      <c r="Y208" s="156" t="inlineStr">
        <is>
          <t>https://www.as-1.co.jp/agent/hospital/tohoku/</t>
        </is>
      </c>
      <c r="Z208" s="156" t="n">
        <v>2</v>
      </c>
      <c r="AA208" s="156" t="n">
        <v>3</v>
      </c>
      <c r="AB208" s="156" t="n">
        <v>3</v>
      </c>
      <c r="AC208" s="156" t="n">
        <v>2</v>
      </c>
      <c r="AD208" s="156" t="n">
        <v>1</v>
      </c>
      <c r="AE208" s="156" t="n">
        <v>4</v>
      </c>
      <c r="AF208" s="156" t="n">
        <v>2</v>
      </c>
      <c r="AG208" s="163" t="inlineStr">
        <is>
          <t>Qualify first</t>
        </is>
      </c>
    </row>
    <row r="209" ht="75" customHeight="1" s="114">
      <c r="A209" s="156" t="n">
        <v>205</v>
      </c>
      <c r="B209" s="156" t="inlineStr">
        <is>
          <t>Sanou Co., Ltd.</t>
        </is>
      </c>
      <c r="C209" s="156" t="inlineStr">
        <is>
          <t>株式会社三櫻</t>
        </is>
      </c>
      <c r="D209" s="156" t="inlineStr">
        <is>
          <t>Not found (NTA lookup blocked; dedupe by Japanese name)</t>
        </is>
      </c>
      <c r="E209" s="156" t="inlineStr">
        <is>
          <t>Iwate</t>
        </is>
      </c>
      <c r="F209" s="156" t="inlineStr">
        <is>
          <t>Tohoku and Hokkaido</t>
        </is>
      </c>
      <c r="G209" s="157" t="inlineStr">
        <is>
          <t>https://san-ou.co.jp/</t>
        </is>
      </c>
      <c r="H209" s="156" t="inlineStr">
        <is>
          <t>Human device sales licences; 動物用 licence not confirmed</t>
        </is>
      </c>
      <c r="I209" s="156" t="inlineStr">
        <is>
          <t>Human multi brand lines (ultrasound brands not confirmed)</t>
        </is>
      </c>
      <c r="J209" s="156" t="inlineStr">
        <is>
          <t>Companion</t>
        </is>
      </c>
      <c r="K209" s="156" t="inlineStr">
        <is>
          <t>Iwate</t>
        </is>
      </c>
      <c r="L209" s="156" t="inlineStr">
        <is>
          <t>Not found</t>
        </is>
      </c>
      <c r="M209" s="156" t="inlineStr">
        <is>
          <t>n/a</t>
        </is>
      </c>
      <c r="N209" s="156" t="inlineStr">
        <is>
          <t>Not identified</t>
        </is>
      </c>
      <c r="O209" s="156" t="inlineStr">
        <is>
          <t>Not identified</t>
        </is>
      </c>
      <c r="P209" s="156" t="inlineStr">
        <is>
          <t>morioka@san-ou.co.jp</t>
        </is>
      </c>
      <c r="Q209" s="156" t="inlineStr">
        <is>
          <t>019 625 3030</t>
        </is>
      </c>
      <c r="R209" s="156" t="inlineStr">
        <is>
          <t>Not identified</t>
        </is>
      </c>
      <c r="S209" s="156" t="inlineStr">
        <is>
          <t>Verified (published on own site, read via search); Morioka office, page about 3 years old</t>
        </is>
      </c>
      <c r="T209" s="158">
        <f>SUM(Z209:AF209)</f>
        <v>17</v>
      </c>
      <c r="U209" s="162" t="inlineStr">
        <is>
          <t>V4</t>
        </is>
      </c>
      <c r="V209" s="156" t="inlineStr">
        <is>
          <t>QUALIFY FIRST: animal hospital sales not confirmed in sources. Iwate device dealers association member.</t>
        </is>
      </c>
      <c r="W209" s="156" t="inlineStr">
        <is>
          <t>Open by asking whether they serve animal hospitals today; if yes, offer a vet line with no overlap to their human ultrasound brands.</t>
        </is>
      </c>
      <c r="X209" s="156" t="inlineStr">
        <is>
          <t>Not checked (human list not in v17)</t>
        </is>
      </c>
      <c r="Y209" s="156" t="inlineStr">
        <is>
          <t>https://tohoku-ikihan.com/memberlist_category/iwate/ ; https://san-ou.co.jp/company/ ; https://san-ou.co.jp/contacts/</t>
        </is>
      </c>
      <c r="Z209" s="156" t="n">
        <v>2</v>
      </c>
      <c r="AA209" s="156" t="n">
        <v>3</v>
      </c>
      <c r="AB209" s="156" t="n">
        <v>3</v>
      </c>
      <c r="AC209" s="156" t="n">
        <v>2</v>
      </c>
      <c r="AD209" s="156" t="n">
        <v>1</v>
      </c>
      <c r="AE209" s="156" t="n">
        <v>4</v>
      </c>
      <c r="AF209" s="156" t="n">
        <v>2</v>
      </c>
      <c r="AG209" s="163" t="inlineStr">
        <is>
          <t>Qualify first</t>
        </is>
      </c>
    </row>
    <row r="210" ht="75" customHeight="1" s="114">
      <c r="A210" s="156" t="n">
        <v>206</v>
      </c>
      <c r="B210" s="156" t="inlineStr">
        <is>
          <t>Shibata Intech Co., Ltd.</t>
        </is>
      </c>
      <c r="C210" s="156" t="inlineStr">
        <is>
          <t>株式会社シバタインテック</t>
        </is>
      </c>
      <c r="D210" s="156" t="inlineStr">
        <is>
          <t>Not found (NTA lookup blocked; dedupe by Japanese name)</t>
        </is>
      </c>
      <c r="E210" s="156" t="inlineStr">
        <is>
          <t>Miyagi</t>
        </is>
      </c>
      <c r="F210" s="156" t="inlineStr">
        <is>
          <t>Tohoku and Hokkaido</t>
        </is>
      </c>
      <c r="G210" s="157" t="inlineStr">
        <is>
          <t>https://www.shibataintech.co.jp/</t>
        </is>
      </c>
      <c r="H210" s="156" t="inlineStr">
        <is>
          <t>Human device sales licences; 動物用 licence not confirmed</t>
        </is>
      </c>
      <c r="I210" s="156" t="inlineStr">
        <is>
          <t>Human multi brand lines (ultrasound brands not confirmed)</t>
        </is>
      </c>
      <c r="J210" s="156" t="inlineStr">
        <is>
          <t>Companion</t>
        </is>
      </c>
      <c r="K210" s="156" t="inlineStr">
        <is>
          <t>Miyagi, Yamagata, Fukushima (10 sites)</t>
        </is>
      </c>
      <c r="L210" s="156" t="inlineStr">
        <is>
          <t>Not found</t>
        </is>
      </c>
      <c r="M210" s="156" t="inlineStr">
        <is>
          <t>n/a</t>
        </is>
      </c>
      <c r="N210" s="156" t="inlineStr">
        <is>
          <t>Not identified</t>
        </is>
      </c>
      <c r="O210" s="156" t="inlineStr">
        <is>
          <t>Not identified</t>
        </is>
      </c>
      <c r="P210" s="156" t="inlineStr">
        <is>
          <t>Not published; phone only</t>
        </is>
      </c>
      <c r="Q210" s="156" t="inlineStr">
        <is>
          <t>022 236 2311</t>
        </is>
      </c>
      <c r="R210" s="156" t="inlineStr">
        <is>
          <t>Not identified</t>
        </is>
      </c>
      <c r="S210" s="156" t="inlineStr">
        <is>
          <t>Company inquiry only (phone)</t>
        </is>
      </c>
      <c r="T210" s="158">
        <f>SUM(Z210:AF210)</f>
        <v>17</v>
      </c>
      <c r="U210" s="162" t="inlineStr">
        <is>
          <t>V4</t>
        </is>
      </c>
      <c r="V210" s="156" t="inlineStr">
        <is>
          <t>QUALIFY FIRST: animal hospital sales not confirmed in sources. Sendai dealer with device maintenance as a core service.</t>
        </is>
      </c>
      <c r="W210" s="156" t="inlineStr">
        <is>
          <t>Open by asking whether they serve animal hospitals today; if yes, offer a vet line with no overlap to their human ultrasound brands.</t>
        </is>
      </c>
      <c r="X210" s="156" t="inlineStr">
        <is>
          <t>Not checked (human list not in v17)</t>
        </is>
      </c>
      <c r="Y210" s="156" t="inlineStr">
        <is>
          <t>https://www.shibataintech.co.jp/</t>
        </is>
      </c>
      <c r="Z210" s="156" t="n">
        <v>2</v>
      </c>
      <c r="AA210" s="156" t="n">
        <v>3</v>
      </c>
      <c r="AB210" s="156" t="n">
        <v>3</v>
      </c>
      <c r="AC210" s="156" t="n">
        <v>2</v>
      </c>
      <c r="AD210" s="156" t="n">
        <v>1</v>
      </c>
      <c r="AE210" s="156" t="n">
        <v>4</v>
      </c>
      <c r="AF210" s="156" t="n">
        <v>2</v>
      </c>
      <c r="AG210" s="163" t="inlineStr">
        <is>
          <t>Qualify first</t>
        </is>
      </c>
    </row>
    <row r="211" ht="75" customHeight="1" s="114">
      <c r="A211" s="156" t="n">
        <v>207</v>
      </c>
      <c r="B211" s="156" t="inlineStr">
        <is>
          <t>Takeyama Co., Ltd.</t>
        </is>
      </c>
      <c r="C211" s="156" t="inlineStr">
        <is>
          <t>株式会社竹山</t>
        </is>
      </c>
      <c r="D211" s="156" t="inlineStr">
        <is>
          <t>Not found (NTA lookup blocked; dedupe by Japanese name)</t>
        </is>
      </c>
      <c r="E211" s="156" t="inlineStr">
        <is>
          <t>Hokkaido</t>
        </is>
      </c>
      <c r="F211" s="156" t="inlineStr">
        <is>
          <t>Tohoku and Hokkaido</t>
        </is>
      </c>
      <c r="G211" s="157" t="inlineStr">
        <is>
          <t>https://www.takeyama.co.jp/</t>
        </is>
      </c>
      <c r="H211" s="156" t="inlineStr">
        <is>
          <t>Human device sales licences; 動物用 licence not confirmed</t>
        </is>
      </c>
      <c r="I211" s="156" t="inlineStr">
        <is>
          <t>Human multi brand lines (ultrasound brands not confirmed)</t>
        </is>
      </c>
      <c r="J211" s="156" t="inlineStr">
        <is>
          <t>Companion</t>
        </is>
      </c>
      <c r="K211" s="156" t="inlineStr">
        <is>
          <t>Hokkaido</t>
        </is>
      </c>
      <c r="L211" s="156" t="inlineStr">
        <is>
          <t>Not found</t>
        </is>
      </c>
      <c r="M211" s="156" t="inlineStr">
        <is>
          <t>n/a</t>
        </is>
      </c>
      <c r="N211" s="156" t="inlineStr">
        <is>
          <t>Not identified</t>
        </is>
      </c>
      <c r="O211" s="156" t="inlineStr">
        <is>
          <t>Not identified</t>
        </is>
      </c>
      <c r="P211" s="156" t="inlineStr">
        <is>
          <t>Not published; phone only</t>
        </is>
      </c>
      <c r="Q211" s="156" t="inlineStr">
        <is>
          <t>011 611 0100</t>
        </is>
      </c>
      <c r="R211" s="156" t="inlineStr">
        <is>
          <t>Not identified</t>
        </is>
      </c>
      <c r="S211" s="156" t="inlineStr">
        <is>
          <t>Company inquiry only (form); parent ほくやく・竹山ホールディングス</t>
        </is>
      </c>
      <c r="T211" s="158">
        <f>SUM(Z211:AF211)</f>
        <v>17</v>
      </c>
      <c r="U211" s="162" t="inlineStr">
        <is>
          <t>V4</t>
        </is>
      </c>
      <c r="V211" s="156" t="inlineStr">
        <is>
          <t>QUALIFY FIRST: animal hospital sales not confirmed in sources. Sapporo medical and dental device wholesaler with branches across Hokkaido.</t>
        </is>
      </c>
      <c r="W211" s="156" t="inlineStr">
        <is>
          <t>Open by asking whether they serve animal hospitals today; if yes, offer a vet line with no overlap to their human ultrasound brands.</t>
        </is>
      </c>
      <c r="X211" s="156" t="inlineStr">
        <is>
          <t>Not checked (human list not in v17)</t>
        </is>
      </c>
      <c r="Y211" s="156" t="inlineStr">
        <is>
          <t>https://www.nikkei.com/compass/company/qXdeUEKA1xdNAfnfizWWaB ; https://townpage.goo.ne.jp/shopdetail.php?matomeid=019388011000000899</t>
        </is>
      </c>
      <c r="Z211" s="156" t="n">
        <v>2</v>
      </c>
      <c r="AA211" s="156" t="n">
        <v>3</v>
      </c>
      <c r="AB211" s="156" t="n">
        <v>3</v>
      </c>
      <c r="AC211" s="156" t="n">
        <v>2</v>
      </c>
      <c r="AD211" s="156" t="n">
        <v>1</v>
      </c>
      <c r="AE211" s="156" t="n">
        <v>4</v>
      </c>
      <c r="AF211" s="156" t="n">
        <v>2</v>
      </c>
      <c r="AG211" s="163" t="inlineStr">
        <is>
          <t>Qualify first</t>
        </is>
      </c>
    </row>
    <row r="212" ht="75" customHeight="1" s="114">
      <c r="A212" s="156" t="n">
        <v>208</v>
      </c>
      <c r="B212" s="156" t="inlineStr">
        <is>
          <t>Tohoku Iryo Kiki Co., Ltd.</t>
        </is>
      </c>
      <c r="C212" s="156" t="inlineStr">
        <is>
          <t>東北医療機器株式会社</t>
        </is>
      </c>
      <c r="D212" s="156" t="inlineStr">
        <is>
          <t>Not found (NTA lookup blocked; dedupe by Japanese name)</t>
        </is>
      </c>
      <c r="E212" s="156" t="inlineStr">
        <is>
          <t>Yamagata</t>
        </is>
      </c>
      <c r="F212" s="156" t="inlineStr">
        <is>
          <t>Tohoku and Hokkaido</t>
        </is>
      </c>
      <c r="G212" s="157" t="inlineStr">
        <is>
          <t>https://www.tohoku-tmt.com/</t>
        </is>
      </c>
      <c r="H212" s="156" t="inlineStr">
        <is>
          <t>Human device sales licences; 動物用 licence not confirmed</t>
        </is>
      </c>
      <c r="I212" s="156" t="inlineStr">
        <is>
          <t>Human multi brand lines (ultrasound brands not confirmed)</t>
        </is>
      </c>
      <c r="J212" s="156" t="inlineStr">
        <is>
          <t>Companion</t>
        </is>
      </c>
      <c r="K212" s="156" t="inlineStr">
        <is>
          <t>Yamagata and Tohoku</t>
        </is>
      </c>
      <c r="L212" s="156" t="inlineStr">
        <is>
          <t>Not found</t>
        </is>
      </c>
      <c r="M212" s="156" t="inlineStr">
        <is>
          <t>n/a</t>
        </is>
      </c>
      <c r="N212" s="156" t="inlineStr">
        <is>
          <t>Not identified</t>
        </is>
      </c>
      <c r="O212" s="156" t="inlineStr">
        <is>
          <t>Not identified</t>
        </is>
      </c>
      <c r="P212" s="156" t="inlineStr">
        <is>
          <t>Not published; phone only</t>
        </is>
      </c>
      <c r="Q212" s="156" t="inlineStr">
        <is>
          <t>023 688 7173</t>
        </is>
      </c>
      <c r="R212" s="156" t="inlineStr">
        <is>
          <t>Not identified</t>
        </is>
      </c>
      <c r="S212" s="156" t="inlineStr">
        <is>
          <t>Company inquiry only (phone)</t>
        </is>
      </c>
      <c r="T212" s="158">
        <f>SUM(Z212:AF212)</f>
        <v>17</v>
      </c>
      <c r="U212" s="162" t="inlineStr">
        <is>
          <t>V4</t>
        </is>
      </c>
      <c r="V212" s="156" t="inlineStr">
        <is>
          <t>QUALIFY FIRST: animal hospital sales not confirmed in sources. Device sales with technical service for devices.</t>
        </is>
      </c>
      <c r="W212" s="156" t="inlineStr">
        <is>
          <t>Open by asking whether they serve animal hospitals today; if yes, offer a vet line with no overlap to their human ultrasound brands.</t>
        </is>
      </c>
      <c r="X212" s="156" t="inlineStr">
        <is>
          <t>Not checked (human list not in v17)</t>
        </is>
      </c>
      <c r="Y212" s="156" t="inlineStr">
        <is>
          <t>https://www.tohoku-tmt.com/about/index.html</t>
        </is>
      </c>
      <c r="Z212" s="156" t="n">
        <v>2</v>
      </c>
      <c r="AA212" s="156" t="n">
        <v>3</v>
      </c>
      <c r="AB212" s="156" t="n">
        <v>3</v>
      </c>
      <c r="AC212" s="156" t="n">
        <v>2</v>
      </c>
      <c r="AD212" s="156" t="n">
        <v>1</v>
      </c>
      <c r="AE212" s="156" t="n">
        <v>4</v>
      </c>
      <c r="AF212" s="156" t="n">
        <v>2</v>
      </c>
      <c r="AG212" s="163" t="inlineStr">
        <is>
          <t>Qualify first</t>
        </is>
      </c>
    </row>
    <row r="213" ht="75" customHeight="1" s="114">
      <c r="A213" s="156" t="n">
        <v>209</v>
      </c>
      <c r="B213" s="156" t="inlineStr">
        <is>
          <t>Tosei Medical Co., Ltd.</t>
        </is>
      </c>
      <c r="C213" s="156" t="inlineStr">
        <is>
          <t>トーセイメディカル株式会社</t>
        </is>
      </c>
      <c r="D213" s="156" t="inlineStr">
        <is>
          <t>Not found (NTA lookup blocked; dedupe by Japanese name)</t>
        </is>
      </c>
      <c r="E213" s="156" t="inlineStr">
        <is>
          <t>Iwate</t>
        </is>
      </c>
      <c r="F213" s="156" t="inlineStr">
        <is>
          <t>Tohoku and Hokkaido</t>
        </is>
      </c>
      <c r="G213" s="156" t="inlineStr">
        <is>
          <t>Not found</t>
        </is>
      </c>
      <c r="H213" s="156" t="inlineStr">
        <is>
          <t>Human device sales licences; 動物用 licence not confirmed</t>
        </is>
      </c>
      <c r="I213" s="156" t="inlineStr">
        <is>
          <t>Human multi brand lines (ultrasound brands not confirmed)</t>
        </is>
      </c>
      <c r="J213" s="156" t="inlineStr">
        <is>
          <t>Companion</t>
        </is>
      </c>
      <c r="K213" s="156" t="inlineStr">
        <is>
          <t>Iwate</t>
        </is>
      </c>
      <c r="L213" s="156" t="inlineStr">
        <is>
          <t>Not found</t>
        </is>
      </c>
      <c r="M213" s="156" t="inlineStr">
        <is>
          <t>n/a</t>
        </is>
      </c>
      <c r="N213" s="156" t="inlineStr">
        <is>
          <t>Not identified</t>
        </is>
      </c>
      <c r="O213" s="156" t="inlineStr">
        <is>
          <t>Not identified</t>
        </is>
      </c>
      <c r="P213" s="156" t="inlineStr">
        <is>
          <t>Not searched (search budget)</t>
        </is>
      </c>
      <c r="Q213" s="156" t="inlineStr">
        <is>
          <t>Not found (use site)</t>
        </is>
      </c>
      <c r="R213" s="156" t="inlineStr">
        <is>
          <t>Not identified</t>
        </is>
      </c>
      <c r="S213" s="156" t="inlineStr">
        <is>
          <t>Unverified</t>
        </is>
      </c>
      <c r="T213" s="158">
        <f>SUM(Z213:AF213)</f>
        <v>17</v>
      </c>
      <c r="U213" s="162" t="inlineStr">
        <is>
          <t>V4</t>
        </is>
      </c>
      <c r="V213" s="156" t="inlineStr">
        <is>
          <t>QUALIFY FIRST: animal hospital sales not confirmed in sources. Iwate device dealers association member.</t>
        </is>
      </c>
      <c r="W213" s="156" t="inlineStr">
        <is>
          <t>Open by asking whether they serve animal hospitals today; if yes, offer a vet line with no overlap to their human ultrasound brands.</t>
        </is>
      </c>
      <c r="X213" s="156" t="inlineStr">
        <is>
          <t>Not checked (human list not in v17)</t>
        </is>
      </c>
      <c r="Y213" s="156" t="inlineStr">
        <is>
          <t>https://tohoku-ikihan.com/memberlist_category/iwate/</t>
        </is>
      </c>
      <c r="Z213" s="156" t="n">
        <v>2</v>
      </c>
      <c r="AA213" s="156" t="n">
        <v>3</v>
      </c>
      <c r="AB213" s="156" t="n">
        <v>3</v>
      </c>
      <c r="AC213" s="156" t="n">
        <v>2</v>
      </c>
      <c r="AD213" s="156" t="n">
        <v>1</v>
      </c>
      <c r="AE213" s="156" t="n">
        <v>4</v>
      </c>
      <c r="AF213" s="156" t="n">
        <v>2</v>
      </c>
      <c r="AG213" s="163" t="inlineStr">
        <is>
          <t>Qualify first</t>
        </is>
      </c>
    </row>
    <row r="214" ht="75" customHeight="1" s="114">
      <c r="A214" s="156" t="n">
        <v>210</v>
      </c>
      <c r="B214" s="156" t="inlineStr">
        <is>
          <t>Hokkaido Animal Medical Center (Kushiro)</t>
        </is>
      </c>
      <c r="C214" s="156" t="inlineStr">
        <is>
          <t>北海道アニマルメディカルセンター 釧路動物病院</t>
        </is>
      </c>
      <c r="D214" s="156" t="inlineStr">
        <is>
          <t>Not found (NTA lookup blocked; dedupe by Japanese name)</t>
        </is>
      </c>
      <c r="E214" s="156" t="inlineStr">
        <is>
          <t>Hokkaido</t>
        </is>
      </c>
      <c r="F214" s="156" t="inlineStr">
        <is>
          <t>Tohoku and Hokkaido</t>
        </is>
      </c>
      <c r="G214" s="157" t="inlineStr">
        <is>
          <t>https://www.hamc-kah.com/</t>
        </is>
      </c>
      <c r="H214" s="156" t="inlineStr">
        <is>
          <t>End user (animal hospital group)</t>
        </is>
      </c>
      <c r="I214" s="156" t="inlineStr">
        <is>
          <t>Not identified</t>
        </is>
      </c>
      <c r="J214" s="156" t="inlineStr">
        <is>
          <t>Both</t>
        </is>
      </c>
      <c r="K214" s="156" t="inlineStr">
        <is>
          <t>East Hokkaido</t>
        </is>
      </c>
      <c r="L214" s="156" t="inlineStr">
        <is>
          <t>Not found</t>
        </is>
      </c>
      <c r="M214" s="156" t="inlineStr">
        <is>
          <t>Centre plus research unit</t>
        </is>
      </c>
      <c r="N214" s="156" t="inlineStr">
        <is>
          <t>Not identified</t>
        </is>
      </c>
      <c r="O214" s="156" t="inlineStr">
        <is>
          <t>Not identified</t>
        </is>
      </c>
      <c r="P214" s="156" t="inlineStr">
        <is>
          <t>Not published; phone only</t>
        </is>
      </c>
      <c r="Q214" s="156" t="inlineStr">
        <is>
          <t>0154 23 1122</t>
        </is>
      </c>
      <c r="R214" s="156" t="inlineStr">
        <is>
          <t>Not identified</t>
        </is>
      </c>
      <c r="S214" s="156" t="inlineStr">
        <is>
          <t>Company inquiry only (phone)</t>
        </is>
      </c>
      <c r="T214" s="158">
        <f>SUM(Z214:AF214)</f>
        <v>20</v>
      </c>
      <c r="U214" s="164" t="inlineStr">
        <is>
          <t>V5</t>
        </is>
      </c>
      <c r="V214" s="156" t="inlineStr">
        <is>
          <t>Kushiro referral centre with research arm; East Hokkaido has mixed practice demand.</t>
        </is>
      </c>
      <c r="W214" s="156" t="inlineStr">
        <is>
          <t>Fleet evaluation: 30 day placement in two sites, then a group standard.</t>
        </is>
      </c>
      <c r="X214" s="156" t="inlineStr">
        <is>
          <t>Not checked (human list not in v17)</t>
        </is>
      </c>
      <c r="Y214" s="156" t="inlineStr">
        <is>
          <t>https://www.hamc-kah.com/ ; https://www.hamc-kah.com/info_sc/time.cgi</t>
        </is>
      </c>
      <c r="Z214" s="156" t="n">
        <v>1</v>
      </c>
      <c r="AA214" s="156" t="n">
        <v>4</v>
      </c>
      <c r="AB214" s="156" t="n">
        <v>3</v>
      </c>
      <c r="AC214" s="156" t="n">
        <v>5</v>
      </c>
      <c r="AD214" s="156" t="n">
        <v>3</v>
      </c>
      <c r="AE214" s="156" t="n">
        <v>1</v>
      </c>
      <c r="AF214" s="156" t="n">
        <v>3</v>
      </c>
      <c r="AG214" s="156" t="inlineStr">
        <is>
          <t>Evidence backed</t>
        </is>
      </c>
    </row>
    <row r="215" ht="75" customHeight="1" s="114">
      <c r="A215" s="156" t="n">
        <v>211</v>
      </c>
      <c r="B215" s="156" t="inlineStr">
        <is>
          <t>Homma Veterinary Clinic Group</t>
        </is>
      </c>
      <c r="C215" s="156" t="inlineStr">
        <is>
          <t>本間獣医科医院グループ</t>
        </is>
      </c>
      <c r="D215" s="156" t="inlineStr">
        <is>
          <t>Not found (NTA lookup blocked; dedupe by Japanese name)</t>
        </is>
      </c>
      <c r="E215" s="156" t="inlineStr">
        <is>
          <t>Shizuoka</t>
        </is>
      </c>
      <c r="F215" s="156" t="inlineStr">
        <is>
          <t>Chubu</t>
        </is>
      </c>
      <c r="G215" s="156" t="inlineStr">
        <is>
          <t>Not found</t>
        </is>
      </c>
      <c r="H215" s="156" t="inlineStr">
        <is>
          <t>End user (animal hospital group)</t>
        </is>
      </c>
      <c r="I215" s="156" t="inlineStr">
        <is>
          <t>Not identified</t>
        </is>
      </c>
      <c r="J215" s="156" t="inlineStr">
        <is>
          <t>Companion</t>
        </is>
      </c>
      <c r="K215" s="156" t="inlineStr">
        <is>
          <t>Shizuoka and overseas</t>
        </is>
      </c>
      <c r="L215" s="156" t="inlineStr">
        <is>
          <t>Not found</t>
        </is>
      </c>
      <c r="M215" s="156" t="inlineStr">
        <is>
          <t>40 (AHHD 2021)</t>
        </is>
      </c>
      <c r="N215" s="156" t="inlineStr">
        <is>
          <t>Not identified</t>
        </is>
      </c>
      <c r="O215" s="156" t="inlineStr">
        <is>
          <t>Not identified</t>
        </is>
      </c>
      <c r="P215" s="156" t="inlineStr">
        <is>
          <t>Not published; phone only</t>
        </is>
      </c>
      <c r="Q215" s="156" t="inlineStr">
        <is>
          <t>0538 35 9911 (Iwata main hospital)</t>
        </is>
      </c>
      <c r="R215" s="156" t="inlineStr">
        <is>
          <t>Not identified</t>
        </is>
      </c>
      <c r="S215" s="156" t="inlineStr">
        <is>
          <t>Company inquiry only (phone); FLAG renamed DCC動物病院 in 2024</t>
        </is>
      </c>
      <c r="T215" s="158">
        <f>SUM(Z215:AF215)</f>
        <v>18</v>
      </c>
      <c r="U215" s="164" t="inlineStr">
        <is>
          <t>V5</t>
        </is>
      </c>
      <c r="V215" s="156" t="inlineStr">
        <is>
          <t>Ranked second by hospital count in 2021 with 40 sites. FLAG: Operating entity and current count not confirmed.</t>
        </is>
      </c>
      <c r="W215" s="156" t="inlineStr">
        <is>
          <t>Fleet evaluation: 30 day placement in two sites, then a group standard.</t>
        </is>
      </c>
      <c r="X215" s="156" t="inlineStr">
        <is>
          <t>Not checked (human list not in v17)</t>
        </is>
      </c>
      <c r="Y215" s="156" t="inlineStr">
        <is>
          <t>https://ahhd.jp/I0000003 ; https://dccpets.jp/clinictop/dcc-shimizutorisaka/</t>
        </is>
      </c>
      <c r="Z215" s="156" t="n">
        <v>1</v>
      </c>
      <c r="AA215" s="156" t="n">
        <v>4</v>
      </c>
      <c r="AB215" s="156" t="n">
        <v>3</v>
      </c>
      <c r="AC215" s="156" t="n">
        <v>5</v>
      </c>
      <c r="AD215" s="156" t="n">
        <v>1</v>
      </c>
      <c r="AE215" s="156" t="n">
        <v>1</v>
      </c>
      <c r="AF215" s="156" t="n">
        <v>3</v>
      </c>
      <c r="AG215" s="156" t="inlineStr">
        <is>
          <t>Evidence backed</t>
        </is>
      </c>
    </row>
    <row r="216" ht="75" customHeight="1" s="114">
      <c r="A216" s="156" t="n">
        <v>212</v>
      </c>
      <c r="B216" s="156" t="inlineStr">
        <is>
          <t>NOSAI Niigata</t>
        </is>
      </c>
      <c r="C216" s="156" t="inlineStr">
        <is>
          <t>新潟県農業共済組合</t>
        </is>
      </c>
      <c r="D216" s="156" t="inlineStr">
        <is>
          <t>Not found (NTA lookup blocked; dedupe by Japanese name)</t>
        </is>
      </c>
      <c r="E216" s="156" t="inlineStr">
        <is>
          <t>Niigata</t>
        </is>
      </c>
      <c r="F216" s="156" t="inlineStr">
        <is>
          <t>Chubu</t>
        </is>
      </c>
      <c r="G216" s="157" t="inlineStr">
        <is>
          <t>https://www.nosai-niigata.or.jp/</t>
        </is>
      </c>
      <c r="H216" s="156" t="inlineStr">
        <is>
          <t>End user (livestock clinic network)</t>
        </is>
      </c>
      <c r="I216" s="156" t="inlineStr">
        <is>
          <t>Not identified</t>
        </is>
      </c>
      <c r="J216" s="156" t="inlineStr">
        <is>
          <t>Large animal</t>
        </is>
      </c>
      <c r="K216" s="156" t="inlineStr">
        <is>
          <t>Niigata livestock clinics</t>
        </is>
      </c>
      <c r="L216" s="156" t="inlineStr">
        <is>
          <t>Not found</t>
        </is>
      </c>
      <c r="M216" s="156" t="inlineStr">
        <is>
          <t>Livestock clinics (count not confirmed)</t>
        </is>
      </c>
      <c r="N216" s="156" t="inlineStr">
        <is>
          <t>Not identified</t>
        </is>
      </c>
      <c r="O216" s="156" t="inlineStr">
        <is>
          <t>Not identified</t>
        </is>
      </c>
      <c r="P216" s="156" t="inlineStr">
        <is>
          <t>honsho@nosai-nc.or.jp</t>
        </is>
      </c>
      <c r="Q216" s="156" t="inlineStr">
        <is>
          <t>025 288 6888</t>
        </is>
      </c>
      <c r="R216" s="156" t="inlineStr">
        <is>
          <t>Not identified</t>
        </is>
      </c>
      <c r="S216" s="156" t="inlineStr">
        <is>
          <t>Likely (third party listing); legacy pre merger domain, may be inactive</t>
        </is>
      </c>
      <c r="T216" s="158">
        <f>SUM(Z216:AF216)</f>
        <v>18</v>
      </c>
      <c r="U216" s="164" t="inlineStr">
        <is>
          <t>V5</t>
        </is>
      </c>
      <c r="V216" s="156" t="inlineStr">
        <is>
          <t>Niigata dairy and beef.</t>
        </is>
      </c>
      <c r="W216" s="156" t="inlineStr">
        <is>
          <t>Field trial of a rugged livestock portable (EBit 50) with clinic vets during pregnancy checks.</t>
        </is>
      </c>
      <c r="X216" s="156" t="inlineStr">
        <is>
          <t>Not checked (human list not in v17)</t>
        </is>
      </c>
      <c r="Y216" s="156" t="inlineStr">
        <is>
          <t>https://www.nosai.or.jp/nosai_kasou/nosai_kakuchi01.html ; http://www.nosai-nc.or.jp/gaiyou.html</t>
        </is>
      </c>
      <c r="Z216" s="156" t="n">
        <v>1</v>
      </c>
      <c r="AA216" s="156" t="n">
        <v>4</v>
      </c>
      <c r="AB216" s="156" t="n">
        <v>3</v>
      </c>
      <c r="AC216" s="156" t="n">
        <v>1</v>
      </c>
      <c r="AD216" s="156" t="n">
        <v>5</v>
      </c>
      <c r="AE216" s="156" t="n">
        <v>1</v>
      </c>
      <c r="AF216" s="156" t="n">
        <v>3</v>
      </c>
      <c r="AG216" s="156" t="inlineStr">
        <is>
          <t>Evidence backed</t>
        </is>
      </c>
    </row>
    <row r="217" ht="75" customHeight="1" s="114">
      <c r="A217" s="156" t="n">
        <v>213</v>
      </c>
      <c r="B217" s="156" t="inlineStr">
        <is>
          <t>NOSAI Hiroshima</t>
        </is>
      </c>
      <c r="C217" s="156" t="inlineStr">
        <is>
          <t>広島県農業共済組合</t>
        </is>
      </c>
      <c r="D217" s="156" t="inlineStr">
        <is>
          <t>Not found (NTA lookup blocked; dedupe by Japanese name)</t>
        </is>
      </c>
      <c r="E217" s="156" t="inlineStr">
        <is>
          <t>Hiroshima</t>
        </is>
      </c>
      <c r="F217" s="156" t="inlineStr">
        <is>
          <t>Chugoku and Shikoku</t>
        </is>
      </c>
      <c r="G217" s="157" t="inlineStr">
        <is>
          <t>https://nosai-hiroshima.or.jp</t>
        </is>
      </c>
      <c r="H217" s="156" t="inlineStr">
        <is>
          <t>End user (livestock clinic network)</t>
        </is>
      </c>
      <c r="I217" s="156" t="inlineStr">
        <is>
          <t>Not identified</t>
        </is>
      </c>
      <c r="J217" s="156" t="inlineStr">
        <is>
          <t>Large animal</t>
        </is>
      </c>
      <c r="K217" s="156" t="inlineStr">
        <is>
          <t>Hiroshima livestock clinics</t>
        </is>
      </c>
      <c r="L217" s="156" t="inlineStr">
        <is>
          <t>Not found</t>
        </is>
      </c>
      <c r="M217" s="156" t="inlineStr">
        <is>
          <t>5 livestock clinics plus clinical training centre</t>
        </is>
      </c>
      <c r="N217" s="156" t="inlineStr">
        <is>
          <t>Not identified</t>
        </is>
      </c>
      <c r="O217" s="156" t="inlineStr">
        <is>
          <t>Not identified</t>
        </is>
      </c>
      <c r="P217" s="156" t="inlineStr">
        <is>
          <t>Not published; phone only</t>
        </is>
      </c>
      <c r="Q217" s="156" t="inlineStr">
        <is>
          <t>082 262 4711</t>
        </is>
      </c>
      <c r="R217" s="156" t="inlineStr">
        <is>
          <t>Not identified</t>
        </is>
      </c>
      <c r="S217" s="156" t="inlineStr">
        <is>
          <t>Company inquiry only (phone)</t>
        </is>
      </c>
      <c r="T217" s="158">
        <f>SUM(Z217:AF217)</f>
        <v>18</v>
      </c>
      <c r="U217" s="164" t="inlineStr">
        <is>
          <t>V5</t>
        </is>
      </c>
      <c r="V217" s="156" t="inlineStr">
        <is>
          <t>Clinical training centre in Higashi Hiroshima.</t>
        </is>
      </c>
      <c r="W217" s="156" t="inlineStr">
        <is>
          <t>Field trial of a rugged livestock portable (EBit 50) with clinic vets during pregnancy checks.</t>
        </is>
      </c>
      <c r="X217" s="156" t="inlineStr">
        <is>
          <t>Not checked (human list not in v17)</t>
        </is>
      </c>
      <c r="Y217" s="156" t="inlineStr">
        <is>
          <t>https://nosai-hiroshima.or.jp/access-kachiku/ ; https://www.maff.go.jp/j/keiei/nogyohoken/contact.html</t>
        </is>
      </c>
      <c r="Z217" s="156" t="n">
        <v>1</v>
      </c>
      <c r="AA217" s="156" t="n">
        <v>4</v>
      </c>
      <c r="AB217" s="156" t="n">
        <v>3</v>
      </c>
      <c r="AC217" s="156" t="n">
        <v>1</v>
      </c>
      <c r="AD217" s="156" t="n">
        <v>5</v>
      </c>
      <c r="AE217" s="156" t="n">
        <v>1</v>
      </c>
      <c r="AF217" s="156" t="n">
        <v>3</v>
      </c>
      <c r="AG217" s="156" t="inlineStr">
        <is>
          <t>Evidence backed</t>
        </is>
      </c>
    </row>
    <row r="218" ht="75" customHeight="1" s="114">
      <c r="A218" s="156" t="n">
        <v>214</v>
      </c>
      <c r="B218" s="156" t="inlineStr">
        <is>
          <t>NOSAI Kagawa</t>
        </is>
      </c>
      <c r="C218" s="156" t="inlineStr">
        <is>
          <t>香川県農業共済組合</t>
        </is>
      </c>
      <c r="D218" s="156" t="inlineStr">
        <is>
          <t>Not found (NTA lookup blocked; dedupe by Japanese name)</t>
        </is>
      </c>
      <c r="E218" s="156" t="inlineStr">
        <is>
          <t>Kagawa</t>
        </is>
      </c>
      <c r="F218" s="156" t="inlineStr">
        <is>
          <t>Chugoku and Shikoku</t>
        </is>
      </c>
      <c r="G218" s="156" t="inlineStr">
        <is>
          <t>Not found</t>
        </is>
      </c>
      <c r="H218" s="156" t="inlineStr">
        <is>
          <t>End user (livestock clinic network)</t>
        </is>
      </c>
      <c r="I218" s="156" t="inlineStr">
        <is>
          <t>Not identified</t>
        </is>
      </c>
      <c r="J218" s="156" t="inlineStr">
        <is>
          <t>Large animal</t>
        </is>
      </c>
      <c r="K218" s="156" t="inlineStr">
        <is>
          <t>Kagawa livestock clinics</t>
        </is>
      </c>
      <c r="L218" s="156" t="inlineStr">
        <is>
          <t>Not found</t>
        </is>
      </c>
      <c r="M218" s="156" t="inlineStr">
        <is>
          <t>Livestock clinics (count not confirmed)</t>
        </is>
      </c>
      <c r="N218" s="156" t="inlineStr">
        <is>
          <t>Not identified</t>
        </is>
      </c>
      <c r="O218" s="156" t="inlineStr">
        <is>
          <t>Not identified</t>
        </is>
      </c>
      <c r="P218" s="156" t="inlineStr">
        <is>
          <t>Not published; phone only</t>
        </is>
      </c>
      <c r="Q218" s="156" t="inlineStr">
        <is>
          <t>087 888 2121</t>
        </is>
      </c>
      <c r="R218" s="156" t="inlineStr">
        <is>
          <t>Not identified</t>
        </is>
      </c>
      <c r="S218" s="156" t="inlineStr">
        <is>
          <t>Company inquiry only (phone)</t>
        </is>
      </c>
      <c r="T218" s="158">
        <f>SUM(Z218:AF218)</f>
        <v>18</v>
      </c>
      <c r="U218" s="164" t="inlineStr">
        <is>
          <t>V5</t>
        </is>
      </c>
      <c r="V218" s="156" t="inlineStr">
        <is>
          <t>Kagawa dairy and beef (Olive beef) area.</t>
        </is>
      </c>
      <c r="W218" s="156" t="inlineStr">
        <is>
          <t>Field trial of a rugged livestock portable (EBit 50) with clinic vets during pregnancy checks.</t>
        </is>
      </c>
      <c r="X218" s="156" t="inlineStr">
        <is>
          <t>Not checked (human list not in v17)</t>
        </is>
      </c>
      <c r="Y218" s="156" t="inlineStr">
        <is>
          <t>https://www.nosai.or.jp/nosai_kasou/nosai_kakuchi01.html ; https://www.maff.go.jp/j/keiei/nogyohoken/contact.html</t>
        </is>
      </c>
      <c r="Z218" s="156" t="n">
        <v>1</v>
      </c>
      <c r="AA218" s="156" t="n">
        <v>4</v>
      </c>
      <c r="AB218" s="156" t="n">
        <v>3</v>
      </c>
      <c r="AC218" s="156" t="n">
        <v>1</v>
      </c>
      <c r="AD218" s="156" t="n">
        <v>5</v>
      </c>
      <c r="AE218" s="156" t="n">
        <v>1</v>
      </c>
      <c r="AF218" s="156" t="n">
        <v>3</v>
      </c>
      <c r="AG218" s="156" t="inlineStr">
        <is>
          <t>Evidence backed</t>
        </is>
      </c>
    </row>
    <row r="219" ht="75" customHeight="1" s="114">
      <c r="A219" s="156" t="n">
        <v>215</v>
      </c>
      <c r="B219" s="156" t="inlineStr">
        <is>
          <t>NOSAI Okayama</t>
        </is>
      </c>
      <c r="C219" s="156" t="inlineStr">
        <is>
          <t>岡山県農業共済組合</t>
        </is>
      </c>
      <c r="D219" s="156" t="inlineStr">
        <is>
          <t>Not found (NTA lookup blocked; dedupe by Japanese name)</t>
        </is>
      </c>
      <c r="E219" s="156" t="inlineStr">
        <is>
          <t>Okayama</t>
        </is>
      </c>
      <c r="F219" s="156" t="inlineStr">
        <is>
          <t>Chugoku and Shikoku</t>
        </is>
      </c>
      <c r="G219" s="157" t="inlineStr">
        <is>
          <t>https://www.ok-nosai.or.jp</t>
        </is>
      </c>
      <c r="H219" s="156" t="inlineStr">
        <is>
          <t>End user (livestock clinic network)</t>
        </is>
      </c>
      <c r="I219" s="156" t="inlineStr">
        <is>
          <t>Not identified</t>
        </is>
      </c>
      <c r="J219" s="156" t="inlineStr">
        <is>
          <t>Large animal</t>
        </is>
      </c>
      <c r="K219" s="156" t="inlineStr">
        <is>
          <t>Okayama livestock clinics</t>
        </is>
      </c>
      <c r="L219" s="156" t="inlineStr">
        <is>
          <t>Not found</t>
        </is>
      </c>
      <c r="M219" s="156" t="inlineStr">
        <is>
          <t>2 clinics, 2 satellites, production support centre</t>
        </is>
      </c>
      <c r="N219" s="156" t="inlineStr">
        <is>
          <t>Not identified</t>
        </is>
      </c>
      <c r="O219" s="156" t="inlineStr">
        <is>
          <t>Not identified</t>
        </is>
      </c>
      <c r="P219" s="156" t="inlineStr">
        <is>
          <t>nosai@ok-nosai.or.jp</t>
        </is>
      </c>
      <c r="Q219" s="156" t="inlineStr">
        <is>
          <t>086 224 5588</t>
        </is>
      </c>
      <c r="R219" s="156" t="inlineStr">
        <is>
          <t>Not identified</t>
        </is>
      </c>
      <c r="S219" s="156" t="inlineStr">
        <is>
          <t>Verified (published on own site, read via search)</t>
        </is>
      </c>
      <c r="T219" s="158">
        <f>SUM(Z219:AF219)</f>
        <v>18</v>
      </c>
      <c r="U219" s="164" t="inlineStr">
        <is>
          <t>V5</t>
        </is>
      </c>
      <c r="V219" s="156" t="inlineStr">
        <is>
          <t>Includes the Hiruzen dairy area.</t>
        </is>
      </c>
      <c r="W219" s="156" t="inlineStr">
        <is>
          <t>Field trial of a rugged livestock portable (EBit 50) with clinic vets during pregnancy checks.</t>
        </is>
      </c>
      <c r="X219" s="156" t="inlineStr">
        <is>
          <t>Not checked (human list not in v17)</t>
        </is>
      </c>
      <c r="Y219" s="156" t="inlineStr">
        <is>
          <t>https://www.ok-nosai.or.jp/office/livestock.html ; https://www.ok-nosai.or.jp/</t>
        </is>
      </c>
      <c r="Z219" s="156" t="n">
        <v>1</v>
      </c>
      <c r="AA219" s="156" t="n">
        <v>4</v>
      </c>
      <c r="AB219" s="156" t="n">
        <v>3</v>
      </c>
      <c r="AC219" s="156" t="n">
        <v>1</v>
      </c>
      <c r="AD219" s="156" t="n">
        <v>5</v>
      </c>
      <c r="AE219" s="156" t="n">
        <v>1</v>
      </c>
      <c r="AF219" s="156" t="n">
        <v>3</v>
      </c>
      <c r="AG219" s="156" t="inlineStr">
        <is>
          <t>Evidence backed</t>
        </is>
      </c>
    </row>
    <row r="220" ht="75" customHeight="1" s="114">
      <c r="A220" s="156" t="n">
        <v>216</v>
      </c>
      <c r="B220" s="156" t="inlineStr">
        <is>
          <t>NOSAI Shimane</t>
        </is>
      </c>
      <c r="C220" s="156" t="inlineStr">
        <is>
          <t>島根県農業共済組合</t>
        </is>
      </c>
      <c r="D220" s="156" t="inlineStr">
        <is>
          <t>Not found (NTA lookup blocked; dedupe by Japanese name)</t>
        </is>
      </c>
      <c r="E220" s="156" t="inlineStr">
        <is>
          <t>Shimane</t>
        </is>
      </c>
      <c r="F220" s="156" t="inlineStr">
        <is>
          <t>Chugoku and Shikoku</t>
        </is>
      </c>
      <c r="G220" s="156" t="inlineStr">
        <is>
          <t>Not found</t>
        </is>
      </c>
      <c r="H220" s="156" t="inlineStr">
        <is>
          <t>End user (livestock clinic network)</t>
        </is>
      </c>
      <c r="I220" s="156" t="inlineStr">
        <is>
          <t>Not identified</t>
        </is>
      </c>
      <c r="J220" s="156" t="inlineStr">
        <is>
          <t>Large animal</t>
        </is>
      </c>
      <c r="K220" s="156" t="inlineStr">
        <is>
          <t>Shimane livestock clinics</t>
        </is>
      </c>
      <c r="L220" s="156" t="inlineStr">
        <is>
          <t>Not found</t>
        </is>
      </c>
      <c r="M220" s="156" t="inlineStr">
        <is>
          <t>Livestock clinics (count not confirmed)</t>
        </is>
      </c>
      <c r="N220" s="156" t="inlineStr">
        <is>
          <t>Not identified</t>
        </is>
      </c>
      <c r="O220" s="156" t="inlineStr">
        <is>
          <t>Not identified</t>
        </is>
      </c>
      <c r="P220" s="156" t="inlineStr">
        <is>
          <t>Not published; phone only</t>
        </is>
      </c>
      <c r="Q220" s="156" t="inlineStr">
        <is>
          <t>0853 22 1478</t>
        </is>
      </c>
      <c r="R220" s="156" t="inlineStr">
        <is>
          <t>Not identified</t>
        </is>
      </c>
      <c r="S220" s="156" t="inlineStr">
        <is>
          <t>Company inquiry only (phone)</t>
        </is>
      </c>
      <c r="T220" s="158">
        <f>SUM(Z220:AF220)</f>
        <v>18</v>
      </c>
      <c r="U220" s="164" t="inlineStr">
        <is>
          <t>V5</t>
        </is>
      </c>
      <c r="V220" s="156" t="inlineStr">
        <is>
          <t>Shimane beef area (Oki, Unnan).</t>
        </is>
      </c>
      <c r="W220" s="156" t="inlineStr">
        <is>
          <t>Field trial of a rugged livestock portable (EBit 50) with clinic vets during pregnancy checks.</t>
        </is>
      </c>
      <c r="X220" s="156" t="inlineStr">
        <is>
          <t>Not checked (human list not in v17)</t>
        </is>
      </c>
      <c r="Y220" s="156" t="inlineStr">
        <is>
          <t>https://www.nosai.or.jp/nosai_kasou/nosai_kakuchi01.html ; https://www.maff.go.jp/j/keiei/nogyohoken/contact.html</t>
        </is>
      </c>
      <c r="Z220" s="156" t="n">
        <v>1</v>
      </c>
      <c r="AA220" s="156" t="n">
        <v>4</v>
      </c>
      <c r="AB220" s="156" t="n">
        <v>3</v>
      </c>
      <c r="AC220" s="156" t="n">
        <v>1</v>
      </c>
      <c r="AD220" s="156" t="n">
        <v>5</v>
      </c>
      <c r="AE220" s="156" t="n">
        <v>1</v>
      </c>
      <c r="AF220" s="156" t="n">
        <v>3</v>
      </c>
      <c r="AG220" s="156" t="inlineStr">
        <is>
          <t>Evidence backed</t>
        </is>
      </c>
    </row>
    <row r="221" ht="75" customHeight="1" s="114">
      <c r="A221" s="156" t="n">
        <v>217</v>
      </c>
      <c r="B221" s="156" t="inlineStr">
        <is>
          <t>NOSAI Tottori</t>
        </is>
      </c>
      <c r="C221" s="156" t="inlineStr">
        <is>
          <t>鳥取県農業共済組合</t>
        </is>
      </c>
      <c r="D221" s="156" t="inlineStr">
        <is>
          <t>Not found (NTA lookup blocked; dedupe by Japanese name)</t>
        </is>
      </c>
      <c r="E221" s="156" t="inlineStr">
        <is>
          <t>Tottori</t>
        </is>
      </c>
      <c r="F221" s="156" t="inlineStr">
        <is>
          <t>Chugoku and Shikoku</t>
        </is>
      </c>
      <c r="G221" s="156" t="inlineStr">
        <is>
          <t>Not found</t>
        </is>
      </c>
      <c r="H221" s="156" t="inlineStr">
        <is>
          <t>End user (livestock clinic network)</t>
        </is>
      </c>
      <c r="I221" s="156" t="inlineStr">
        <is>
          <t>Not identified</t>
        </is>
      </c>
      <c r="J221" s="156" t="inlineStr">
        <is>
          <t>Large animal</t>
        </is>
      </c>
      <c r="K221" s="156" t="inlineStr">
        <is>
          <t>Tottori livestock clinics</t>
        </is>
      </c>
      <c r="L221" s="156" t="inlineStr">
        <is>
          <t>Not found</t>
        </is>
      </c>
      <c r="M221" s="156" t="inlineStr">
        <is>
          <t>Livestock clinics (count not confirmed)</t>
        </is>
      </c>
      <c r="N221" s="156" t="inlineStr">
        <is>
          <t>Not identified</t>
        </is>
      </c>
      <c r="O221" s="156" t="inlineStr">
        <is>
          <t>Not identified</t>
        </is>
      </c>
      <c r="P221" s="156" t="inlineStr">
        <is>
          <t>Not published; phone only</t>
        </is>
      </c>
      <c r="Q221" s="156" t="inlineStr">
        <is>
          <t>0120 031 559</t>
        </is>
      </c>
      <c r="R221" s="156" t="inlineStr">
        <is>
          <t>Not identified</t>
        </is>
      </c>
      <c r="S221" s="156" t="inlineStr">
        <is>
          <t>Company inquiry only (phone)</t>
        </is>
      </c>
      <c r="T221" s="158">
        <f>SUM(Z221:AF221)</f>
        <v>18</v>
      </c>
      <c r="U221" s="164" t="inlineStr">
        <is>
          <t>V5</t>
        </is>
      </c>
      <c r="V221" s="156" t="inlineStr">
        <is>
          <t>Daisen dairy and beef area.</t>
        </is>
      </c>
      <c r="W221" s="156" t="inlineStr">
        <is>
          <t>Field trial of a rugged livestock portable (EBit 50) with clinic vets during pregnancy checks.</t>
        </is>
      </c>
      <c r="X221" s="156" t="inlineStr">
        <is>
          <t>Not checked (human list not in v17)</t>
        </is>
      </c>
      <c r="Y221" s="156" t="inlineStr">
        <is>
          <t>https://www.nosai.or.jp/nosai_kasou/nosai_kakuchi01.html ; https://www.maff.go.jp/j/keiei/nogyohoken/contact.html</t>
        </is>
      </c>
      <c r="Z221" s="156" t="n">
        <v>1</v>
      </c>
      <c r="AA221" s="156" t="n">
        <v>4</v>
      </c>
      <c r="AB221" s="156" t="n">
        <v>3</v>
      </c>
      <c r="AC221" s="156" t="n">
        <v>1</v>
      </c>
      <c r="AD221" s="156" t="n">
        <v>5</v>
      </c>
      <c r="AE221" s="156" t="n">
        <v>1</v>
      </c>
      <c r="AF221" s="156" t="n">
        <v>3</v>
      </c>
      <c r="AG221" s="156" t="inlineStr">
        <is>
          <t>Evidence backed</t>
        </is>
      </c>
    </row>
    <row r="222" ht="75" customHeight="1" s="114">
      <c r="A222" s="156" t="n">
        <v>218</v>
      </c>
      <c r="B222" s="156" t="inlineStr">
        <is>
          <t>NOSAI Yamaguchi</t>
        </is>
      </c>
      <c r="C222" s="156" t="inlineStr">
        <is>
          <t>山口県農業共済組合</t>
        </is>
      </c>
      <c r="D222" s="156" t="inlineStr">
        <is>
          <t>Not found (NTA lookup blocked; dedupe by Japanese name)</t>
        </is>
      </c>
      <c r="E222" s="156" t="inlineStr">
        <is>
          <t>Yamaguchi</t>
        </is>
      </c>
      <c r="F222" s="156" t="inlineStr">
        <is>
          <t>Chugoku and Shikoku</t>
        </is>
      </c>
      <c r="G222" s="157" t="inlineStr">
        <is>
          <t>https://ymgc-nosai.org</t>
        </is>
      </c>
      <c r="H222" s="156" t="inlineStr">
        <is>
          <t>End user (livestock clinic network)</t>
        </is>
      </c>
      <c r="I222" s="156" t="inlineStr">
        <is>
          <t>Not identified</t>
        </is>
      </c>
      <c r="J222" s="156" t="inlineStr">
        <is>
          <t>Large animal</t>
        </is>
      </c>
      <c r="K222" s="156" t="inlineStr">
        <is>
          <t>Yamaguchi livestock clinics</t>
        </is>
      </c>
      <c r="L222" s="156" t="inlineStr">
        <is>
          <t>Not found</t>
        </is>
      </c>
      <c r="M222" s="156" t="inlineStr">
        <is>
          <t>Multiple livestock clinics</t>
        </is>
      </c>
      <c r="N222" s="156" t="inlineStr">
        <is>
          <t>Not identified</t>
        </is>
      </c>
      <c r="O222" s="156" t="inlineStr">
        <is>
          <t>Not identified</t>
        </is>
      </c>
      <c r="P222" s="156" t="inlineStr">
        <is>
          <t>Not published; phone only</t>
        </is>
      </c>
      <c r="Q222" s="156" t="inlineStr">
        <is>
          <t>083 972 7500</t>
        </is>
      </c>
      <c r="R222" s="156" t="inlineStr">
        <is>
          <t>Not identified</t>
        </is>
      </c>
      <c r="S222" s="156" t="inlineStr">
        <is>
          <t>Company inquiry only (phone)</t>
        </is>
      </c>
      <c r="T222" s="158">
        <f>SUM(Z222:AF222)</f>
        <v>18</v>
      </c>
      <c r="U222" s="164" t="inlineStr">
        <is>
          <t>V5</t>
        </is>
      </c>
      <c r="V222" s="156" t="inlineStr">
        <is>
          <t>Published clinic network.</t>
        </is>
      </c>
      <c r="W222" s="156" t="inlineStr">
        <is>
          <t>Field trial of a rugged livestock portable (EBit 50) with clinic vets during pregnancy checks.</t>
        </is>
      </c>
      <c r="X222" s="156" t="inlineStr">
        <is>
          <t>Not checked (human list not in v17)</t>
        </is>
      </c>
      <c r="Y222" s="156" t="inlineStr">
        <is>
          <t>https://ymgc-nosai.org/cms/page106.html ; https://www.maff.go.jp/j/keiei/nogyohoken/contact.html</t>
        </is>
      </c>
      <c r="Z222" s="156" t="n">
        <v>1</v>
      </c>
      <c r="AA222" s="156" t="n">
        <v>4</v>
      </c>
      <c r="AB222" s="156" t="n">
        <v>3</v>
      </c>
      <c r="AC222" s="156" t="n">
        <v>1</v>
      </c>
      <c r="AD222" s="156" t="n">
        <v>5</v>
      </c>
      <c r="AE222" s="156" t="n">
        <v>1</v>
      </c>
      <c r="AF222" s="156" t="n">
        <v>3</v>
      </c>
      <c r="AG222" s="156" t="inlineStr">
        <is>
          <t>Evidence backed</t>
        </is>
      </c>
    </row>
    <row r="223" ht="75" customHeight="1" s="114">
      <c r="A223" s="156" t="n">
        <v>219</v>
      </c>
      <c r="B223" s="156" t="inlineStr">
        <is>
          <t>Okayama Animal Medical Center Group</t>
        </is>
      </c>
      <c r="C223" s="156" t="inlineStr">
        <is>
          <t>岡山動物医療センターグループ</t>
        </is>
      </c>
      <c r="D223" s="156" t="inlineStr">
        <is>
          <t>Not found (NTA lookup blocked; dedupe by Japanese name)</t>
        </is>
      </c>
      <c r="E223" s="156" t="inlineStr">
        <is>
          <t>Okayama</t>
        </is>
      </c>
      <c r="F223" s="156" t="inlineStr">
        <is>
          <t>Chugoku and Shikoku</t>
        </is>
      </c>
      <c r="G223" s="157" t="inlineStr">
        <is>
          <t>https://www.okayama-amc.com/</t>
        </is>
      </c>
      <c r="H223" s="156" t="inlineStr">
        <is>
          <t>End user (animal hospital group)</t>
        </is>
      </c>
      <c r="I223" s="156" t="inlineStr">
        <is>
          <t>Not identified</t>
        </is>
      </c>
      <c r="J223" s="156" t="inlineStr">
        <is>
          <t>Companion</t>
        </is>
      </c>
      <c r="K223" s="156" t="inlineStr">
        <is>
          <t>Okayama, Kurashiki, Takamatsu</t>
        </is>
      </c>
      <c r="L223" s="156" t="inlineStr">
        <is>
          <t>Not found</t>
        </is>
      </c>
      <c r="M223" s="156" t="inlineStr">
        <is>
          <t>5</t>
        </is>
      </c>
      <c r="N223" s="156" t="inlineStr">
        <is>
          <t>Not identified</t>
        </is>
      </c>
      <c r="O223" s="156" t="inlineStr">
        <is>
          <t>Not identified</t>
        </is>
      </c>
      <c r="P223" s="156" t="inlineStr">
        <is>
          <t>Not published; phone only</t>
        </is>
      </c>
      <c r="Q223" s="156" t="inlineStr">
        <is>
          <t>086 246 8100</t>
        </is>
      </c>
      <c r="R223" s="156" t="inlineStr">
        <is>
          <t>Not identified</t>
        </is>
      </c>
      <c r="S223" s="156" t="inlineStr">
        <is>
          <t>Company inquiry only (phone)</t>
        </is>
      </c>
      <c r="T223" s="158">
        <f>SUM(Z223:AF223)</f>
        <v>18</v>
      </c>
      <c r="U223" s="164" t="inlineStr">
        <is>
          <t>V5</t>
        </is>
      </c>
      <c r="V223" s="156" t="inlineStr">
        <is>
          <t>Five hospitals led by an advanced core hospital.</t>
        </is>
      </c>
      <c r="W223" s="156" t="inlineStr">
        <is>
          <t>Fleet evaluation: 30 day placement in two sites, then a group standard.</t>
        </is>
      </c>
      <c r="X223" s="156" t="inlineStr">
        <is>
          <t>Not checked (human list not in v17)</t>
        </is>
      </c>
      <c r="Y223" s="156" t="inlineStr">
        <is>
          <t>https://www.okayama-amc.com/</t>
        </is>
      </c>
      <c r="Z223" s="156" t="n">
        <v>1</v>
      </c>
      <c r="AA223" s="156" t="n">
        <v>4</v>
      </c>
      <c r="AB223" s="156" t="n">
        <v>3</v>
      </c>
      <c r="AC223" s="156" t="n">
        <v>5</v>
      </c>
      <c r="AD223" s="156" t="n">
        <v>1</v>
      </c>
      <c r="AE223" s="156" t="n">
        <v>1</v>
      </c>
      <c r="AF223" s="156" t="n">
        <v>3</v>
      </c>
      <c r="AG223" s="156" t="inlineStr">
        <is>
          <t>Evidence backed</t>
        </is>
      </c>
    </row>
    <row r="224" ht="75" customHeight="1" s="114">
      <c r="A224" s="156" t="n">
        <v>220</v>
      </c>
      <c r="B224" s="156" t="inlineStr">
        <is>
          <t>Doubutsu Byoin Kyoto Co., Ltd. (CUaRE)</t>
        </is>
      </c>
      <c r="C224" s="156" t="inlineStr">
        <is>
          <t>どうぶつ病院京都株式会社</t>
        </is>
      </c>
      <c r="D224" s="156" t="inlineStr">
        <is>
          <t>Not found (NTA lookup blocked; dedupe by Japanese name)</t>
        </is>
      </c>
      <c r="E224" s="156" t="inlineStr">
        <is>
          <t>Kyoto</t>
        </is>
      </c>
      <c r="F224" s="156" t="inlineStr">
        <is>
          <t>Kansai</t>
        </is>
      </c>
      <c r="G224" s="157" t="inlineStr">
        <is>
          <t>https://ahk-cuare.com/</t>
        </is>
      </c>
      <c r="H224" s="156" t="inlineStr">
        <is>
          <t>End user (animal hospital group)</t>
        </is>
      </c>
      <c r="I224" s="156" t="inlineStr">
        <is>
          <t>Not identified</t>
        </is>
      </c>
      <c r="J224" s="156" t="inlineStr">
        <is>
          <t>Companion</t>
        </is>
      </c>
      <c r="K224" s="156" t="inlineStr">
        <is>
          <t>Kyoto and Chiba</t>
        </is>
      </c>
      <c r="L224" s="156" t="inlineStr">
        <is>
          <t>Not found</t>
        </is>
      </c>
      <c r="M224" s="156" t="inlineStr">
        <is>
          <t>6</t>
        </is>
      </c>
      <c r="N224" s="156" t="inlineStr">
        <is>
          <t>Not identified</t>
        </is>
      </c>
      <c r="O224" s="156" t="inlineStr">
        <is>
          <t>Not identified</t>
        </is>
      </c>
      <c r="P224" s="156" t="inlineStr">
        <is>
          <t>info@cuareofficial.com</t>
        </is>
      </c>
      <c r="Q224" s="156" t="inlineStr">
        <is>
          <t>075 334 8122</t>
        </is>
      </c>
      <c r="R224" s="156" t="inlineStr">
        <is>
          <t>Not identified</t>
        </is>
      </c>
      <c r="S224" s="156" t="inlineStr">
        <is>
          <t>Verified (published on own site, read via search); product business page</t>
        </is>
      </c>
      <c r="T224" s="158">
        <f>SUM(Z224:AF224)</f>
        <v>18</v>
      </c>
      <c r="U224" s="164" t="inlineStr">
        <is>
          <t>V5</t>
        </is>
      </c>
      <c r="V224" s="156" t="inlineStr">
        <is>
          <t>Six hospitals plus four grooming salons.</t>
        </is>
      </c>
      <c r="W224" s="156" t="inlineStr">
        <is>
          <t>Fleet evaluation: 30 day placement in two sites, then a group standard.</t>
        </is>
      </c>
      <c r="X224" s="156" t="inlineStr">
        <is>
          <t>Not checked (human list not in v17)</t>
        </is>
      </c>
      <c r="Y224" s="156" t="inlineStr">
        <is>
          <t>https://ahk-cuare.com/ ; https://ahk-cuare.com/%E4%BA%8B%E6%A5%AD%E7%B4%B9%E4%BB%8B%E3%83%88%E3%83%83%E3%83%97/%E3%81%A9%E3%81%86%E3%81%B6%E3%81%A4%E7%97%85%E9%99%A2%E4%BA%AC%E9%83%BD%E3%82%B0%E3%83%AB%E3%83%BC%E3%83%97%E4%BA%8B%E6%A5%AD/product%E4%BA%8B%E6%A5%AD/</t>
        </is>
      </c>
      <c r="Z224" s="156" t="n">
        <v>1</v>
      </c>
      <c r="AA224" s="156" t="n">
        <v>4</v>
      </c>
      <c r="AB224" s="156" t="n">
        <v>3</v>
      </c>
      <c r="AC224" s="156" t="n">
        <v>5</v>
      </c>
      <c r="AD224" s="156" t="n">
        <v>1</v>
      </c>
      <c r="AE224" s="156" t="n">
        <v>1</v>
      </c>
      <c r="AF224" s="156" t="n">
        <v>3</v>
      </c>
      <c r="AG224" s="156" t="inlineStr">
        <is>
          <t>Evidence backed</t>
        </is>
      </c>
    </row>
    <row r="225" ht="75" customHeight="1" s="114">
      <c r="A225" s="156" t="n">
        <v>221</v>
      </c>
      <c r="B225" s="156" t="inlineStr">
        <is>
          <t>Elsa Animal Hospital Group (Elsa Kreis)</t>
        </is>
      </c>
      <c r="C225" s="156" t="inlineStr">
        <is>
          <t>エルザ動物病院グループ (株式会社エルザクライス)</t>
        </is>
      </c>
      <c r="D225" s="156" t="inlineStr">
        <is>
          <t>Not found (NTA lookup blocked; dedupe by Japanese name)</t>
        </is>
      </c>
      <c r="E225" s="156" t="inlineStr">
        <is>
          <t>Hyogo</t>
        </is>
      </c>
      <c r="F225" s="156" t="inlineStr">
        <is>
          <t>Kansai</t>
        </is>
      </c>
      <c r="G225" s="157" t="inlineStr">
        <is>
          <t>https://www.elsa-hp.com</t>
        </is>
      </c>
      <c r="H225" s="156" t="inlineStr">
        <is>
          <t>End user (animal hospital group)</t>
        </is>
      </c>
      <c r="I225" s="156" t="inlineStr">
        <is>
          <t>Not identified</t>
        </is>
      </c>
      <c r="J225" s="156" t="inlineStr">
        <is>
          <t>Companion</t>
        </is>
      </c>
      <c r="K225" s="156" t="inlineStr">
        <is>
          <t>Hyogo</t>
        </is>
      </c>
      <c r="L225" s="156" t="inlineStr">
        <is>
          <t>Not found</t>
        </is>
      </c>
      <c r="M225" s="156" t="inlineStr">
        <is>
          <t>8</t>
        </is>
      </c>
      <c r="N225" s="156" t="inlineStr">
        <is>
          <t>Not identified</t>
        </is>
      </c>
      <c r="O225" s="156" t="inlineStr">
        <is>
          <t>Not identified</t>
        </is>
      </c>
      <c r="P225" s="156" t="inlineStr">
        <is>
          <t>Not published; inquiry form: https://www.elsa-hp.com/contact/</t>
        </is>
      </c>
      <c r="Q225" s="156" t="inlineStr">
        <is>
          <t>079 297 8181</t>
        </is>
      </c>
      <c r="R225" s="156" t="inlineStr">
        <is>
          <t>Not identified</t>
        </is>
      </c>
      <c r="S225" s="156" t="inlineStr">
        <is>
          <t>Company inquiry only (form)</t>
        </is>
      </c>
      <c r="T225" s="158">
        <f>SUM(Z225:AF225)</f>
        <v>18</v>
      </c>
      <c r="U225" s="164" t="inlineStr">
        <is>
          <t>V5</t>
        </is>
      </c>
      <c r="V225" s="156" t="inlineStr">
        <is>
          <t>Eight hospital Hyogo group inside MiraiVets/JPAC. FLAG: Part of MiraiVets/JPAC.</t>
        </is>
      </c>
      <c r="W225" s="156" t="inlineStr">
        <is>
          <t>Fleet evaluation: 30 day placement in two sites, then a group standard.</t>
        </is>
      </c>
      <c r="X225" s="156" t="inlineStr">
        <is>
          <t>Not checked (human list not in v17)</t>
        </is>
      </c>
      <c r="Y225" s="156" t="inlineStr">
        <is>
          <t>https://www.kobe-np.co.jp/info/prtimes/202602/c170012_r8.shtml ; https://www.ondeck.jp/library/interview/20526 ; https://www.elsa-hp.com/contact/</t>
        </is>
      </c>
      <c r="Z225" s="156" t="n">
        <v>1</v>
      </c>
      <c r="AA225" s="156" t="n">
        <v>4</v>
      </c>
      <c r="AB225" s="156" t="n">
        <v>3</v>
      </c>
      <c r="AC225" s="156" t="n">
        <v>5</v>
      </c>
      <c r="AD225" s="156" t="n">
        <v>1</v>
      </c>
      <c r="AE225" s="156" t="n">
        <v>1</v>
      </c>
      <c r="AF225" s="156" t="n">
        <v>3</v>
      </c>
      <c r="AG225" s="156" t="inlineStr">
        <is>
          <t>Evidence backed</t>
        </is>
      </c>
    </row>
    <row r="226" ht="75" customHeight="1" s="114">
      <c r="A226" s="156" t="n">
        <v>222</v>
      </c>
      <c r="B226" s="156" t="inlineStr">
        <is>
          <t>Hazukikai Co., Ltd.</t>
        </is>
      </c>
      <c r="C226" s="156" t="inlineStr">
        <is>
          <t>株式会社葉月会</t>
        </is>
      </c>
      <c r="D226" s="156" t="inlineStr">
        <is>
          <t>Not found (NTA lookup blocked; dedupe by Japanese name)</t>
        </is>
      </c>
      <c r="E226" s="156" t="inlineStr">
        <is>
          <t>Osaka</t>
        </is>
      </c>
      <c r="F226" s="156" t="inlineStr">
        <is>
          <t>Kansai</t>
        </is>
      </c>
      <c r="G226" s="157" t="inlineStr">
        <is>
          <t>https://hadukikai.co.jp/</t>
        </is>
      </c>
      <c r="H226" s="156" t="inlineStr">
        <is>
          <t>End user (animal hospital group)</t>
        </is>
      </c>
      <c r="I226" s="156" t="inlineStr">
        <is>
          <t>Not identified</t>
        </is>
      </c>
      <c r="J226" s="156" t="inlineStr">
        <is>
          <t>Companion</t>
        </is>
      </c>
      <c r="K226" s="156" t="inlineStr">
        <is>
          <t>North Osaka and East Hyogo</t>
        </is>
      </c>
      <c r="L226" s="156" t="inlineStr">
        <is>
          <t>Not found</t>
        </is>
      </c>
      <c r="M226" s="156" t="inlineStr">
        <is>
          <t>100 plus participating hospitals</t>
        </is>
      </c>
      <c r="N226" s="156" t="inlineStr">
        <is>
          <t>Not identified</t>
        </is>
      </c>
      <c r="O226" s="156" t="inlineStr">
        <is>
          <t>Not identified</t>
        </is>
      </c>
      <c r="P226" s="156" t="inlineStr">
        <is>
          <t>Not published; phone only</t>
        </is>
      </c>
      <c r="Q226" s="156" t="inlineStr">
        <is>
          <t>072 730 8200</t>
        </is>
      </c>
      <c r="R226" s="156" t="inlineStr">
        <is>
          <t>Not identified</t>
        </is>
      </c>
      <c r="S226" s="156" t="inlineStr">
        <is>
          <t>Company inquiry only (phone)</t>
        </is>
      </c>
      <c r="T226" s="158">
        <f>SUM(Z226:AF226)</f>
        <v>18</v>
      </c>
      <c r="U226" s="164" t="inlineStr">
        <is>
          <t>V5</t>
        </is>
      </c>
      <c r="V226" s="156" t="inlineStr">
        <is>
          <t>Network of more than 100 animal hospitals in North Osaka and East Hyogo (Nishinomiya, Amagasaki, Takarazuka). FLAG: A cooperative network, not one owner; purchasing may be per hospital. HQ prefecture assumed Osaka.</t>
        </is>
      </c>
      <c r="W226" s="156" t="inlineStr">
        <is>
          <t>Fleet evaluation: 30 day placement in two sites, then a group standard.</t>
        </is>
      </c>
      <c r="X226" s="156" t="inlineStr">
        <is>
          <t>Not checked (human list not in v17)</t>
        </is>
      </c>
      <c r="Y226" s="156" t="inlineStr">
        <is>
          <t>https://hadukikai.co.jp/group_hosp/hyougo/ ; https://hadukikai.co.jp/info/</t>
        </is>
      </c>
      <c r="Z226" s="156" t="n">
        <v>1</v>
      </c>
      <c r="AA226" s="156" t="n">
        <v>4</v>
      </c>
      <c r="AB226" s="156" t="n">
        <v>3</v>
      </c>
      <c r="AC226" s="156" t="n">
        <v>5</v>
      </c>
      <c r="AD226" s="156" t="n">
        <v>1</v>
      </c>
      <c r="AE226" s="156" t="n">
        <v>1</v>
      </c>
      <c r="AF226" s="156" t="n">
        <v>3</v>
      </c>
      <c r="AG226" s="156" t="inlineStr">
        <is>
          <t>Evidence backed</t>
        </is>
      </c>
    </row>
    <row r="227" ht="75" customHeight="1" s="114">
      <c r="A227" s="156" t="n">
        <v>223</v>
      </c>
      <c r="B227" s="156" t="inlineStr">
        <is>
          <t>Junishikai Co., Ltd. (Osaka Night Emergency)</t>
        </is>
      </c>
      <c r="C227" s="156" t="inlineStr">
        <is>
          <t>株式会社十二志会</t>
        </is>
      </c>
      <c r="D227" s="156" t="inlineStr">
        <is>
          <t>Not found (NTA lookup blocked; dedupe by Japanese name)</t>
        </is>
      </c>
      <c r="E227" s="156" t="inlineStr">
        <is>
          <t>Osaka</t>
        </is>
      </c>
      <c r="F227" s="156" t="inlineStr">
        <is>
          <t>Kansai</t>
        </is>
      </c>
      <c r="G227" s="157" t="inlineStr">
        <is>
          <t>https://doubutsuyakan.jp</t>
        </is>
      </c>
      <c r="H227" s="156" t="inlineStr">
        <is>
          <t>End user (animal hospital group)</t>
        </is>
      </c>
      <c r="I227" s="156" t="inlineStr">
        <is>
          <t>Not identified</t>
        </is>
      </c>
      <c r="J227" s="156" t="inlineStr">
        <is>
          <t>Companion</t>
        </is>
      </c>
      <c r="K227" s="156" t="inlineStr">
        <is>
          <t>Osaka</t>
        </is>
      </c>
      <c r="L227" s="156" t="inlineStr">
        <is>
          <t>Not found</t>
        </is>
      </c>
      <c r="M227" s="156" t="inlineStr">
        <is>
          <t>Night ER owned by member hospitals</t>
        </is>
      </c>
      <c r="N227" s="156" t="inlineStr">
        <is>
          <t>Not identified</t>
        </is>
      </c>
      <c r="O227" s="156" t="inlineStr">
        <is>
          <t>Not identified</t>
        </is>
      </c>
      <c r="P227" s="156" t="inlineStr">
        <is>
          <t>Not published; phone only</t>
        </is>
      </c>
      <c r="Q227" s="156" t="inlineStr">
        <is>
          <t>06 4259 1212</t>
        </is>
      </c>
      <c r="R227" s="156" t="inlineStr">
        <is>
          <t>Not identified</t>
        </is>
      </c>
      <c r="S227" s="156" t="inlineStr">
        <is>
          <t>Company inquiry only (phone)</t>
        </is>
      </c>
      <c r="T227" s="158">
        <f>SUM(Z227:AF227)</f>
        <v>18</v>
      </c>
      <c r="U227" s="164" t="inlineStr">
        <is>
          <t>V5</t>
        </is>
      </c>
      <c r="V227" s="156" t="inlineStr">
        <is>
          <t>Shareholder hospitals jointly run Osaka's night emergency centre; ER is a point of care ultrasound use case.</t>
        </is>
      </c>
      <c r="W227" s="156" t="inlineStr">
        <is>
          <t>Fleet evaluation: 30 day placement in two sites, then a group standard.</t>
        </is>
      </c>
      <c r="X227" s="156" t="inlineStr">
        <is>
          <t>Not checked (human list not in v17)</t>
        </is>
      </c>
      <c r="Y227" s="156" t="inlineStr">
        <is>
          <t>https://doubutsuyakan.jp/about.html</t>
        </is>
      </c>
      <c r="Z227" s="156" t="n">
        <v>1</v>
      </c>
      <c r="AA227" s="156" t="n">
        <v>4</v>
      </c>
      <c r="AB227" s="156" t="n">
        <v>3</v>
      </c>
      <c r="AC227" s="156" t="n">
        <v>5</v>
      </c>
      <c r="AD227" s="156" t="n">
        <v>1</v>
      </c>
      <c r="AE227" s="156" t="n">
        <v>1</v>
      </c>
      <c r="AF227" s="156" t="n">
        <v>3</v>
      </c>
      <c r="AG227" s="156" t="inlineStr">
        <is>
          <t>Evidence backed</t>
        </is>
      </c>
    </row>
    <row r="228" ht="75" customHeight="1" s="114">
      <c r="A228" s="156" t="n">
        <v>224</v>
      </c>
      <c r="B228" s="156" t="inlineStr">
        <is>
          <t>WOLVES HAND Co., Ltd.</t>
        </is>
      </c>
      <c r="C228" s="156" t="inlineStr">
        <is>
          <t>株式会社WOLVES HAND</t>
        </is>
      </c>
      <c r="D228" s="156" t="inlineStr">
        <is>
          <t>Not found (NTA lookup blocked; dedupe by Japanese name)</t>
        </is>
      </c>
      <c r="E228" s="156" t="inlineStr">
        <is>
          <t>Osaka</t>
        </is>
      </c>
      <c r="F228" s="156" t="inlineStr">
        <is>
          <t>Kansai</t>
        </is>
      </c>
      <c r="G228" s="157" t="inlineStr">
        <is>
          <t>https://wolveshand.jp/</t>
        </is>
      </c>
      <c r="H228" s="156" t="inlineStr">
        <is>
          <t>End user (animal hospital group)</t>
        </is>
      </c>
      <c r="I228" s="156" t="inlineStr">
        <is>
          <t>Not identified</t>
        </is>
      </c>
      <c r="J228" s="156" t="inlineStr">
        <is>
          <t>Companion</t>
        </is>
      </c>
      <c r="K228" s="156" t="inlineStr">
        <is>
          <t>Kansai, Kanto, Okinawa</t>
        </is>
      </c>
      <c r="L228" s="156" t="inlineStr">
        <is>
          <t>Not found</t>
        </is>
      </c>
      <c r="M228" s="156" t="inlineStr">
        <is>
          <t>29 (AHHD 2021) incl. 9 in Osaka</t>
        </is>
      </c>
      <c r="N228" s="156" t="inlineStr">
        <is>
          <t>Not identified</t>
        </is>
      </c>
      <c r="O228" s="156" t="inlineStr">
        <is>
          <t>Not identified</t>
        </is>
      </c>
      <c r="P228" s="156" t="inlineStr">
        <is>
          <t>Not published; inquiry form: https://wolveshand.jp/ir/</t>
        </is>
      </c>
      <c r="Q228" s="156" t="inlineStr">
        <is>
          <t>06 6599 9106</t>
        </is>
      </c>
      <c r="R228" s="156" t="inlineStr">
        <is>
          <t>Not identified</t>
        </is>
      </c>
      <c r="S228" s="156" t="inlineStr">
        <is>
          <t>Company inquiry only (form)</t>
        </is>
      </c>
      <c r="T228" s="158">
        <f>SUM(Z228:AF228)</f>
        <v>18</v>
      </c>
      <c r="U228" s="164" t="inlineStr">
        <is>
          <t>V5</t>
        </is>
      </c>
      <c r="V228" s="156" t="inlineStr">
        <is>
          <t>Listed group (EDINET filer) with Osaka as its largest cluster.</t>
        </is>
      </c>
      <c r="W228" s="156" t="inlineStr">
        <is>
          <t>Fleet evaluation: 30 day placement in two sites, then a group standard.</t>
        </is>
      </c>
      <c r="X228" s="156" t="inlineStr">
        <is>
          <t>Not checked (human list not in v17)</t>
        </is>
      </c>
      <c r="Y228" s="156" t="inlineStr">
        <is>
          <t>https://ahhd.jp/I0000003 ; https://edinetdb.jp/company/E39640/text?fy=2024 ; https://wolveshand.jp/ir/</t>
        </is>
      </c>
      <c r="Z228" s="156" t="n">
        <v>1</v>
      </c>
      <c r="AA228" s="156" t="n">
        <v>4</v>
      </c>
      <c r="AB228" s="156" t="n">
        <v>3</v>
      </c>
      <c r="AC228" s="156" t="n">
        <v>5</v>
      </c>
      <c r="AD228" s="156" t="n">
        <v>1</v>
      </c>
      <c r="AE228" s="156" t="n">
        <v>1</v>
      </c>
      <c r="AF228" s="156" t="n">
        <v>3</v>
      </c>
      <c r="AG228" s="156" t="inlineStr">
        <is>
          <t>Evidence backed</t>
        </is>
      </c>
    </row>
    <row r="229" ht="75" customHeight="1" s="114">
      <c r="A229" s="156" t="n">
        <v>225</v>
      </c>
      <c r="B229" s="156" t="inlineStr">
        <is>
          <t>ALLONE Animal Hospital Group (FOR Inc.)</t>
        </is>
      </c>
      <c r="C229" s="156" t="inlineStr">
        <is>
          <t>ALLONE動物病院グループ (株式会社FOR)</t>
        </is>
      </c>
      <c r="D229" s="156" t="inlineStr">
        <is>
          <t>Not found (NTA lookup blocked; dedupe by Japanese name)</t>
        </is>
      </c>
      <c r="E229" s="156" t="inlineStr">
        <is>
          <t>Tokyo</t>
        </is>
      </c>
      <c r="F229" s="156" t="inlineStr">
        <is>
          <t>Kanto</t>
        </is>
      </c>
      <c r="G229" s="157" t="inlineStr">
        <is>
          <t>https://allone-ah.co.jp</t>
        </is>
      </c>
      <c r="H229" s="156" t="inlineStr">
        <is>
          <t>End user (animal hospital group)</t>
        </is>
      </c>
      <c r="I229" s="156" t="inlineStr">
        <is>
          <t>Not identified</t>
        </is>
      </c>
      <c r="J229" s="156" t="inlineStr">
        <is>
          <t>Companion</t>
        </is>
      </c>
      <c r="K229" s="156" t="inlineStr">
        <is>
          <t>Tokyo and Kanagawa</t>
        </is>
      </c>
      <c r="L229" s="156" t="inlineStr">
        <is>
          <t>Not found</t>
        </is>
      </c>
      <c r="M229" s="156" t="inlineStr">
        <is>
          <t>6 to 7</t>
        </is>
      </c>
      <c r="N229" s="156" t="inlineStr">
        <is>
          <t>Not identified</t>
        </is>
      </c>
      <c r="O229" s="156" t="inlineStr">
        <is>
          <t>Not identified</t>
        </is>
      </c>
      <c r="P229" s="156" t="inlineStr">
        <is>
          <t>info@allone-ah.co.jp</t>
        </is>
      </c>
      <c r="Q229" s="156" t="inlineStr">
        <is>
          <t>Not found (use site)</t>
        </is>
      </c>
      <c r="R229" s="156" t="inlineStr">
        <is>
          <t>Not identified</t>
        </is>
      </c>
      <c r="S229" s="156" t="inlineStr">
        <is>
          <t>Verified (published on own site, read via search); published in site terms for link requests, ask to forward</t>
        </is>
      </c>
      <c r="T229" s="158">
        <f>SUM(Z229:AF229)</f>
        <v>18</v>
      </c>
      <c r="U229" s="164" t="inlineStr">
        <is>
          <t>V5</t>
        </is>
      </c>
      <c r="V229" s="156" t="inlineStr">
        <is>
          <t>Young group (2017) growing across Tokyo and Kanagawa.</t>
        </is>
      </c>
      <c r="W229" s="156" t="inlineStr">
        <is>
          <t>Fleet evaluation: 30 day placement in two sites, then a group standard.</t>
        </is>
      </c>
      <c r="X229" s="156" t="inlineStr">
        <is>
          <t>Not checked (human list not in v17)</t>
        </is>
      </c>
      <c r="Y229" s="156" t="inlineStr">
        <is>
          <t>https://allone-ah.co.jp/company ; https://allone-ah.co.jp/terms ; https://allone-ah.co.jp/contact</t>
        </is>
      </c>
      <c r="Z229" s="156" t="n">
        <v>1</v>
      </c>
      <c r="AA229" s="156" t="n">
        <v>4</v>
      </c>
      <c r="AB229" s="156" t="n">
        <v>3</v>
      </c>
      <c r="AC229" s="156" t="n">
        <v>5</v>
      </c>
      <c r="AD229" s="156" t="n">
        <v>1</v>
      </c>
      <c r="AE229" s="156" t="n">
        <v>1</v>
      </c>
      <c r="AF229" s="156" t="n">
        <v>3</v>
      </c>
      <c r="AG229" s="156" t="inlineStr">
        <is>
          <t>Evidence backed</t>
        </is>
      </c>
    </row>
    <row r="230" ht="75" customHeight="1" s="114">
      <c r="A230" s="156" t="n">
        <v>226</v>
      </c>
      <c r="B230" s="156" t="inlineStr">
        <is>
          <t>Ai Animal Medical Center Group</t>
        </is>
      </c>
      <c r="C230" s="156" t="inlineStr">
        <is>
          <t>アイ動物医療センターグループ</t>
        </is>
      </c>
      <c r="D230" s="156" t="inlineStr">
        <is>
          <t>Not found (NTA lookup blocked; dedupe by Japanese name)</t>
        </is>
      </c>
      <c r="E230" s="156" t="inlineStr">
        <is>
          <t>Ibaraki</t>
        </is>
      </c>
      <c r="F230" s="156" t="inlineStr">
        <is>
          <t>Kanto</t>
        </is>
      </c>
      <c r="G230" s="157" t="inlineStr">
        <is>
          <t>https://www.aitom.jp/</t>
        </is>
      </c>
      <c r="H230" s="156" t="inlineStr">
        <is>
          <t>End user (animal hospital group)</t>
        </is>
      </c>
      <c r="I230" s="156" t="inlineStr">
        <is>
          <t>Not identified</t>
        </is>
      </c>
      <c r="J230" s="156" t="inlineStr">
        <is>
          <t>Companion</t>
        </is>
      </c>
      <c r="K230" s="156" t="inlineStr">
        <is>
          <t>Ibaraki</t>
        </is>
      </c>
      <c r="L230" s="156" t="inlineStr">
        <is>
          <t>Not found</t>
        </is>
      </c>
      <c r="M230" s="156" t="inlineStr">
        <is>
          <t>6</t>
        </is>
      </c>
      <c r="N230" s="156" t="inlineStr">
        <is>
          <t>Not identified</t>
        </is>
      </c>
      <c r="O230" s="156" t="inlineStr">
        <is>
          <t>Not identified</t>
        </is>
      </c>
      <c r="P230" s="156" t="inlineStr">
        <is>
          <t>Not published; phone only</t>
        </is>
      </c>
      <c r="Q230" s="156" t="inlineStr">
        <is>
          <t>0293 24 3535 (Takahagi main)</t>
        </is>
      </c>
      <c r="R230" s="156" t="inlineStr">
        <is>
          <t>Not identified</t>
        </is>
      </c>
      <c r="S230" s="156" t="inlineStr">
        <is>
          <t>Company inquiry only (phone)</t>
        </is>
      </c>
      <c r="T230" s="158">
        <f>SUM(Z230:AF230)</f>
        <v>18</v>
      </c>
      <c r="U230" s="164" t="inlineStr">
        <is>
          <t>V5</t>
        </is>
      </c>
      <c r="V230" s="156" t="inlineStr">
        <is>
          <t>Six hospital Ibaraki group offering advanced care. FLAG: Part of MiraiVets/JPAC.</t>
        </is>
      </c>
      <c r="W230" s="156" t="inlineStr">
        <is>
          <t>Fleet evaluation: 30 day placement in two sites, then a group standard.</t>
        </is>
      </c>
      <c r="X230" s="156" t="inlineStr">
        <is>
          <t>Not checked (human list not in v17)</t>
        </is>
      </c>
      <c r="Y230" s="156" t="inlineStr">
        <is>
          <t>https://www.aitom.jp/about/ ; https://www.ondeck.jp/library/interview/20468</t>
        </is>
      </c>
      <c r="Z230" s="156" t="n">
        <v>1</v>
      </c>
      <c r="AA230" s="156" t="n">
        <v>4</v>
      </c>
      <c r="AB230" s="156" t="n">
        <v>3</v>
      </c>
      <c r="AC230" s="156" t="n">
        <v>5</v>
      </c>
      <c r="AD230" s="156" t="n">
        <v>1</v>
      </c>
      <c r="AE230" s="156" t="n">
        <v>1</v>
      </c>
      <c r="AF230" s="156" t="n">
        <v>3</v>
      </c>
      <c r="AG230" s="156" t="inlineStr">
        <is>
          <t>Evidence backed</t>
        </is>
      </c>
    </row>
    <row r="231" ht="75" customHeight="1" s="114">
      <c r="A231" s="156" t="n">
        <v>227</v>
      </c>
      <c r="B231" s="156" t="inlineStr">
        <is>
          <t>Anicom Senshin Iryo Kenkyusho / Anicom Pafe</t>
        </is>
      </c>
      <c r="C231" s="156" t="inlineStr">
        <is>
          <t>アニコム先進医療研究所株式会社 / アニコム パフェ株式会社</t>
        </is>
      </c>
      <c r="D231" s="156" t="inlineStr">
        <is>
          <t>Not found (NTA lookup blocked; dedupe by Japanese name)</t>
        </is>
      </c>
      <c r="E231" s="156" t="inlineStr">
        <is>
          <t>Tokyo</t>
        </is>
      </c>
      <c r="F231" s="156" t="inlineStr">
        <is>
          <t>Kanto</t>
        </is>
      </c>
      <c r="G231" s="157" t="inlineStr">
        <is>
          <t>https://www.anicom-pafe.com</t>
        </is>
      </c>
      <c r="H231" s="156" t="inlineStr">
        <is>
          <t>End user (animal hospital group)</t>
        </is>
      </c>
      <c r="I231" s="156" t="inlineStr">
        <is>
          <t>Not identified</t>
        </is>
      </c>
      <c r="J231" s="156" t="inlineStr">
        <is>
          <t>Companion</t>
        </is>
      </c>
      <c r="K231" s="156" t="inlineStr">
        <is>
          <t>National</t>
        </is>
      </c>
      <c r="L231" s="156" t="inlineStr">
        <is>
          <t>Not found</t>
        </is>
      </c>
      <c r="M231" s="156" t="inlineStr">
        <is>
          <t>17 (2021); Anicom group runs 50 plus</t>
        </is>
      </c>
      <c r="N231" s="156" t="inlineStr">
        <is>
          <t>Not identified</t>
        </is>
      </c>
      <c r="O231" s="156" t="inlineStr">
        <is>
          <t>Not identified</t>
        </is>
      </c>
      <c r="P231" s="156" t="inlineStr">
        <is>
          <t>Not published; inquiry form: https://www.anicom-pafe.com/inquiry.html</t>
        </is>
      </c>
      <c r="Q231" s="156" t="inlineStr">
        <is>
          <t>0570 09 1212 (opening support)</t>
        </is>
      </c>
      <c r="R231" s="156" t="inlineStr">
        <is>
          <t>Not identified</t>
        </is>
      </c>
      <c r="S231" s="156" t="inlineStr">
        <is>
          <t>Company inquiry only (form)</t>
        </is>
      </c>
      <c r="T231" s="158">
        <f>SUM(Z231:AF231)</f>
        <v>18</v>
      </c>
      <c r="U231" s="164" t="inlineStr">
        <is>
          <t>V5</t>
        </is>
      </c>
      <c r="V231" s="156" t="inlineStr">
        <is>
          <t>Insurer owned hospital network plus a clinic opening support arm.</t>
        </is>
      </c>
      <c r="W231" s="156" t="inlineStr">
        <is>
          <t>Fleet evaluation: 30 day placement in two sites, then a group standard.</t>
        </is>
      </c>
      <c r="X231" s="156" t="inlineStr">
        <is>
          <t>Not checked (human list not in v17)</t>
        </is>
      </c>
      <c r="Y231" s="156" t="inlineStr">
        <is>
          <t>https://ahhd.jp/I0000003 ; https://www.anicom-pafe.com/hospital/openingsupport.html ; https://www.anicom-pafe.com/inquiry.html</t>
        </is>
      </c>
      <c r="Z231" s="156" t="n">
        <v>1</v>
      </c>
      <c r="AA231" s="156" t="n">
        <v>4</v>
      </c>
      <c r="AB231" s="156" t="n">
        <v>3</v>
      </c>
      <c r="AC231" s="156" t="n">
        <v>5</v>
      </c>
      <c r="AD231" s="156" t="n">
        <v>1</v>
      </c>
      <c r="AE231" s="156" t="n">
        <v>1</v>
      </c>
      <c r="AF231" s="156" t="n">
        <v>3</v>
      </c>
      <c r="AG231" s="156" t="inlineStr">
        <is>
          <t>Evidence backed</t>
        </is>
      </c>
    </row>
    <row r="232" ht="75" customHeight="1" s="114">
      <c r="A232" s="156" t="n">
        <v>228</v>
      </c>
      <c r="B232" s="156" t="inlineStr">
        <is>
          <t>Fanimedic Animal Medical Group</t>
        </is>
      </c>
      <c r="C232" s="156" t="inlineStr">
        <is>
          <t>ファニメディック動物医療グループ</t>
        </is>
      </c>
      <c r="D232" s="156" t="inlineStr">
        <is>
          <t>Not found (NTA lookup blocked; dedupe by Japanese name)</t>
        </is>
      </c>
      <c r="E232" s="156" t="inlineStr">
        <is>
          <t>Chiba</t>
        </is>
      </c>
      <c r="F232" s="156" t="inlineStr">
        <is>
          <t>Kanto</t>
        </is>
      </c>
      <c r="G232" s="157" t="inlineStr">
        <is>
          <t>https://www.fanimedic-ah.com</t>
        </is>
      </c>
      <c r="H232" s="156" t="inlineStr">
        <is>
          <t>End user (animal hospital group)</t>
        </is>
      </c>
      <c r="I232" s="156" t="inlineStr">
        <is>
          <t>Not identified</t>
        </is>
      </c>
      <c r="J232" s="156" t="inlineStr">
        <is>
          <t>Companion</t>
        </is>
      </c>
      <c r="K232" s="156" t="inlineStr">
        <is>
          <t>Chiba, Tokyo, Saitama</t>
        </is>
      </c>
      <c r="L232" s="156" t="inlineStr">
        <is>
          <t>Not found</t>
        </is>
      </c>
      <c r="M232" s="156" t="inlineStr">
        <is>
          <t>About 20</t>
        </is>
      </c>
      <c r="N232" s="156" t="inlineStr">
        <is>
          <t>Not identified</t>
        </is>
      </c>
      <c r="O232" s="156" t="inlineStr">
        <is>
          <t>Not identified</t>
        </is>
      </c>
      <c r="P232" s="156" t="inlineStr">
        <is>
          <t>Not published; inquiry form: https://www.fanimedic.com/about-us.php</t>
        </is>
      </c>
      <c r="Q232" s="156" t="inlineStr">
        <is>
          <t>04 7158 9722 (management office)</t>
        </is>
      </c>
      <c r="R232" s="156" t="inlineStr">
        <is>
          <t>Not identified</t>
        </is>
      </c>
      <c r="S232" s="156" t="inlineStr">
        <is>
          <t>Company inquiry only (form)</t>
        </is>
      </c>
      <c r="T232" s="158">
        <f>SUM(Z232:AF232)</f>
        <v>18</v>
      </c>
      <c r="U232" s="164" t="inlineStr">
        <is>
          <t>V5</t>
        </is>
      </c>
      <c r="V232" s="156" t="inlineStr">
        <is>
          <t>About 20 hospitals incl. three advanced centres.</t>
        </is>
      </c>
      <c r="W232" s="156" t="inlineStr">
        <is>
          <t>Fleet evaluation: 30 day placement in two sites, then a group standard.</t>
        </is>
      </c>
      <c r="X232" s="156" t="inlineStr">
        <is>
          <t>Not checked (human list not in v17)</t>
        </is>
      </c>
      <c r="Y232" s="156" t="inlineStr">
        <is>
          <t>https://www.fanimedic-ah.com/group-hospitals/ ; https://www.fanimedic.com/about-us.php</t>
        </is>
      </c>
      <c r="Z232" s="156" t="n">
        <v>1</v>
      </c>
      <c r="AA232" s="156" t="n">
        <v>4</v>
      </c>
      <c r="AB232" s="156" t="n">
        <v>3</v>
      </c>
      <c r="AC232" s="156" t="n">
        <v>5</v>
      </c>
      <c r="AD232" s="156" t="n">
        <v>1</v>
      </c>
      <c r="AE232" s="156" t="n">
        <v>1</v>
      </c>
      <c r="AF232" s="156" t="n">
        <v>3</v>
      </c>
      <c r="AG232" s="156" t="inlineStr">
        <is>
          <t>Evidence backed</t>
        </is>
      </c>
    </row>
    <row r="233" ht="75" customHeight="1" s="114">
      <c r="A233" s="156" t="n">
        <v>229</v>
      </c>
      <c r="B233" s="156" t="inlineStr">
        <is>
          <t>Inagaki Animal Hospital</t>
        </is>
      </c>
      <c r="C233" s="156" t="inlineStr">
        <is>
          <t>いながき動物病院</t>
        </is>
      </c>
      <c r="D233" s="156" t="inlineStr">
        <is>
          <t>Not found (NTA lookup blocked; dedupe by Japanese name)</t>
        </is>
      </c>
      <c r="E233" s="156" t="inlineStr">
        <is>
          <t>Saitama</t>
        </is>
      </c>
      <c r="F233" s="156" t="inlineStr">
        <is>
          <t>Kanto</t>
        </is>
      </c>
      <c r="G233" s="157" t="inlineStr">
        <is>
          <t>https://inagakiah.com/</t>
        </is>
      </c>
      <c r="H233" s="156" t="inlineStr">
        <is>
          <t>End user (animal hospital group)</t>
        </is>
      </c>
      <c r="I233" s="156" t="inlineStr">
        <is>
          <t>Not identified</t>
        </is>
      </c>
      <c r="J233" s="156" t="inlineStr">
        <is>
          <t>Companion</t>
        </is>
      </c>
      <c r="K233" s="156" t="inlineStr">
        <is>
          <t>Saitama, Gunma, Chiba, Ibaraki</t>
        </is>
      </c>
      <c r="L233" s="156" t="inlineStr">
        <is>
          <t>Not found</t>
        </is>
      </c>
      <c r="M233" s="156" t="inlineStr">
        <is>
          <t>6 plus (Koshigaya main and branches)</t>
        </is>
      </c>
      <c r="N233" s="156" t="inlineStr">
        <is>
          <t>Not identified</t>
        </is>
      </c>
      <c r="O233" s="156" t="inlineStr">
        <is>
          <t>Not identified</t>
        </is>
      </c>
      <c r="P233" s="156" t="inlineStr">
        <is>
          <t>Not published; inquiry form: https://inagakiah.com/contact/</t>
        </is>
      </c>
      <c r="Q233" s="156" t="inlineStr">
        <is>
          <t>080 7715 7321</t>
        </is>
      </c>
      <c r="R233" s="156" t="inlineStr">
        <is>
          <t>Not identified</t>
        </is>
      </c>
      <c r="S233" s="156" t="inlineStr">
        <is>
          <t>Company inquiry only (form)</t>
        </is>
      </c>
      <c r="T233" s="158">
        <f>SUM(Z233:AF233)</f>
        <v>18</v>
      </c>
      <c r="U233" s="164" t="inlineStr">
        <is>
          <t>V5</t>
        </is>
      </c>
      <c r="V233" s="156" t="inlineStr">
        <is>
          <t>Multi branch TNR focused group across North Kanto.</t>
        </is>
      </c>
      <c r="W233" s="156" t="inlineStr">
        <is>
          <t>Fleet evaluation: 30 day placement in two sites, then a group standard.</t>
        </is>
      </c>
      <c r="X233" s="156" t="inlineStr">
        <is>
          <t>Not checked (human list not in v17)</t>
        </is>
      </c>
      <c r="Y233" s="156" t="inlineStr">
        <is>
          <t>https://inagakiah.com/ ; https://inagakiah.com/contact/</t>
        </is>
      </c>
      <c r="Z233" s="156" t="n">
        <v>1</v>
      </c>
      <c r="AA233" s="156" t="n">
        <v>4</v>
      </c>
      <c r="AB233" s="156" t="n">
        <v>3</v>
      </c>
      <c r="AC233" s="156" t="n">
        <v>5</v>
      </c>
      <c r="AD233" s="156" t="n">
        <v>1</v>
      </c>
      <c r="AE233" s="156" t="n">
        <v>1</v>
      </c>
      <c r="AF233" s="156" t="n">
        <v>3</v>
      </c>
      <c r="AG233" s="156" t="inlineStr">
        <is>
          <t>Evidence backed</t>
        </is>
      </c>
    </row>
    <row r="234" ht="75" customHeight="1" s="114">
      <c r="A234" s="156" t="n">
        <v>230</v>
      </c>
      <c r="B234" s="156" t="inlineStr">
        <is>
          <t>JPR Co., Ltd. (Primo Animal Hospital Group)</t>
        </is>
      </c>
      <c r="C234" s="156" t="inlineStr">
        <is>
          <t>株式会社JPR (プリモ動物病院グループ)</t>
        </is>
      </c>
      <c r="D234" s="156" t="inlineStr">
        <is>
          <t>Not found (NTA lookup blocked; dedupe by Japanese name)</t>
        </is>
      </c>
      <c r="E234" s="156" t="inlineStr">
        <is>
          <t>Tokyo</t>
        </is>
      </c>
      <c r="F234" s="156" t="inlineStr">
        <is>
          <t>Kanto</t>
        </is>
      </c>
      <c r="G234" s="157" t="inlineStr">
        <is>
          <t>https://www.primo-ah.com/</t>
        </is>
      </c>
      <c r="H234" s="156" t="inlineStr">
        <is>
          <t>End user (animal hospital group)</t>
        </is>
      </c>
      <c r="I234" s="156" t="inlineStr">
        <is>
          <t>Not identified</t>
        </is>
      </c>
      <c r="J234" s="156" t="inlineStr">
        <is>
          <t>Companion</t>
        </is>
      </c>
      <c r="K234" s="156" t="inlineStr">
        <is>
          <t>Sagamihara, Machida, Atsugi, Totsuka, Nerima; Miyagi</t>
        </is>
      </c>
      <c r="L234" s="156" t="inlineStr">
        <is>
          <t>Not found</t>
        </is>
      </c>
      <c r="M234" s="156" t="inlineStr">
        <is>
          <t>11 plus Sendai Higashi</t>
        </is>
      </c>
      <c r="N234" s="156" t="inlineStr">
        <is>
          <t>Not identified</t>
        </is>
      </c>
      <c r="O234" s="156" t="inlineStr">
        <is>
          <t>Not identified</t>
        </is>
      </c>
      <c r="P234" s="156" t="inlineStr">
        <is>
          <t>Not published; inquiry form: https://www.primo-ah.com/about/</t>
        </is>
      </c>
      <c r="Q234" s="156" t="inlineStr">
        <is>
          <t>042 860 6980</t>
        </is>
      </c>
      <c r="R234" s="156" t="inlineStr">
        <is>
          <t>Not identified</t>
        </is>
      </c>
      <c r="S234" s="156" t="inlineStr">
        <is>
          <t>Company inquiry only (form); operator confirmed as 株式会社JPR, Machida, Tokyo</t>
        </is>
      </c>
      <c r="T234" s="158">
        <f>SUM(Z234:AF234)</f>
        <v>18</v>
      </c>
      <c r="U234" s="164" t="inlineStr">
        <is>
          <t>V5</t>
        </is>
      </c>
      <c r="V234" s="156" t="inlineStr">
        <is>
          <t>Eleven hospital Kanagawa group that expanded to Sendai by succession in 2026. NOTE: operator confirmed as 株式会社JPR on recheck (one older source shows JPB株式会社); HQ Tokyo.</t>
        </is>
      </c>
      <c r="W234" s="156" t="inlineStr">
        <is>
          <t>Fleet evaluation: 30 day placement in two sites, then a group standard.</t>
        </is>
      </c>
      <c r="X234" s="156" t="inlineStr">
        <is>
          <t>Not checked (human list not in v17)</t>
        </is>
      </c>
      <c r="Y234" s="156" t="inlineStr">
        <is>
          <t>https://www.primo-ah.com/ ; https://sendaihigashi.jpbvet.com/ ; https://www.primo-ah.com/about/</t>
        </is>
      </c>
      <c r="Z234" s="156" t="n">
        <v>1</v>
      </c>
      <c r="AA234" s="156" t="n">
        <v>4</v>
      </c>
      <c r="AB234" s="156" t="n">
        <v>3</v>
      </c>
      <c r="AC234" s="156" t="n">
        <v>5</v>
      </c>
      <c r="AD234" s="156" t="n">
        <v>1</v>
      </c>
      <c r="AE234" s="156" t="n">
        <v>1</v>
      </c>
      <c r="AF234" s="156" t="n">
        <v>3</v>
      </c>
      <c r="AG234" s="156" t="inlineStr">
        <is>
          <t>Evidence backed</t>
        </is>
      </c>
    </row>
    <row r="235" ht="75" customHeight="1" s="114">
      <c r="A235" s="156" t="n">
        <v>231</v>
      </c>
      <c r="B235" s="156" t="inlineStr">
        <is>
          <t>Lifemate Animal Hospital Group</t>
        </is>
      </c>
      <c r="C235" s="156" t="inlineStr">
        <is>
          <t>ライフメイト動物病院グループ</t>
        </is>
      </c>
      <c r="D235" s="156" t="inlineStr">
        <is>
          <t>Not found (NTA lookup blocked; dedupe by Japanese name)</t>
        </is>
      </c>
      <c r="E235" s="156" t="inlineStr">
        <is>
          <t>Tokyo</t>
        </is>
      </c>
      <c r="F235" s="156" t="inlineStr">
        <is>
          <t>Kanto</t>
        </is>
      </c>
      <c r="G235" s="157" t="inlineStr">
        <is>
          <t>https://lifemate-vh.com/</t>
        </is>
      </c>
      <c r="H235" s="156" t="inlineStr">
        <is>
          <t>End user (animal hospital group)</t>
        </is>
      </c>
      <c r="I235" s="156" t="inlineStr">
        <is>
          <t>Not identified</t>
        </is>
      </c>
      <c r="J235" s="156" t="inlineStr">
        <is>
          <t>Companion</t>
        </is>
      </c>
      <c r="K235" s="156" t="inlineStr">
        <is>
          <t>Kanto and Hokkaido</t>
        </is>
      </c>
      <c r="L235" s="156" t="inlineStr">
        <is>
          <t>Not found</t>
        </is>
      </c>
      <c r="M235" s="156" t="inlineStr">
        <is>
          <t>9</t>
        </is>
      </c>
      <c r="N235" s="156" t="inlineStr">
        <is>
          <t>Not identified</t>
        </is>
      </c>
      <c r="O235" s="156" t="inlineStr">
        <is>
          <t>Not identified</t>
        </is>
      </c>
      <c r="P235" s="156" t="inlineStr">
        <is>
          <t>Not published; inquiry form: https://lifemate-vh.com/company-info/</t>
        </is>
      </c>
      <c r="Q235" s="156" t="inlineStr">
        <is>
          <t>03 3909 4444 (per job site)</t>
        </is>
      </c>
      <c r="R235" s="156" t="inlineStr">
        <is>
          <t>Not identified</t>
        </is>
      </c>
      <c r="S235" s="156" t="inlineStr">
        <is>
          <t>Company inquiry only (form); operator 株式会社LVG, Minato, Tokyo</t>
        </is>
      </c>
      <c r="T235" s="158">
        <f>SUM(Z235:AF235)</f>
        <v>18</v>
      </c>
      <c r="U235" s="164" t="inlineStr">
        <is>
          <t>V5</t>
        </is>
      </c>
      <c r="V235" s="156" t="inlineStr">
        <is>
          <t>Nine hospitals across Kanto and Hokkaido. FLAG: HQ prefecture assumed Tokyo; confirm.</t>
        </is>
      </c>
      <c r="W235" s="156" t="inlineStr">
        <is>
          <t>Fleet evaluation: 30 day placement in two sites, then a group standard.</t>
        </is>
      </c>
      <c r="X235" s="156" t="inlineStr">
        <is>
          <t>Not checked (human list not in v17)</t>
        </is>
      </c>
      <c r="Y235" s="156" t="inlineStr">
        <is>
          <t>https://lifemate-vh.com/ ; https://lifemate-vh.com/company-info/</t>
        </is>
      </c>
      <c r="Z235" s="156" t="n">
        <v>1</v>
      </c>
      <c r="AA235" s="156" t="n">
        <v>4</v>
      </c>
      <c r="AB235" s="156" t="n">
        <v>3</v>
      </c>
      <c r="AC235" s="156" t="n">
        <v>5</v>
      </c>
      <c r="AD235" s="156" t="n">
        <v>1</v>
      </c>
      <c r="AE235" s="156" t="n">
        <v>1</v>
      </c>
      <c r="AF235" s="156" t="n">
        <v>3</v>
      </c>
      <c r="AG235" s="156" t="inlineStr">
        <is>
          <t>Evidence backed</t>
        </is>
      </c>
    </row>
    <row r="236" ht="75" customHeight="1" s="114">
      <c r="A236" s="156" t="n">
        <v>232</v>
      </c>
      <c r="B236" s="156" t="inlineStr">
        <is>
          <t>Minami Animal Hospital Group</t>
        </is>
      </c>
      <c r="C236" s="156" t="inlineStr">
        <is>
          <t>南動物病院グループ (minami ahg)</t>
        </is>
      </c>
      <c r="D236" s="156" t="inlineStr">
        <is>
          <t>Not found (NTA lookup blocked; dedupe by Japanese name)</t>
        </is>
      </c>
      <c r="E236" s="156" t="inlineStr">
        <is>
          <t>Kanagawa</t>
        </is>
      </c>
      <c r="F236" s="156" t="inlineStr">
        <is>
          <t>Kanto</t>
        </is>
      </c>
      <c r="G236" s="157" t="inlineStr">
        <is>
          <t>https://bayside.minami-ahg.jp/</t>
        </is>
      </c>
      <c r="H236" s="156" t="inlineStr">
        <is>
          <t>End user (animal hospital group)</t>
        </is>
      </c>
      <c r="I236" s="156" t="inlineStr">
        <is>
          <t>Not identified</t>
        </is>
      </c>
      <c r="J236" s="156" t="inlineStr">
        <is>
          <t>Companion</t>
        </is>
      </c>
      <c r="K236" s="156" t="inlineStr">
        <is>
          <t>Yokohama</t>
        </is>
      </c>
      <c r="L236" s="156" t="inlineStr">
        <is>
          <t>Not found</t>
        </is>
      </c>
      <c r="M236" s="156" t="inlineStr">
        <is>
          <t>Multiple</t>
        </is>
      </c>
      <c r="N236" s="156" t="inlineStr">
        <is>
          <t>Not identified</t>
        </is>
      </c>
      <c r="O236" s="156" t="inlineStr">
        <is>
          <t>Not identified</t>
        </is>
      </c>
      <c r="P236" s="156" t="inlineStr">
        <is>
          <t>Not published; phone only</t>
        </is>
      </c>
      <c r="Q236" s="156" t="inlineStr">
        <is>
          <t>045 440 0987 (Bayside clinic)</t>
        </is>
      </c>
      <c r="R236" s="156" t="inlineStr">
        <is>
          <t>Not identified</t>
        </is>
      </c>
      <c r="S236" s="156" t="inlineStr">
        <is>
          <t>Company inquiry only (phone)</t>
        </is>
      </c>
      <c r="T236" s="158">
        <f>SUM(Z236:AF236)</f>
        <v>18</v>
      </c>
      <c r="U236" s="164" t="inlineStr">
        <is>
          <t>V5</t>
        </is>
      </c>
      <c r="V236" s="156" t="inlineStr">
        <is>
          <t>Yokohama group incl. Bayside Animal Clinic. FLAG: Hospital count not confirmed.</t>
        </is>
      </c>
      <c r="W236" s="156" t="inlineStr">
        <is>
          <t>Fleet evaluation: 30 day placement in two sites, then a group standard.</t>
        </is>
      </c>
      <c r="X236" s="156" t="inlineStr">
        <is>
          <t>Not checked (human list not in v17)</t>
        </is>
      </c>
      <c r="Y236" s="156" t="inlineStr">
        <is>
          <t>https://bayside.minami-ahg.jp/ ; https://www.minami-ahg.jp/service/index.html</t>
        </is>
      </c>
      <c r="Z236" s="156" t="n">
        <v>1</v>
      </c>
      <c r="AA236" s="156" t="n">
        <v>4</v>
      </c>
      <c r="AB236" s="156" t="n">
        <v>3</v>
      </c>
      <c r="AC236" s="156" t="n">
        <v>5</v>
      </c>
      <c r="AD236" s="156" t="n">
        <v>1</v>
      </c>
      <c r="AE236" s="156" t="n">
        <v>1</v>
      </c>
      <c r="AF236" s="156" t="n">
        <v>3</v>
      </c>
      <c r="AG236" s="156" t="inlineStr">
        <is>
          <t>Evidence backed</t>
        </is>
      </c>
    </row>
    <row r="237" ht="75" customHeight="1" s="114">
      <c r="A237" s="156" t="n">
        <v>233</v>
      </c>
      <c r="B237" s="156" t="inlineStr">
        <is>
          <t>MiraiVets Partners / Japan Animal Care Holdings (JPAC)</t>
        </is>
      </c>
      <c r="C237" s="156" t="inlineStr">
        <is>
          <t>MiraiVets Partners株式会社 / 株式会社Japan Animal Care Holdings</t>
        </is>
      </c>
      <c r="D237" s="156" t="inlineStr">
        <is>
          <t>Not found (NTA lookup blocked; dedupe by Japanese name)</t>
        </is>
      </c>
      <c r="E237" s="156" t="inlineStr">
        <is>
          <t>Tokyo</t>
        </is>
      </c>
      <c r="F237" s="156" t="inlineStr">
        <is>
          <t>Kanto</t>
        </is>
      </c>
      <c r="G237" s="157" t="inlineStr">
        <is>
          <t>https://www.jpac.jp/</t>
        </is>
      </c>
      <c r="H237" s="156" t="inlineStr">
        <is>
          <t>End user (animal hospital group)</t>
        </is>
      </c>
      <c r="I237" s="156" t="inlineStr">
        <is>
          <t>Not identified</t>
        </is>
      </c>
      <c r="J237" s="156" t="inlineStr">
        <is>
          <t>Companion</t>
        </is>
      </c>
      <c r="K237" s="156" t="inlineStr">
        <is>
          <t>National</t>
        </is>
      </c>
      <c r="L237" s="156" t="inlineStr">
        <is>
          <t>Not found</t>
        </is>
      </c>
      <c r="M237" s="156" t="inlineStr">
        <is>
          <t>About 50 facilities in 15 prefectures</t>
        </is>
      </c>
      <c r="N237" s="156" t="inlineStr">
        <is>
          <t>Not identified</t>
        </is>
      </c>
      <c r="O237" s="156" t="inlineStr">
        <is>
          <t>Not identified</t>
        </is>
      </c>
      <c r="P237" s="156" t="inlineStr">
        <is>
          <t>info@mail.jpac.jp</t>
        </is>
      </c>
      <c r="Q237" s="156" t="inlineStr">
        <is>
          <t>03 3525 8668</t>
        </is>
      </c>
      <c r="R237" s="156" t="inlineStr">
        <is>
          <t>Not identified</t>
        </is>
      </c>
      <c r="S237" s="156" t="inlineStr">
        <is>
          <t>Verified (published on own site, read via search); PR and marketing dept, from company press release</t>
        </is>
      </c>
      <c r="T237" s="158">
        <f>SUM(Z237:AF237)</f>
        <v>18</v>
      </c>
      <c r="U237" s="164" t="inlineStr">
        <is>
          <t>V5</t>
        </is>
      </c>
      <c r="V237" s="156" t="inlineStr">
        <is>
          <t>Holding formed by JPAC and ANCHORS with about 50 facilities; group purchasing makes a fleet deal possible. FLAG: Group overlap: Elsa, Will and Ai groups below sit inside this holding; agree which entity owns the conversation.</t>
        </is>
      </c>
      <c r="W237" s="156" t="inlineStr">
        <is>
          <t>Fleet evaluation: 30 day placement in two sites, then a group standard.</t>
        </is>
      </c>
      <c r="X237" s="156" t="inlineStr">
        <is>
          <t>Not checked (human list not in v17)</t>
        </is>
      </c>
      <c r="Y237" s="156" t="inlineStr">
        <is>
          <t>https://prtimes.jp/main/html/rd/p/000000001.000183725.html ; https://www.jpac.jp/ ; https://prtimes.jp/main/html/rd/p/000000007.000170012.html</t>
        </is>
      </c>
      <c r="Z237" s="156" t="n">
        <v>1</v>
      </c>
      <c r="AA237" s="156" t="n">
        <v>4</v>
      </c>
      <c r="AB237" s="156" t="n">
        <v>3</v>
      </c>
      <c r="AC237" s="156" t="n">
        <v>5</v>
      </c>
      <c r="AD237" s="156" t="n">
        <v>1</v>
      </c>
      <c r="AE237" s="156" t="n">
        <v>1</v>
      </c>
      <c r="AF237" s="156" t="n">
        <v>3</v>
      </c>
      <c r="AG237" s="156" t="inlineStr">
        <is>
          <t>Evidence backed</t>
        </is>
      </c>
    </row>
    <row r="238" ht="75" customHeight="1" s="114">
      <c r="A238" s="156" t="n">
        <v>234</v>
      </c>
      <c r="B238" s="156" t="inlineStr">
        <is>
          <t>NOSAI Chiba</t>
        </is>
      </c>
      <c r="C238" s="156" t="inlineStr">
        <is>
          <t>千葉県農業共済組合</t>
        </is>
      </c>
      <c r="D238" s="156" t="inlineStr">
        <is>
          <t>Not found (NTA lookup blocked; dedupe by Japanese name)</t>
        </is>
      </c>
      <c r="E238" s="156" t="inlineStr">
        <is>
          <t>Chiba</t>
        </is>
      </c>
      <c r="F238" s="156" t="inlineStr">
        <is>
          <t>Kanto</t>
        </is>
      </c>
      <c r="G238" s="157" t="inlineStr">
        <is>
          <t>https://nosai-chiba.or.jp</t>
        </is>
      </c>
      <c r="H238" s="156" t="inlineStr">
        <is>
          <t>End user (livestock clinic network)</t>
        </is>
      </c>
      <c r="I238" s="156" t="inlineStr">
        <is>
          <t>Not identified</t>
        </is>
      </c>
      <c r="J238" s="156" t="inlineStr">
        <is>
          <t>Large animal</t>
        </is>
      </c>
      <c r="K238" s="156" t="inlineStr">
        <is>
          <t>Chiba livestock clinics</t>
        </is>
      </c>
      <c r="L238" s="156" t="inlineStr">
        <is>
          <t>Not found</t>
        </is>
      </c>
      <c r="M238" s="156" t="inlineStr">
        <is>
          <t>7 livestock clinics</t>
        </is>
      </c>
      <c r="N238" s="156" t="inlineStr">
        <is>
          <t>Not identified</t>
        </is>
      </c>
      <c r="O238" s="156" t="inlineStr">
        <is>
          <t>Not identified</t>
        </is>
      </c>
      <c r="P238" s="156" t="inlineStr">
        <is>
          <t>Not published; phone only</t>
        </is>
      </c>
      <c r="Q238" s="156" t="inlineStr">
        <is>
          <t>043 245 7449</t>
        </is>
      </c>
      <c r="R238" s="156" t="inlineStr">
        <is>
          <t>Not identified</t>
        </is>
      </c>
      <c r="S238" s="156" t="inlineStr">
        <is>
          <t>Company inquiry only (phone)</t>
        </is>
      </c>
      <c r="T238" s="158">
        <f>SUM(Z238:AF238)</f>
        <v>18</v>
      </c>
      <c r="U238" s="164" t="inlineStr">
        <is>
          <t>V5</t>
        </is>
      </c>
      <c r="V238" s="156" t="inlineStr">
        <is>
          <t>Chiba is a top dairy prefecture near Tokyo.</t>
        </is>
      </c>
      <c r="W238" s="156" t="inlineStr">
        <is>
          <t>Field trial of a rugged livestock portable (EBit 50) with clinic vets during pregnancy checks.</t>
        </is>
      </c>
      <c r="X238" s="156" t="inlineStr">
        <is>
          <t>Not checked (human list not in v17)</t>
        </is>
      </c>
      <c r="Y238" s="156" t="inlineStr">
        <is>
          <t>https://nosai-chiba.or.jp/soshiki/shinryo/ ; https://nosai-chiba.or.jp/</t>
        </is>
      </c>
      <c r="Z238" s="156" t="n">
        <v>1</v>
      </c>
      <c r="AA238" s="156" t="n">
        <v>4</v>
      </c>
      <c r="AB238" s="156" t="n">
        <v>3</v>
      </c>
      <c r="AC238" s="156" t="n">
        <v>1</v>
      </c>
      <c r="AD238" s="156" t="n">
        <v>5</v>
      </c>
      <c r="AE238" s="156" t="n">
        <v>1</v>
      </c>
      <c r="AF238" s="156" t="n">
        <v>3</v>
      </c>
      <c r="AG238" s="156" t="inlineStr">
        <is>
          <t>Evidence backed</t>
        </is>
      </c>
    </row>
    <row r="239" ht="75" customHeight="1" s="114">
      <c r="A239" s="156" t="n">
        <v>235</v>
      </c>
      <c r="B239" s="156" t="inlineStr">
        <is>
          <t>NOSAI Gunma</t>
        </is>
      </c>
      <c r="C239" s="156" t="inlineStr">
        <is>
          <t>群馬県農業共済組合</t>
        </is>
      </c>
      <c r="D239" s="156" t="inlineStr">
        <is>
          <t>Not found (NTA lookup blocked; dedupe by Japanese name)</t>
        </is>
      </c>
      <c r="E239" s="156" t="inlineStr">
        <is>
          <t>Gunma</t>
        </is>
      </c>
      <c r="F239" s="156" t="inlineStr">
        <is>
          <t>Kanto</t>
        </is>
      </c>
      <c r="G239" s="156" t="inlineStr">
        <is>
          <t>Not found</t>
        </is>
      </c>
      <c r="H239" s="156" t="inlineStr">
        <is>
          <t>End user (livestock clinic network)</t>
        </is>
      </c>
      <c r="I239" s="156" t="inlineStr">
        <is>
          <t>Not identified</t>
        </is>
      </c>
      <c r="J239" s="156" t="inlineStr">
        <is>
          <t>Large animal</t>
        </is>
      </c>
      <c r="K239" s="156" t="inlineStr">
        <is>
          <t>Gunma livestock clinics</t>
        </is>
      </c>
      <c r="L239" s="156" t="inlineStr">
        <is>
          <t>Not found</t>
        </is>
      </c>
      <c r="M239" s="156" t="inlineStr">
        <is>
          <t>Livestock clinics (count not confirmed)</t>
        </is>
      </c>
      <c r="N239" s="156" t="inlineStr">
        <is>
          <t>Not identified</t>
        </is>
      </c>
      <c r="O239" s="156" t="inlineStr">
        <is>
          <t>Not identified</t>
        </is>
      </c>
      <c r="P239" s="156" t="inlineStr">
        <is>
          <t>Not published; phone only</t>
        </is>
      </c>
      <c r="Q239" s="156" t="inlineStr">
        <is>
          <t>027 251 5631</t>
        </is>
      </c>
      <c r="R239" s="156" t="inlineStr">
        <is>
          <t>Not identified</t>
        </is>
      </c>
      <c r="S239" s="156" t="inlineStr">
        <is>
          <t>Company inquiry only (phone)</t>
        </is>
      </c>
      <c r="T239" s="158">
        <f>SUM(Z239:AF239)</f>
        <v>18</v>
      </c>
      <c r="U239" s="164" t="inlineStr">
        <is>
          <t>V5</t>
        </is>
      </c>
      <c r="V239" s="156" t="inlineStr">
        <is>
          <t>Gunma is a major dairy and pig prefecture north of Tokyo.</t>
        </is>
      </c>
      <c r="W239" s="156" t="inlineStr">
        <is>
          <t>Field trial of a rugged livestock portable (EBit 50) with clinic vets during pregnancy checks.</t>
        </is>
      </c>
      <c r="X239" s="156" t="inlineStr">
        <is>
          <t>Not checked (human list not in v17)</t>
        </is>
      </c>
      <c r="Y239" s="156" t="inlineStr">
        <is>
          <t>https://www.maff.go.jp/j/keiei/nogyohoken/contact.html ; https://www.nosai.or.jp/nosai_kasou/nosai_kakuchi01.html</t>
        </is>
      </c>
      <c r="Z239" s="156" t="n">
        <v>1</v>
      </c>
      <c r="AA239" s="156" t="n">
        <v>4</v>
      </c>
      <c r="AB239" s="156" t="n">
        <v>3</v>
      </c>
      <c r="AC239" s="156" t="n">
        <v>1</v>
      </c>
      <c r="AD239" s="156" t="n">
        <v>5</v>
      </c>
      <c r="AE239" s="156" t="n">
        <v>1</v>
      </c>
      <c r="AF239" s="156" t="n">
        <v>3</v>
      </c>
      <c r="AG239" s="156" t="inlineStr">
        <is>
          <t>Evidence backed</t>
        </is>
      </c>
    </row>
    <row r="240" ht="75" customHeight="1" s="114">
      <c r="A240" s="156" t="n">
        <v>236</v>
      </c>
      <c r="B240" s="156" t="inlineStr">
        <is>
          <t>NOSAI Ibaraki</t>
        </is>
      </c>
      <c r="C240" s="156" t="inlineStr">
        <is>
          <t>茨城県農業共済組合</t>
        </is>
      </c>
      <c r="D240" s="156" t="inlineStr">
        <is>
          <t>Not found (NTA lookup blocked; dedupe by Japanese name)</t>
        </is>
      </c>
      <c r="E240" s="156" t="inlineStr">
        <is>
          <t>Ibaraki</t>
        </is>
      </c>
      <c r="F240" s="156" t="inlineStr">
        <is>
          <t>Kanto</t>
        </is>
      </c>
      <c r="G240" s="157" t="inlineStr">
        <is>
          <t>https://www.ibaraki-nosai.or.jp</t>
        </is>
      </c>
      <c r="H240" s="156" t="inlineStr">
        <is>
          <t>End user (livestock clinic network)</t>
        </is>
      </c>
      <c r="I240" s="156" t="inlineStr">
        <is>
          <t>Not identified</t>
        </is>
      </c>
      <c r="J240" s="156" t="inlineStr">
        <is>
          <t>Large animal</t>
        </is>
      </c>
      <c r="K240" s="156" t="inlineStr">
        <is>
          <t>Ibaraki livestock clinics</t>
        </is>
      </c>
      <c r="L240" s="156" t="inlineStr">
        <is>
          <t>Not found</t>
        </is>
      </c>
      <c r="M240" s="156" t="inlineStr">
        <is>
          <t>Livestock clinic centre (Mito) plus Omitama clinic</t>
        </is>
      </c>
      <c r="N240" s="156" t="inlineStr">
        <is>
          <t>Not identified</t>
        </is>
      </c>
      <c r="O240" s="156" t="inlineStr">
        <is>
          <t>Not identified</t>
        </is>
      </c>
      <c r="P240" s="156" t="inlineStr">
        <is>
          <t>Not published; phone only</t>
        </is>
      </c>
      <c r="Q240" s="156" t="inlineStr">
        <is>
          <t>029 215 8881</t>
        </is>
      </c>
      <c r="R240" s="156" t="inlineStr">
        <is>
          <t>Not identified</t>
        </is>
      </c>
      <c r="S240" s="156" t="inlineStr">
        <is>
          <t>Company inquiry only (phone)</t>
        </is>
      </c>
      <c r="T240" s="158">
        <f>SUM(Z240:AF240)</f>
        <v>18</v>
      </c>
      <c r="U240" s="164" t="inlineStr">
        <is>
          <t>V5</t>
        </is>
      </c>
      <c r="V240" s="156" t="inlineStr">
        <is>
          <t>Consolidated centre model in Ibaraki.</t>
        </is>
      </c>
      <c r="W240" s="156" t="inlineStr">
        <is>
          <t>Field trial of a rugged livestock portable (EBit 50) with clinic vets during pregnancy checks.</t>
        </is>
      </c>
      <c r="X240" s="156" t="inlineStr">
        <is>
          <t>Not checked (human list not in v17)</t>
        </is>
      </c>
      <c r="Y240" s="156" t="inlineStr">
        <is>
          <t>https://ibaraki.lin.gr.jp/chikusan-ibaraki/24-11/11.html ; https://www.maff.go.jp/j/keiei/nogyohoken/contact.html</t>
        </is>
      </c>
      <c r="Z240" s="156" t="n">
        <v>1</v>
      </c>
      <c r="AA240" s="156" t="n">
        <v>4</v>
      </c>
      <c r="AB240" s="156" t="n">
        <v>3</v>
      </c>
      <c r="AC240" s="156" t="n">
        <v>1</v>
      </c>
      <c r="AD240" s="156" t="n">
        <v>5</v>
      </c>
      <c r="AE240" s="156" t="n">
        <v>1</v>
      </c>
      <c r="AF240" s="156" t="n">
        <v>3</v>
      </c>
      <c r="AG240" s="156" t="inlineStr">
        <is>
          <t>Evidence backed</t>
        </is>
      </c>
    </row>
    <row r="241" ht="75" customHeight="1" s="114">
      <c r="A241" s="156" t="n">
        <v>237</v>
      </c>
      <c r="B241" s="156" t="inlineStr">
        <is>
          <t>NOSAI Tochigi</t>
        </is>
      </c>
      <c r="C241" s="156" t="inlineStr">
        <is>
          <t>栃木県農業共済組合</t>
        </is>
      </c>
      <c r="D241" s="156" t="inlineStr">
        <is>
          <t>Not found (NTA lookup blocked; dedupe by Japanese name)</t>
        </is>
      </c>
      <c r="E241" s="156" t="inlineStr">
        <is>
          <t>Tochigi</t>
        </is>
      </c>
      <c r="F241" s="156" t="inlineStr">
        <is>
          <t>Kanto</t>
        </is>
      </c>
      <c r="G241" s="156" t="inlineStr">
        <is>
          <t>Not found</t>
        </is>
      </c>
      <c r="H241" s="156" t="inlineStr">
        <is>
          <t>End user (livestock clinic network)</t>
        </is>
      </c>
      <c r="I241" s="156" t="inlineStr">
        <is>
          <t>Not identified</t>
        </is>
      </c>
      <c r="J241" s="156" t="inlineStr">
        <is>
          <t>Large animal</t>
        </is>
      </c>
      <c r="K241" s="156" t="inlineStr">
        <is>
          <t>Tochigi livestock clinics</t>
        </is>
      </c>
      <c r="L241" s="156" t="inlineStr">
        <is>
          <t>Not found</t>
        </is>
      </c>
      <c r="M241" s="156" t="inlineStr">
        <is>
          <t>Livestock clinics (count not confirmed)</t>
        </is>
      </c>
      <c r="N241" s="156" t="inlineStr">
        <is>
          <t>Not identified</t>
        </is>
      </c>
      <c r="O241" s="156" t="inlineStr">
        <is>
          <t>Not identified</t>
        </is>
      </c>
      <c r="P241" s="156" t="inlineStr">
        <is>
          <t>Not published; phone only</t>
        </is>
      </c>
      <c r="Q241" s="156" t="inlineStr">
        <is>
          <t>028 683 5531</t>
        </is>
      </c>
      <c r="R241" s="156" t="inlineStr">
        <is>
          <t>Not identified</t>
        </is>
      </c>
      <c r="S241" s="156" t="inlineStr">
        <is>
          <t>Company inquiry only (phone)</t>
        </is>
      </c>
      <c r="T241" s="158">
        <f>SUM(Z241:AF241)</f>
        <v>18</v>
      </c>
      <c r="U241" s="164" t="inlineStr">
        <is>
          <t>V5</t>
        </is>
      </c>
      <c r="V241" s="156" t="inlineStr">
        <is>
          <t>Tochigi is Japan's second largest dairy prefecture.</t>
        </is>
      </c>
      <c r="W241" s="156" t="inlineStr">
        <is>
          <t>Field trial of a rugged livestock portable (EBit 50) with clinic vets during pregnancy checks.</t>
        </is>
      </c>
      <c r="X241" s="156" t="inlineStr">
        <is>
          <t>Not checked (human list not in v17)</t>
        </is>
      </c>
      <c r="Y241" s="156" t="inlineStr">
        <is>
          <t>https://www.maff.go.jp/j/keiei/nogyohoken/contact.html ; https://www.nosai.or.jp/nosai_kasou/nosai_kakuchi01.html</t>
        </is>
      </c>
      <c r="Z241" s="156" t="n">
        <v>1</v>
      </c>
      <c r="AA241" s="156" t="n">
        <v>4</v>
      </c>
      <c r="AB241" s="156" t="n">
        <v>3</v>
      </c>
      <c r="AC241" s="156" t="n">
        <v>1</v>
      </c>
      <c r="AD241" s="156" t="n">
        <v>5</v>
      </c>
      <c r="AE241" s="156" t="n">
        <v>1</v>
      </c>
      <c r="AF241" s="156" t="n">
        <v>3</v>
      </c>
      <c r="AG241" s="156" t="inlineStr">
        <is>
          <t>Evidence backed</t>
        </is>
      </c>
    </row>
    <row r="242" ht="75" customHeight="1" s="114">
      <c r="A242" s="156" t="n">
        <v>238</v>
      </c>
      <c r="B242" s="156" t="inlineStr">
        <is>
          <t>Otakibashi Animal Hospital Group</t>
        </is>
      </c>
      <c r="C242" s="156" t="inlineStr">
        <is>
          <t>小滝橋動物病院グループ</t>
        </is>
      </c>
      <c r="D242" s="156" t="inlineStr">
        <is>
          <t>Not found (NTA lookup blocked; dedupe by Japanese name)</t>
        </is>
      </c>
      <c r="E242" s="156" t="inlineStr">
        <is>
          <t>Tokyo</t>
        </is>
      </c>
      <c r="F242" s="156" t="inlineStr">
        <is>
          <t>Kanto</t>
        </is>
      </c>
      <c r="G242" s="157" t="inlineStr">
        <is>
          <t>https://otakibashi.com/</t>
        </is>
      </c>
      <c r="H242" s="156" t="inlineStr">
        <is>
          <t>End user (animal hospital group)</t>
        </is>
      </c>
      <c r="I242" s="156" t="inlineStr">
        <is>
          <t>Not identified</t>
        </is>
      </c>
      <c r="J242" s="156" t="inlineStr">
        <is>
          <t>Companion</t>
        </is>
      </c>
      <c r="K242" s="156" t="inlineStr">
        <is>
          <t>Tokyo and Sapporo</t>
        </is>
      </c>
      <c r="L242" s="156" t="inlineStr">
        <is>
          <t>Not found</t>
        </is>
      </c>
      <c r="M242" s="156" t="inlineStr">
        <is>
          <t>Multiple incl. Sapporo</t>
        </is>
      </c>
      <c r="N242" s="156" t="inlineStr">
        <is>
          <t>Not identified</t>
        </is>
      </c>
      <c r="O242" s="156" t="inlineStr">
        <is>
          <t>Not identified</t>
        </is>
      </c>
      <c r="P242" s="156" t="inlineStr">
        <is>
          <t>Not published; phone only</t>
        </is>
      </c>
      <c r="Q242" s="156" t="inlineStr">
        <is>
          <t>03 5332 6866</t>
        </is>
      </c>
      <c r="R242" s="156" t="inlineStr">
        <is>
          <t>Not identified</t>
        </is>
      </c>
      <c r="S242" s="156" t="inlineStr">
        <is>
          <t>Company inquiry only (phone)</t>
        </is>
      </c>
      <c r="T242" s="158">
        <f>SUM(Z242:AF242)</f>
        <v>18</v>
      </c>
      <c r="U242" s="164" t="inlineStr">
        <is>
          <t>V5</t>
        </is>
      </c>
      <c r="V242" s="156" t="inlineStr">
        <is>
          <t>Tokyo group with a Sapporo hospital.</t>
        </is>
      </c>
      <c r="W242" s="156" t="inlineStr">
        <is>
          <t>Fleet evaluation: 30 day placement in two sites, then a group standard.</t>
        </is>
      </c>
      <c r="X242" s="156" t="inlineStr">
        <is>
          <t>Not checked (human list not in v17)</t>
        </is>
      </c>
      <c r="Y242" s="156" t="inlineStr">
        <is>
          <t>https://medical-space.co.jp/works/area/ ; https://otakibashi.com/information.php</t>
        </is>
      </c>
      <c r="Z242" s="156" t="n">
        <v>1</v>
      </c>
      <c r="AA242" s="156" t="n">
        <v>4</v>
      </c>
      <c r="AB242" s="156" t="n">
        <v>3</v>
      </c>
      <c r="AC242" s="156" t="n">
        <v>5</v>
      </c>
      <c r="AD242" s="156" t="n">
        <v>1</v>
      </c>
      <c r="AE242" s="156" t="n">
        <v>1</v>
      </c>
      <c r="AF242" s="156" t="n">
        <v>3</v>
      </c>
      <c r="AG242" s="156" t="inlineStr">
        <is>
          <t>Evidence backed</t>
        </is>
      </c>
    </row>
    <row r="243" ht="75" customHeight="1" s="114">
      <c r="A243" s="156" t="n">
        <v>239</v>
      </c>
      <c r="B243" s="156" t="inlineStr">
        <is>
          <t>VCA Japan</t>
        </is>
      </c>
      <c r="C243" s="156" t="inlineStr">
        <is>
          <t>VCA Japan</t>
        </is>
      </c>
      <c r="D243" s="156" t="inlineStr">
        <is>
          <t>Not found (NTA lookup blocked; dedupe by Japanese name)</t>
        </is>
      </c>
      <c r="E243" s="156" t="inlineStr">
        <is>
          <t>Tokyo</t>
        </is>
      </c>
      <c r="F243" s="156" t="inlineStr">
        <is>
          <t>Kanto</t>
        </is>
      </c>
      <c r="G243" s="157" t="inlineStr">
        <is>
          <t>https://www.vcajapan.com</t>
        </is>
      </c>
      <c r="H243" s="156" t="inlineStr">
        <is>
          <t>End user (animal hospital group)</t>
        </is>
      </c>
      <c r="I243" s="156" t="inlineStr">
        <is>
          <t>Not identified</t>
        </is>
      </c>
      <c r="J243" s="156" t="inlineStr">
        <is>
          <t>Companion</t>
        </is>
      </c>
      <c r="K243" s="156" t="inlineStr">
        <is>
          <t>Kanto, Kansai, Chubu, Hokuriku, Kyushu</t>
        </is>
      </c>
      <c r="L243" s="156" t="inlineStr">
        <is>
          <t>Not found</t>
        </is>
      </c>
      <c r="M243" s="156" t="inlineStr">
        <is>
          <t>45+</t>
        </is>
      </c>
      <c r="N243" s="156" t="inlineStr">
        <is>
          <t>Not identified</t>
        </is>
      </c>
      <c r="O243" s="156" t="inlineStr">
        <is>
          <t>Not identified</t>
        </is>
      </c>
      <c r="P243" s="156" t="inlineStr">
        <is>
          <t>vcaj.dpo@vcajapan.com</t>
        </is>
      </c>
      <c r="Q243" s="156" t="inlineStr">
        <is>
          <t>03 5953 1308</t>
        </is>
      </c>
      <c r="R243" s="156" t="inlineStr">
        <is>
          <t>Not identified</t>
        </is>
      </c>
      <c r="S243" s="156" t="inlineStr">
        <is>
          <t>Verified (published on own site, read via search); data protection contact, ask to forward</t>
        </is>
      </c>
      <c r="T243" s="158">
        <f>SUM(Z243:AF243)</f>
        <v>18</v>
      </c>
      <c r="U243" s="164" t="inlineStr">
        <is>
          <t>V5</t>
        </is>
      </c>
      <c r="V243" s="156" t="inlineStr">
        <is>
          <t>Mars group network of 45 plus hospitals. FLAG: Mars global procurement may limit local choice.</t>
        </is>
      </c>
      <c r="W243" s="156" t="inlineStr">
        <is>
          <t>Fleet evaluation: 30 day placement in two sites, then a group standard.</t>
        </is>
      </c>
      <c r="X243" s="156" t="inlineStr">
        <is>
          <t>Not checked (human list not in v17)</t>
        </is>
      </c>
      <c r="Y243" s="156" t="inlineStr">
        <is>
          <t>https://www.vcajapan.com/ ; https://www.vcajapan.com/privacy/</t>
        </is>
      </c>
      <c r="Z243" s="156" t="n">
        <v>1</v>
      </c>
      <c r="AA243" s="156" t="n">
        <v>4</v>
      </c>
      <c r="AB243" s="156" t="n">
        <v>3</v>
      </c>
      <c r="AC243" s="156" t="n">
        <v>5</v>
      </c>
      <c r="AD243" s="156" t="n">
        <v>1</v>
      </c>
      <c r="AE243" s="156" t="n">
        <v>1</v>
      </c>
      <c r="AF243" s="156" t="n">
        <v>3</v>
      </c>
      <c r="AG243" s="156" t="inlineStr">
        <is>
          <t>Evidence backed</t>
        </is>
      </c>
    </row>
    <row r="244" ht="75" customHeight="1" s="114">
      <c r="A244" s="156" t="n">
        <v>240</v>
      </c>
      <c r="B244" s="156" t="inlineStr">
        <is>
          <t>Withmal Inc.</t>
        </is>
      </c>
      <c r="C244" s="156" t="inlineStr">
        <is>
          <t>株式会社Withmal</t>
        </is>
      </c>
      <c r="D244" s="156" t="inlineStr">
        <is>
          <t>Not found (NTA lookup blocked; dedupe by Japanese name)</t>
        </is>
      </c>
      <c r="E244" s="156" t="inlineStr">
        <is>
          <t>Tokyo</t>
        </is>
      </c>
      <c r="F244" s="156" t="inlineStr">
        <is>
          <t>Kanto</t>
        </is>
      </c>
      <c r="G244" s="157" t="inlineStr">
        <is>
          <t>https://withmal-hd.co.jp/</t>
        </is>
      </c>
      <c r="H244" s="156" t="inlineStr">
        <is>
          <t>End user (animal hospital group)</t>
        </is>
      </c>
      <c r="I244" s="156" t="inlineStr">
        <is>
          <t>Not identified</t>
        </is>
      </c>
      <c r="J244" s="156" t="inlineStr">
        <is>
          <t>Companion</t>
        </is>
      </c>
      <c r="K244" s="156" t="inlineStr">
        <is>
          <t>National incl. Hokkaido, Aichi, Mie</t>
        </is>
      </c>
      <c r="L244" s="156" t="inlineStr">
        <is>
          <t>Not found</t>
        </is>
      </c>
      <c r="M244" s="156" t="inlineStr">
        <is>
          <t>51 (AHHD, Jul 2026)</t>
        </is>
      </c>
      <c r="N244" s="156" t="inlineStr">
        <is>
          <t>Not identified</t>
        </is>
      </c>
      <c r="O244" s="156" t="inlineStr">
        <is>
          <t>Not identified</t>
        </is>
      </c>
      <c r="P244" s="156" t="inlineStr">
        <is>
          <t>Not published; inquiry form: https://withmal.co.jp/contact/</t>
        </is>
      </c>
      <c r="Q244" s="156" t="inlineStr">
        <is>
          <t>Not found (use site)</t>
        </is>
      </c>
      <c r="R244" s="156" t="inlineStr">
        <is>
          <t>Not identified</t>
        </is>
      </c>
      <c r="S244" s="156" t="inlineStr">
        <is>
          <t>Company inquiry only (form)</t>
        </is>
      </c>
      <c r="T244" s="158">
        <f>SUM(Z244:AF244)</f>
        <v>18</v>
      </c>
      <c r="U244" s="164" t="inlineStr">
        <is>
          <t>V5</t>
        </is>
      </c>
      <c r="V244" s="156" t="inlineStr">
        <is>
          <t>Second largest hospital group (51 sites) after rapid M&amp;A growth; L Catterton backed.</t>
        </is>
      </c>
      <c r="W244" s="156" t="inlineStr">
        <is>
          <t>Fleet evaluation: 30 day placement in two sites, then a group standard.</t>
        </is>
      </c>
      <c r="X244" s="156" t="inlineStr">
        <is>
          <t>Not checked (human list not in v17)</t>
        </is>
      </c>
      <c r="Y244" s="156" t="inlineStr">
        <is>
          <t>https://ahhd.jp/I0000019 ; https://globalpetindustry.com/news/l-catterton-invests-japanese-vet-sector/ ; https://withmal.co.jp/contact/</t>
        </is>
      </c>
      <c r="Z244" s="156" t="n">
        <v>1</v>
      </c>
      <c r="AA244" s="156" t="n">
        <v>4</v>
      </c>
      <c r="AB244" s="156" t="n">
        <v>3</v>
      </c>
      <c r="AC244" s="156" t="n">
        <v>5</v>
      </c>
      <c r="AD244" s="156" t="n">
        <v>1</v>
      </c>
      <c r="AE244" s="156" t="n">
        <v>1</v>
      </c>
      <c r="AF244" s="156" t="n">
        <v>3</v>
      </c>
      <c r="AG244" s="156" t="inlineStr">
        <is>
          <t>Evidence backed</t>
        </is>
      </c>
    </row>
    <row r="245" ht="75" customHeight="1" s="114">
      <c r="A245" s="156" t="n">
        <v>241</v>
      </c>
      <c r="B245" s="156" t="inlineStr">
        <is>
          <t>and Vet Co., Ltd. (and Vet Animal Hospital Group)</t>
        </is>
      </c>
      <c r="C245" s="156" t="inlineStr">
        <is>
          <t>株式会社and Vet</t>
        </is>
      </c>
      <c r="D245" s="156" t="inlineStr">
        <is>
          <t>1011501027422</t>
        </is>
      </c>
      <c r="E245" s="156" t="inlineStr">
        <is>
          <t>Tokyo</t>
        </is>
      </c>
      <c r="F245" s="156" t="inlineStr">
        <is>
          <t>Kanto</t>
        </is>
      </c>
      <c r="G245" s="157" t="inlineStr">
        <is>
          <t>https://and-vet-ah.com/</t>
        </is>
      </c>
      <c r="H245" s="156" t="inlineStr">
        <is>
          <t>End user (animal hospital group)</t>
        </is>
      </c>
      <c r="I245" s="156" t="inlineStr">
        <is>
          <t>Not identified</t>
        </is>
      </c>
      <c r="J245" s="156" t="inlineStr">
        <is>
          <t>Companion</t>
        </is>
      </c>
      <c r="K245" s="156" t="inlineStr">
        <is>
          <t>Tokyo and Chiba</t>
        </is>
      </c>
      <c r="L245" s="156" t="inlineStr">
        <is>
          <t>Not found</t>
        </is>
      </c>
      <c r="M245" s="156" t="inlineStr">
        <is>
          <t>5 (incl. affiliates)</t>
        </is>
      </c>
      <c r="N245" s="156" t="inlineStr">
        <is>
          <t>Not identified</t>
        </is>
      </c>
      <c r="O245" s="156" t="inlineStr">
        <is>
          <t>Not identified</t>
        </is>
      </c>
      <c r="P245" s="156" t="inlineStr">
        <is>
          <t>info@and-vet.com</t>
        </is>
      </c>
      <c r="Q245" s="156" t="inlineStr">
        <is>
          <t>Not found (use site)</t>
        </is>
      </c>
      <c r="R245" s="156" t="inlineStr">
        <is>
          <t>Not identified</t>
        </is>
      </c>
      <c r="S245" s="156" t="inlineStr">
        <is>
          <t>Verified (published on own site, read via search); PR contact</t>
        </is>
      </c>
      <c r="T245" s="158">
        <f>SUM(Z245:AF245)</f>
        <v>18</v>
      </c>
      <c r="U245" s="164" t="inlineStr">
        <is>
          <t>V5</t>
        </is>
      </c>
      <c r="V245" s="156" t="inlineStr">
        <is>
          <t>Group formed 2022 running five hospitals in Tokyo and Chiba, with an M&amp;A plan to add regional hospitals.</t>
        </is>
      </c>
      <c r="W245" s="156" t="inlineStr">
        <is>
          <t>Fleet evaluation: 30 day placement in two sites, then a group standard.</t>
        </is>
      </c>
      <c r="X245" s="156" t="inlineStr">
        <is>
          <t>Not checked (human list not in v17)</t>
        </is>
      </c>
      <c r="Y245" s="156" t="inlineStr">
        <is>
          <t>https://and-vet-ah.com/ ; https://compalyze.co.jp/company/1011501027422 ; https://and-vet.com/blog/%E6%A0%AA%E5%BC%8F%E4%BC%9A%E7%A4%BE%E3%82%B8%E3%83%A5%E3%82%A6%E3%83%81%E3%82%AF%E3%81%AE%E4%B8%80%E9%83%A8%E6%A0%AA%E5%BC%8F%E5%8F%96%E5%BE%97%E3%81%8A%E3%82%88%E3%81%B3%E8%A3%BD%E8%96%AC%E5%8D%B8/</t>
        </is>
      </c>
      <c r="Z245" s="156" t="n">
        <v>1</v>
      </c>
      <c r="AA245" s="156" t="n">
        <v>4</v>
      </c>
      <c r="AB245" s="156" t="n">
        <v>3</v>
      </c>
      <c r="AC245" s="156" t="n">
        <v>5</v>
      </c>
      <c r="AD245" s="156" t="n">
        <v>1</v>
      </c>
      <c r="AE245" s="156" t="n">
        <v>1</v>
      </c>
      <c r="AF245" s="156" t="n">
        <v>3</v>
      </c>
      <c r="AG245" s="156" t="inlineStr">
        <is>
          <t>Evidence backed</t>
        </is>
      </c>
    </row>
    <row r="246" ht="75" customHeight="1" s="114">
      <c r="A246" s="156" t="n">
        <v>242</v>
      </c>
      <c r="B246" s="156" t="inlineStr">
        <is>
          <t>Fukuoka Animal Medical Center Group</t>
        </is>
      </c>
      <c r="C246" s="156" t="inlineStr">
        <is>
          <t>株式会社福岡動物医療センター</t>
        </is>
      </c>
      <c r="D246" s="156" t="inlineStr">
        <is>
          <t>Not found (NTA lookup blocked; dedupe by Japanese name)</t>
        </is>
      </c>
      <c r="E246" s="156" t="inlineStr">
        <is>
          <t>Fukuoka</t>
        </is>
      </c>
      <c r="F246" s="156" t="inlineStr">
        <is>
          <t>Kyushu and Okinawa</t>
        </is>
      </c>
      <c r="G246" s="157" t="inlineStr">
        <is>
          <t>https://f-dic.com/</t>
        </is>
      </c>
      <c r="H246" s="156" t="inlineStr">
        <is>
          <t>End user (animal hospital group)</t>
        </is>
      </c>
      <c r="I246" s="156" t="inlineStr">
        <is>
          <t>Not identified</t>
        </is>
      </c>
      <c r="J246" s="156" t="inlineStr">
        <is>
          <t>Companion</t>
        </is>
      </c>
      <c r="K246" s="156" t="inlineStr">
        <is>
          <t>Fukuoka (Hakata, Kasuga)</t>
        </is>
      </c>
      <c r="L246" s="156" t="inlineStr">
        <is>
          <t>Not found</t>
        </is>
      </c>
      <c r="M246" s="156" t="inlineStr">
        <is>
          <t>3</t>
        </is>
      </c>
      <c r="N246" s="156" t="inlineStr">
        <is>
          <t>Not identified</t>
        </is>
      </c>
      <c r="O246" s="156" t="inlineStr">
        <is>
          <t>Not identified</t>
        </is>
      </c>
      <c r="P246" s="156" t="inlineStr">
        <is>
          <t>Not published; phone only</t>
        </is>
      </c>
      <c r="Q246" s="156" t="inlineStr">
        <is>
          <t>092 471 7748</t>
        </is>
      </c>
      <c r="R246" s="156" t="inlineStr">
        <is>
          <t>Not identified</t>
        </is>
      </c>
      <c r="S246" s="156" t="inlineStr">
        <is>
          <t>Company inquiry only (phone)</t>
        </is>
      </c>
      <c r="T246" s="158">
        <f>SUM(Z246:AF246)</f>
        <v>18</v>
      </c>
      <c r="U246" s="164" t="inlineStr">
        <is>
          <t>V5</t>
        </is>
      </c>
      <c r="V246" s="156" t="inlineStr">
        <is>
          <t>Three hospital Fukuoka group.</t>
        </is>
      </c>
      <c r="W246" s="156" t="inlineStr">
        <is>
          <t>Fleet evaluation: 30 day placement in two sites, then a group standard.</t>
        </is>
      </c>
      <c r="X246" s="156" t="inlineStr">
        <is>
          <t>Not checked (human list not in v17)</t>
        </is>
      </c>
      <c r="Y246" s="156" t="inlineStr">
        <is>
          <t>https://fukuoka-ahg.jp/group/ ; https://f-dic.com/</t>
        </is>
      </c>
      <c r="Z246" s="156" t="n">
        <v>1</v>
      </c>
      <c r="AA246" s="156" t="n">
        <v>4</v>
      </c>
      <c r="AB246" s="156" t="n">
        <v>3</v>
      </c>
      <c r="AC246" s="156" t="n">
        <v>5</v>
      </c>
      <c r="AD246" s="156" t="n">
        <v>1</v>
      </c>
      <c r="AE246" s="156" t="n">
        <v>1</v>
      </c>
      <c r="AF246" s="156" t="n">
        <v>3</v>
      </c>
      <c r="AG246" s="156" t="inlineStr">
        <is>
          <t>Evidence backed</t>
        </is>
      </c>
    </row>
    <row r="247" ht="75" customHeight="1" s="114">
      <c r="A247" s="156" t="n">
        <v>243</v>
      </c>
      <c r="B247" s="156" t="inlineStr">
        <is>
          <t>NOSAI Kagoshima</t>
        </is>
      </c>
      <c r="C247" s="156" t="inlineStr">
        <is>
          <t>鹿児島県農業共済組合</t>
        </is>
      </c>
      <c r="D247" s="156" t="inlineStr">
        <is>
          <t>Not found (NTA lookup blocked; dedupe by Japanese name)</t>
        </is>
      </c>
      <c r="E247" s="156" t="inlineStr">
        <is>
          <t>Kagoshima</t>
        </is>
      </c>
      <c r="F247" s="156" t="inlineStr">
        <is>
          <t>Kyushu and Okinawa</t>
        </is>
      </c>
      <c r="G247" s="157" t="inlineStr">
        <is>
          <t>https://www.nosai46.jp/kagoshima/</t>
        </is>
      </c>
      <c r="H247" s="156" t="inlineStr">
        <is>
          <t>End user (livestock clinic network)</t>
        </is>
      </c>
      <c r="I247" s="156" t="inlineStr">
        <is>
          <t>Not identified</t>
        </is>
      </c>
      <c r="J247" s="156" t="inlineStr">
        <is>
          <t>Large animal</t>
        </is>
      </c>
      <c r="K247" s="156" t="inlineStr">
        <is>
          <t>Kagoshima livestock clinics</t>
        </is>
      </c>
      <c r="L247" s="156" t="inlineStr">
        <is>
          <t>Not found</t>
        </is>
      </c>
      <c r="M247" s="156" t="inlineStr">
        <is>
          <t>8 livestock clinic centres</t>
        </is>
      </c>
      <c r="N247" s="156" t="inlineStr">
        <is>
          <t>Not identified</t>
        </is>
      </c>
      <c r="O247" s="156" t="inlineStr">
        <is>
          <t>Not identified</t>
        </is>
      </c>
      <c r="P247" s="156" t="inlineStr">
        <is>
          <t>Not published; phone only</t>
        </is>
      </c>
      <c r="Q247" s="156" t="inlineStr">
        <is>
          <t>099 255 6161</t>
        </is>
      </c>
      <c r="R247" s="156" t="inlineStr">
        <is>
          <t>Not identified</t>
        </is>
      </c>
      <c r="S247" s="156" t="inlineStr">
        <is>
          <t>Company inquiry only (phone)</t>
        </is>
      </c>
      <c r="T247" s="158">
        <f>SUM(Z247:AF247)</f>
        <v>18</v>
      </c>
      <c r="U247" s="164" t="inlineStr">
        <is>
          <t>V5</t>
        </is>
      </c>
      <c r="V247" s="156" t="inlineStr">
        <is>
          <t>Covers Japan's biggest beef cattle prefecture.</t>
        </is>
      </c>
      <c r="W247" s="156" t="inlineStr">
        <is>
          <t>Field trial of a rugged livestock portable (EBit 50) with clinic vets during pregnancy checks.</t>
        </is>
      </c>
      <c r="X247" s="156" t="inlineStr">
        <is>
          <t>Not checked (human list not in v17)</t>
        </is>
      </c>
      <c r="Y247" s="156" t="inlineStr">
        <is>
          <t>https://www.nosai46.jp/kagoshima/ ; http://www.nosai.or.jp/mt6/2022/01/post-6662.html ; https://www.nosai46.jp/kagoshima/honsho/</t>
        </is>
      </c>
      <c r="Z247" s="156" t="n">
        <v>1</v>
      </c>
      <c r="AA247" s="156" t="n">
        <v>4</v>
      </c>
      <c r="AB247" s="156" t="n">
        <v>3</v>
      </c>
      <c r="AC247" s="156" t="n">
        <v>1</v>
      </c>
      <c r="AD247" s="156" t="n">
        <v>5</v>
      </c>
      <c r="AE247" s="156" t="n">
        <v>1</v>
      </c>
      <c r="AF247" s="156" t="n">
        <v>3</v>
      </c>
      <c r="AG247" s="156" t="inlineStr">
        <is>
          <t>Evidence backed</t>
        </is>
      </c>
    </row>
    <row r="248" ht="75" customHeight="1" s="114">
      <c r="A248" s="156" t="n">
        <v>244</v>
      </c>
      <c r="B248" s="156" t="inlineStr">
        <is>
          <t>NOSAI Kumamoto</t>
        </is>
      </c>
      <c r="C248" s="156" t="inlineStr">
        <is>
          <t>熊本県農業共済組合</t>
        </is>
      </c>
      <c r="D248" s="156" t="inlineStr">
        <is>
          <t>Not found (NTA lookup blocked; dedupe by Japanese name)</t>
        </is>
      </c>
      <c r="E248" s="156" t="inlineStr">
        <is>
          <t>Kumamoto</t>
        </is>
      </c>
      <c r="F248" s="156" t="inlineStr">
        <is>
          <t>Kyushu and Okinawa</t>
        </is>
      </c>
      <c r="G248" s="157" t="inlineStr">
        <is>
          <t>https://nosai-kumamoto.or.jp/</t>
        </is>
      </c>
      <c r="H248" s="156" t="inlineStr">
        <is>
          <t>End user (livestock clinic network)</t>
        </is>
      </c>
      <c r="I248" s="156" t="inlineStr">
        <is>
          <t>Not identified</t>
        </is>
      </c>
      <c r="J248" s="156" t="inlineStr">
        <is>
          <t>Large animal</t>
        </is>
      </c>
      <c r="K248" s="156" t="inlineStr">
        <is>
          <t>Kumamoto livestock clinics</t>
        </is>
      </c>
      <c r="L248" s="156" t="inlineStr">
        <is>
          <t>Not found</t>
        </is>
      </c>
      <c r="M248" s="156" t="inlineStr">
        <is>
          <t>Livestock clinics in Kumamoto and Kikuchi</t>
        </is>
      </c>
      <c r="N248" s="156" t="inlineStr">
        <is>
          <t>Not identified</t>
        </is>
      </c>
      <c r="O248" s="156" t="inlineStr">
        <is>
          <t>Not identified</t>
        </is>
      </c>
      <c r="P248" s="156" t="inlineStr">
        <is>
          <t>Not published; phone only</t>
        </is>
      </c>
      <c r="Q248" s="156" t="inlineStr">
        <is>
          <t>0964 25 3200</t>
        </is>
      </c>
      <c r="R248" s="156" t="inlineStr">
        <is>
          <t>Not identified</t>
        </is>
      </c>
      <c r="S248" s="156" t="inlineStr">
        <is>
          <t>Company inquiry only (phone)</t>
        </is>
      </c>
      <c r="T248" s="158">
        <f>SUM(Z248:AF248)</f>
        <v>18</v>
      </c>
      <c r="U248" s="164" t="inlineStr">
        <is>
          <t>V5</t>
        </is>
      </c>
      <c r="V248" s="156" t="inlineStr">
        <is>
          <t>Dairy and beef area around Kikuchi.</t>
        </is>
      </c>
      <c r="W248" s="156" t="inlineStr">
        <is>
          <t>Field trial of a rugged livestock portable (EBit 50) with clinic vets during pregnancy checks.</t>
        </is>
      </c>
      <c r="X248" s="156" t="inlineStr">
        <is>
          <t>Not checked (human list not in v17)</t>
        </is>
      </c>
      <c r="Y248" s="156" t="inlineStr">
        <is>
          <t>https://www.nosai.or.jp/nosai_kasou/juuishi/kyusyu_okinawa.html ; https://nosai-kumamoto.or.jp/nosai/access/</t>
        </is>
      </c>
      <c r="Z248" s="156" t="n">
        <v>1</v>
      </c>
      <c r="AA248" s="156" t="n">
        <v>4</v>
      </c>
      <c r="AB248" s="156" t="n">
        <v>3</v>
      </c>
      <c r="AC248" s="156" t="n">
        <v>1</v>
      </c>
      <c r="AD248" s="156" t="n">
        <v>5</v>
      </c>
      <c r="AE248" s="156" t="n">
        <v>1</v>
      </c>
      <c r="AF248" s="156" t="n">
        <v>3</v>
      </c>
      <c r="AG248" s="156" t="inlineStr">
        <is>
          <t>Evidence backed</t>
        </is>
      </c>
    </row>
    <row r="249" ht="75" customHeight="1" s="114">
      <c r="A249" s="156" t="n">
        <v>245</v>
      </c>
      <c r="B249" s="156" t="inlineStr">
        <is>
          <t>NOSAI Miyazaki</t>
        </is>
      </c>
      <c r="C249" s="156" t="inlineStr">
        <is>
          <t>宮崎県農業共済組合</t>
        </is>
      </c>
      <c r="D249" s="156" t="inlineStr">
        <is>
          <t>Not found (NTA lookup blocked; dedupe by Japanese name)</t>
        </is>
      </c>
      <c r="E249" s="156" t="inlineStr">
        <is>
          <t>Miyazaki</t>
        </is>
      </c>
      <c r="F249" s="156" t="inlineStr">
        <is>
          <t>Kyushu and Okinawa</t>
        </is>
      </c>
      <c r="G249" s="157" t="inlineStr">
        <is>
          <t>https://nosai-miyazakiken.jp</t>
        </is>
      </c>
      <c r="H249" s="156" t="inlineStr">
        <is>
          <t>End user (livestock clinic network)</t>
        </is>
      </c>
      <c r="I249" s="156" t="inlineStr">
        <is>
          <t>Not identified</t>
        </is>
      </c>
      <c r="J249" s="156" t="inlineStr">
        <is>
          <t>Large animal</t>
        </is>
      </c>
      <c r="K249" s="156" t="inlineStr">
        <is>
          <t>Miyazaki livestock clinics</t>
        </is>
      </c>
      <c r="L249" s="156" t="inlineStr">
        <is>
          <t>Not found</t>
        </is>
      </c>
      <c r="M249" s="156" t="inlineStr">
        <is>
          <t>Multiple livestock clinics</t>
        </is>
      </c>
      <c r="N249" s="156" t="inlineStr">
        <is>
          <t>Not identified</t>
        </is>
      </c>
      <c r="O249" s="156" t="inlineStr">
        <is>
          <t>Not identified</t>
        </is>
      </c>
      <c r="P249" s="156" t="inlineStr">
        <is>
          <t>Not published; phone only</t>
        </is>
      </c>
      <c r="Q249" s="156" t="inlineStr">
        <is>
          <t>0985 27 4288</t>
        </is>
      </c>
      <c r="R249" s="156" t="inlineStr">
        <is>
          <t>Not identified</t>
        </is>
      </c>
      <c r="S249" s="156" t="inlineStr">
        <is>
          <t>Company inquiry only (phone)</t>
        </is>
      </c>
      <c r="T249" s="158">
        <f>SUM(Z249:AF249)</f>
        <v>18</v>
      </c>
      <c r="U249" s="164" t="inlineStr">
        <is>
          <t>V5</t>
        </is>
      </c>
      <c r="V249" s="156" t="inlineStr">
        <is>
          <t>Major beef and pig prefecture; recruiting clinic vets.</t>
        </is>
      </c>
      <c r="W249" s="156" t="inlineStr">
        <is>
          <t>Field trial of a rugged livestock portable (EBit 50) with clinic vets during pregnancy checks.</t>
        </is>
      </c>
      <c r="X249" s="156" t="inlineStr">
        <is>
          <t>Not checked (human list not in v17)</t>
        </is>
      </c>
      <c r="Y249" s="156" t="inlineStr">
        <is>
          <t>https://nosai-miyazakiken.jp/veterinarian/ ; https://www.maff.go.jp/j/keiei/nogyohoken/contact.html</t>
        </is>
      </c>
      <c r="Z249" s="156" t="n">
        <v>1</v>
      </c>
      <c r="AA249" s="156" t="n">
        <v>4</v>
      </c>
      <c r="AB249" s="156" t="n">
        <v>3</v>
      </c>
      <c r="AC249" s="156" t="n">
        <v>1</v>
      </c>
      <c r="AD249" s="156" t="n">
        <v>5</v>
      </c>
      <c r="AE249" s="156" t="n">
        <v>1</v>
      </c>
      <c r="AF249" s="156" t="n">
        <v>3</v>
      </c>
      <c r="AG249" s="156" t="inlineStr">
        <is>
          <t>Evidence backed</t>
        </is>
      </c>
    </row>
    <row r="250" ht="75" customHeight="1" s="114">
      <c r="A250" s="156" t="n">
        <v>246</v>
      </c>
      <c r="B250" s="156" t="inlineStr">
        <is>
          <t>NOSAI Nagasaki</t>
        </is>
      </c>
      <c r="C250" s="156" t="inlineStr">
        <is>
          <t>長崎県農業共済組合</t>
        </is>
      </c>
      <c r="D250" s="156" t="inlineStr">
        <is>
          <t>Not found (NTA lookup blocked; dedupe by Japanese name)</t>
        </is>
      </c>
      <c r="E250" s="156" t="inlineStr">
        <is>
          <t>Nagasaki</t>
        </is>
      </c>
      <c r="F250" s="156" t="inlineStr">
        <is>
          <t>Kyushu and Okinawa</t>
        </is>
      </c>
      <c r="G250" s="157" t="inlineStr">
        <is>
          <t>https://www.nosai-ngs.jp</t>
        </is>
      </c>
      <c r="H250" s="156" t="inlineStr">
        <is>
          <t>End user (livestock clinic network)</t>
        </is>
      </c>
      <c r="I250" s="156" t="inlineStr">
        <is>
          <t>Not identified</t>
        </is>
      </c>
      <c r="J250" s="156" t="inlineStr">
        <is>
          <t>Large animal</t>
        </is>
      </c>
      <c r="K250" s="156" t="inlineStr">
        <is>
          <t>Nagasaki livestock clinics</t>
        </is>
      </c>
      <c r="L250" s="156" t="inlineStr">
        <is>
          <t>Not found</t>
        </is>
      </c>
      <c r="M250" s="156" t="inlineStr">
        <is>
          <t>7 livestock clinics</t>
        </is>
      </c>
      <c r="N250" s="156" t="inlineStr">
        <is>
          <t>Not identified</t>
        </is>
      </c>
      <c r="O250" s="156" t="inlineStr">
        <is>
          <t>Not identified</t>
        </is>
      </c>
      <c r="P250" s="156" t="inlineStr">
        <is>
          <t>Not published; phone only</t>
        </is>
      </c>
      <c r="Q250" s="156" t="inlineStr">
        <is>
          <t>0957 23 6161</t>
        </is>
      </c>
      <c r="R250" s="156" t="inlineStr">
        <is>
          <t>Not identified</t>
        </is>
      </c>
      <c r="S250" s="156" t="inlineStr">
        <is>
          <t>Company inquiry only (phone)</t>
        </is>
      </c>
      <c r="T250" s="158">
        <f>SUM(Z250:AF250)</f>
        <v>18</v>
      </c>
      <c r="U250" s="164" t="inlineStr">
        <is>
          <t>V5</t>
        </is>
      </c>
      <c r="V250" s="156" t="inlineStr">
        <is>
          <t>Seven clinics incl. island sites (Goto, Tsushima).</t>
        </is>
      </c>
      <c r="W250" s="156" t="inlineStr">
        <is>
          <t>Field trial of a rugged livestock portable (EBit 50) with clinic vets during pregnancy checks.</t>
        </is>
      </c>
      <c r="X250" s="156" t="inlineStr">
        <is>
          <t>Not checked (human list not in v17)</t>
        </is>
      </c>
      <c r="Y250" s="156" t="inlineStr">
        <is>
          <t>https://www.nosai-ngs.jp/list.html ; https://www.nosai-ngs.jp/</t>
        </is>
      </c>
      <c r="Z250" s="156" t="n">
        <v>1</v>
      </c>
      <c r="AA250" s="156" t="n">
        <v>4</v>
      </c>
      <c r="AB250" s="156" t="n">
        <v>3</v>
      </c>
      <c r="AC250" s="156" t="n">
        <v>1</v>
      </c>
      <c r="AD250" s="156" t="n">
        <v>5</v>
      </c>
      <c r="AE250" s="156" t="n">
        <v>1</v>
      </c>
      <c r="AF250" s="156" t="n">
        <v>3</v>
      </c>
      <c r="AG250" s="156" t="inlineStr">
        <is>
          <t>Evidence backed</t>
        </is>
      </c>
    </row>
    <row r="251" ht="75" customHeight="1" s="114">
      <c r="A251" s="156" t="n">
        <v>247</v>
      </c>
      <c r="B251" s="156" t="inlineStr">
        <is>
          <t>NOSAI Oita</t>
        </is>
      </c>
      <c r="C251" s="156" t="inlineStr">
        <is>
          <t>大分県農業共済組合</t>
        </is>
      </c>
      <c r="D251" s="156" t="inlineStr">
        <is>
          <t>Not found (NTA lookup blocked; dedupe by Japanese name)</t>
        </is>
      </c>
      <c r="E251" s="156" t="inlineStr">
        <is>
          <t>Oita</t>
        </is>
      </c>
      <c r="F251" s="156" t="inlineStr">
        <is>
          <t>Kyushu and Okinawa</t>
        </is>
      </c>
      <c r="G251" s="157" t="inlineStr">
        <is>
          <t>https://www.nosai-oita.jp</t>
        </is>
      </c>
      <c r="H251" s="156" t="inlineStr">
        <is>
          <t>End user (livestock clinic network)</t>
        </is>
      </c>
      <c r="I251" s="156" t="inlineStr">
        <is>
          <t>Not identified</t>
        </is>
      </c>
      <c r="J251" s="156" t="inlineStr">
        <is>
          <t>Large animal</t>
        </is>
      </c>
      <c r="K251" s="156" t="inlineStr">
        <is>
          <t>Oita livestock clinics</t>
        </is>
      </c>
      <c r="L251" s="156" t="inlineStr">
        <is>
          <t>Not found</t>
        </is>
      </c>
      <c r="M251" s="156" t="inlineStr">
        <is>
          <t>Multiple livestock clinics</t>
        </is>
      </c>
      <c r="N251" s="156" t="inlineStr">
        <is>
          <t>Not identified</t>
        </is>
      </c>
      <c r="O251" s="156" t="inlineStr">
        <is>
          <t>Not identified</t>
        </is>
      </c>
      <c r="P251" s="156" t="inlineStr">
        <is>
          <t>hp@nosai-oita.jp</t>
        </is>
      </c>
      <c r="Q251" s="156" t="inlineStr">
        <is>
          <t>097 544 8110</t>
        </is>
      </c>
      <c r="R251" s="156" t="inlineStr">
        <is>
          <t>Not identified</t>
        </is>
      </c>
      <c r="S251" s="156" t="inlineStr">
        <is>
          <t>Verified (published on own site, read via search)</t>
        </is>
      </c>
      <c r="T251" s="158">
        <f>SUM(Z251:AF251)</f>
        <v>18</v>
      </c>
      <c r="U251" s="164" t="inlineStr">
        <is>
          <t>V5</t>
        </is>
      </c>
      <c r="V251" s="156" t="inlineStr">
        <is>
          <t>Published livestock clinic network.</t>
        </is>
      </c>
      <c r="W251" s="156" t="inlineStr">
        <is>
          <t>Field trial of a rugged livestock portable (EBit 50) with clinic vets during pregnancy checks.</t>
        </is>
      </c>
      <c r="X251" s="156" t="inlineStr">
        <is>
          <t>Not checked (human list not in v17)</t>
        </is>
      </c>
      <c r="Y251" s="156" t="inlineStr">
        <is>
          <t>https://www.nosai-oita.jp/kachikushinryojo ; https://www.nosai-oita.jp/</t>
        </is>
      </c>
      <c r="Z251" s="156" t="n">
        <v>1</v>
      </c>
      <c r="AA251" s="156" t="n">
        <v>4</v>
      </c>
      <c r="AB251" s="156" t="n">
        <v>3</v>
      </c>
      <c r="AC251" s="156" t="n">
        <v>1</v>
      </c>
      <c r="AD251" s="156" t="n">
        <v>5</v>
      </c>
      <c r="AE251" s="156" t="n">
        <v>1</v>
      </c>
      <c r="AF251" s="156" t="n">
        <v>3</v>
      </c>
      <c r="AG251" s="156" t="inlineStr">
        <is>
          <t>Evidence backed</t>
        </is>
      </c>
    </row>
    <row r="252" ht="75" customHeight="1" s="114">
      <c r="A252" s="156" t="n">
        <v>248</v>
      </c>
      <c r="B252" s="156" t="inlineStr">
        <is>
          <t>NOSAI Okinawa</t>
        </is>
      </c>
      <c r="C252" s="156" t="inlineStr">
        <is>
          <t>沖縄県農業共済組合</t>
        </is>
      </c>
      <c r="D252" s="156" t="inlineStr">
        <is>
          <t>Not found (NTA lookup blocked; dedupe by Japanese name)</t>
        </is>
      </c>
      <c r="E252" s="156" t="inlineStr">
        <is>
          <t>Okinawa</t>
        </is>
      </c>
      <c r="F252" s="156" t="inlineStr">
        <is>
          <t>Kyushu and Okinawa</t>
        </is>
      </c>
      <c r="G252" s="157" t="inlineStr">
        <is>
          <t>https://nosai-okinawa.jp</t>
        </is>
      </c>
      <c r="H252" s="156" t="inlineStr">
        <is>
          <t>End user (livestock clinic network)</t>
        </is>
      </c>
      <c r="I252" s="156" t="inlineStr">
        <is>
          <t>Not identified</t>
        </is>
      </c>
      <c r="J252" s="156" t="inlineStr">
        <is>
          <t>Large animal</t>
        </is>
      </c>
      <c r="K252" s="156" t="inlineStr">
        <is>
          <t>Okinawa livestock clinics</t>
        </is>
      </c>
      <c r="L252" s="156" t="inlineStr">
        <is>
          <t>Not found</t>
        </is>
      </c>
      <c r="M252" s="156" t="inlineStr">
        <is>
          <t>9 livestock clinics</t>
        </is>
      </c>
      <c r="N252" s="156" t="inlineStr">
        <is>
          <t>Not identified</t>
        </is>
      </c>
      <c r="O252" s="156" t="inlineStr">
        <is>
          <t>Not identified</t>
        </is>
      </c>
      <c r="P252" s="156" t="inlineStr">
        <is>
          <t>Not published; phone only</t>
        </is>
      </c>
      <c r="Q252" s="156" t="inlineStr">
        <is>
          <t>098 833 8188</t>
        </is>
      </c>
      <c r="R252" s="156" t="inlineStr">
        <is>
          <t>Not identified</t>
        </is>
      </c>
      <c r="S252" s="156" t="inlineStr">
        <is>
          <t>Company inquiry only (phone)</t>
        </is>
      </c>
      <c r="T252" s="158">
        <f>SUM(Z252:AF252)</f>
        <v>18</v>
      </c>
      <c r="U252" s="164" t="inlineStr">
        <is>
          <t>V5</t>
        </is>
      </c>
      <c r="V252" s="156" t="inlineStr">
        <is>
          <t>Nine clinics across Okinawa main island and outer islands; strong beef calf production.</t>
        </is>
      </c>
      <c r="W252" s="156" t="inlineStr">
        <is>
          <t>Field trial of a rugged livestock portable (EBit 50) with clinic vets during pregnancy checks.</t>
        </is>
      </c>
      <c r="X252" s="156" t="inlineStr">
        <is>
          <t>Not checked (human list not in v17)</t>
        </is>
      </c>
      <c r="Y252" s="156" t="inlineStr">
        <is>
          <t>https://nosai-okinawa.jp/clinic/ ; https://www.maff.go.jp/j/keiei/nogyohoken/contact.html</t>
        </is>
      </c>
      <c r="Z252" s="156" t="n">
        <v>1</v>
      </c>
      <c r="AA252" s="156" t="n">
        <v>4</v>
      </c>
      <c r="AB252" s="156" t="n">
        <v>3</v>
      </c>
      <c r="AC252" s="156" t="n">
        <v>1</v>
      </c>
      <c r="AD252" s="156" t="n">
        <v>5</v>
      </c>
      <c r="AE252" s="156" t="n">
        <v>1</v>
      </c>
      <c r="AF252" s="156" t="n">
        <v>3</v>
      </c>
      <c r="AG252" s="156" t="inlineStr">
        <is>
          <t>Evidence backed</t>
        </is>
      </c>
    </row>
    <row r="253" ht="75" customHeight="1" s="114">
      <c r="A253" s="156" t="n">
        <v>249</v>
      </c>
      <c r="B253" s="156" t="inlineStr">
        <is>
          <t>NOSAI Saga</t>
        </is>
      </c>
      <c r="C253" s="156" t="inlineStr">
        <is>
          <t>佐賀県農業共済組合</t>
        </is>
      </c>
      <c r="D253" s="156" t="inlineStr">
        <is>
          <t>Not found (NTA lookup blocked; dedupe by Japanese name)</t>
        </is>
      </c>
      <c r="E253" s="156" t="inlineStr">
        <is>
          <t>Saga</t>
        </is>
      </c>
      <c r="F253" s="156" t="inlineStr">
        <is>
          <t>Kyushu and Okinawa</t>
        </is>
      </c>
      <c r="G253" s="156" t="inlineStr">
        <is>
          <t>Not found</t>
        </is>
      </c>
      <c r="H253" s="156" t="inlineStr">
        <is>
          <t>End user (livestock clinic network)</t>
        </is>
      </c>
      <c r="I253" s="156" t="inlineStr">
        <is>
          <t>Not identified</t>
        </is>
      </c>
      <c r="J253" s="156" t="inlineStr">
        <is>
          <t>Large animal</t>
        </is>
      </c>
      <c r="K253" s="156" t="inlineStr">
        <is>
          <t>Saga livestock clinics</t>
        </is>
      </c>
      <c r="L253" s="156" t="inlineStr">
        <is>
          <t>Not found</t>
        </is>
      </c>
      <c r="M253" s="156" t="inlineStr">
        <is>
          <t>Livestock clinics (count not confirmed)</t>
        </is>
      </c>
      <c r="N253" s="156" t="inlineStr">
        <is>
          <t>Not identified</t>
        </is>
      </c>
      <c r="O253" s="156" t="inlineStr">
        <is>
          <t>Not identified</t>
        </is>
      </c>
      <c r="P253" s="156" t="inlineStr">
        <is>
          <t>Not published; phone only</t>
        </is>
      </c>
      <c r="Q253" s="156" t="inlineStr">
        <is>
          <t>0952 31 4171</t>
        </is>
      </c>
      <c r="R253" s="156" t="inlineStr">
        <is>
          <t>Not identified</t>
        </is>
      </c>
      <c r="S253" s="156" t="inlineStr">
        <is>
          <t>Company inquiry only (phone)</t>
        </is>
      </c>
      <c r="T253" s="158">
        <f>SUM(Z253:AF253)</f>
        <v>18</v>
      </c>
      <c r="U253" s="164" t="inlineStr">
        <is>
          <t>V5</t>
        </is>
      </c>
      <c r="V253" s="156" t="inlineStr">
        <is>
          <t>Saga beef (Sagagyu) producing area.</t>
        </is>
      </c>
      <c r="W253" s="156" t="inlineStr">
        <is>
          <t>Field trial of a rugged livestock portable (EBit 50) with clinic vets during pregnancy checks.</t>
        </is>
      </c>
      <c r="X253" s="156" t="inlineStr">
        <is>
          <t>Not checked (human list not in v17)</t>
        </is>
      </c>
      <c r="Y253" s="156" t="inlineStr">
        <is>
          <t>https://www.nosai.or.jp/nosai_kasou/nosai_kakuchi01.html ; https://www.maff.go.jp/j/keiei/nogyohoken/contact.html</t>
        </is>
      </c>
      <c r="Z253" s="156" t="n">
        <v>1</v>
      </c>
      <c r="AA253" s="156" t="n">
        <v>4</v>
      </c>
      <c r="AB253" s="156" t="n">
        <v>3</v>
      </c>
      <c r="AC253" s="156" t="n">
        <v>1</v>
      </c>
      <c r="AD253" s="156" t="n">
        <v>5</v>
      </c>
      <c r="AE253" s="156" t="n">
        <v>1</v>
      </c>
      <c r="AF253" s="156" t="n">
        <v>3</v>
      </c>
      <c r="AG253" s="156" t="inlineStr">
        <is>
          <t>Evidence backed</t>
        </is>
      </c>
    </row>
    <row r="254" ht="75" customHeight="1" s="114">
      <c r="A254" s="156" t="n">
        <v>250</v>
      </c>
      <c r="B254" s="156" t="inlineStr">
        <is>
          <t>Pet Clinic Halleluya Group</t>
        </is>
      </c>
      <c r="C254" s="156" t="inlineStr">
        <is>
          <t>ペットクリニックハレルヤ</t>
        </is>
      </c>
      <c r="D254" s="156" t="inlineStr">
        <is>
          <t>Not found (NTA lookup blocked; dedupe by Japanese name)</t>
        </is>
      </c>
      <c r="E254" s="156" t="inlineStr">
        <is>
          <t>Fukuoka</t>
        </is>
      </c>
      <c r="F254" s="156" t="inlineStr">
        <is>
          <t>Kyushu and Okinawa</t>
        </is>
      </c>
      <c r="G254" s="157" t="inlineStr">
        <is>
          <t>https://halleluya-vet.com/</t>
        </is>
      </c>
      <c r="H254" s="156" t="inlineStr">
        <is>
          <t>End user (animal hospital group)</t>
        </is>
      </c>
      <c r="I254" s="156" t="inlineStr">
        <is>
          <t>Not identified</t>
        </is>
      </c>
      <c r="J254" s="156" t="inlineStr">
        <is>
          <t>Companion</t>
        </is>
      </c>
      <c r="K254" s="156" t="inlineStr">
        <is>
          <t>Fukuoka city and Kasuya</t>
        </is>
      </c>
      <c r="L254" s="156" t="inlineStr">
        <is>
          <t>Not found</t>
        </is>
      </c>
      <c r="M254" s="156" t="inlineStr">
        <is>
          <t>4</t>
        </is>
      </c>
      <c r="N254" s="156" t="inlineStr">
        <is>
          <t>Not identified</t>
        </is>
      </c>
      <c r="O254" s="156" t="inlineStr">
        <is>
          <t>Not identified</t>
        </is>
      </c>
      <c r="P254" s="156" t="inlineStr">
        <is>
          <t>hall@helen.ocn.ne.jp</t>
        </is>
      </c>
      <c r="Q254" s="156" t="inlineStr">
        <is>
          <t>092 521 3267</t>
        </is>
      </c>
      <c r="R254" s="156" t="inlineStr">
        <is>
          <t>Not identified</t>
        </is>
      </c>
      <c r="S254" s="156" t="inlineStr">
        <is>
          <t>Verified (published on own site, read via search)</t>
        </is>
      </c>
      <c r="T254" s="158">
        <f>SUM(Z254:AF254)</f>
        <v>18</v>
      </c>
      <c r="U254" s="164" t="inlineStr">
        <is>
          <t>V5</t>
        </is>
      </c>
      <c r="V254" s="156" t="inlineStr">
        <is>
          <t>Four hospital Fukuoka group.</t>
        </is>
      </c>
      <c r="W254" s="156" t="inlineStr">
        <is>
          <t>Fleet evaluation: 30 day placement in two sites, then a group standard.</t>
        </is>
      </c>
      <c r="X254" s="156" t="inlineStr">
        <is>
          <t>Not checked (human list not in v17)</t>
        </is>
      </c>
      <c r="Y254" s="156" t="inlineStr">
        <is>
          <t>https://www.halleluya-vet.net/aboutus</t>
        </is>
      </c>
      <c r="Z254" s="156" t="n">
        <v>1</v>
      </c>
      <c r="AA254" s="156" t="n">
        <v>4</v>
      </c>
      <c r="AB254" s="156" t="n">
        <v>3</v>
      </c>
      <c r="AC254" s="156" t="n">
        <v>5</v>
      </c>
      <c r="AD254" s="156" t="n">
        <v>1</v>
      </c>
      <c r="AE254" s="156" t="n">
        <v>1</v>
      </c>
      <c r="AF254" s="156" t="n">
        <v>3</v>
      </c>
      <c r="AG254" s="156" t="inlineStr">
        <is>
          <t>Evidence backed</t>
        </is>
      </c>
    </row>
    <row r="255" ht="75" customHeight="1" s="114">
      <c r="A255" s="156" t="n">
        <v>251</v>
      </c>
      <c r="B255" s="156" t="inlineStr">
        <is>
          <t>Midori no Mori Animal Hospital Group</t>
        </is>
      </c>
      <c r="C255" s="156" t="inlineStr">
        <is>
          <t>緑の森どうぶつ病院</t>
        </is>
      </c>
      <c r="D255" s="156" t="inlineStr">
        <is>
          <t>Not found (NTA lookup blocked; dedupe by Japanese name)</t>
        </is>
      </c>
      <c r="E255" s="156" t="inlineStr">
        <is>
          <t>Hokkaido</t>
        </is>
      </c>
      <c r="F255" s="156" t="inlineStr">
        <is>
          <t>Tohoku and Hokkaido</t>
        </is>
      </c>
      <c r="G255" s="157" t="inlineStr">
        <is>
          <t>https://midori-no-mori.jp/</t>
        </is>
      </c>
      <c r="H255" s="156" t="inlineStr">
        <is>
          <t>End user (animal hospital group)</t>
        </is>
      </c>
      <c r="I255" s="156" t="inlineStr">
        <is>
          <t>Not identified</t>
        </is>
      </c>
      <c r="J255" s="156" t="inlineStr">
        <is>
          <t>Companion</t>
        </is>
      </c>
      <c r="K255" s="156" t="inlineStr">
        <is>
          <t>Asahikawa, Sapporo, Niigata</t>
        </is>
      </c>
      <c r="L255" s="156" t="inlineStr">
        <is>
          <t>Not found</t>
        </is>
      </c>
      <c r="M255" s="156" t="inlineStr">
        <is>
          <t>6</t>
        </is>
      </c>
      <c r="N255" s="156" t="inlineStr">
        <is>
          <t>Not identified</t>
        </is>
      </c>
      <c r="O255" s="156" t="inlineStr">
        <is>
          <t>Not identified</t>
        </is>
      </c>
      <c r="P255" s="156" t="inlineStr">
        <is>
          <t>Not published; phone only</t>
        </is>
      </c>
      <c r="Q255" s="156" t="inlineStr">
        <is>
          <t>050 5445 0840 (Kyokushin centre)</t>
        </is>
      </c>
      <c r="R255" s="156" t="inlineStr">
        <is>
          <t>Not identified</t>
        </is>
      </c>
      <c r="S255" s="156" t="inlineStr">
        <is>
          <t>Company inquiry only (phone)</t>
        </is>
      </c>
      <c r="T255" s="158">
        <f>SUM(Z255:AF255)</f>
        <v>18</v>
      </c>
      <c r="U255" s="164" t="inlineStr">
        <is>
          <t>V5</t>
        </is>
      </c>
      <c r="V255" s="156" t="inlineStr">
        <is>
          <t>Says it is Hokkaido's largest hospital group.</t>
        </is>
      </c>
      <c r="W255" s="156" t="inlineStr">
        <is>
          <t>Fleet evaluation: 30 day placement in two sites, then a group standard.</t>
        </is>
      </c>
      <c r="X255" s="156" t="inlineStr">
        <is>
          <t>Not checked (human list not in v17)</t>
        </is>
      </c>
      <c r="Y255" s="156" t="inlineStr">
        <is>
          <t>https://midori-no-mori.jp/ ; https://midori-no-mori.jp/kyokushin</t>
        </is>
      </c>
      <c r="Z255" s="156" t="n">
        <v>1</v>
      </c>
      <c r="AA255" s="156" t="n">
        <v>4</v>
      </c>
      <c r="AB255" s="156" t="n">
        <v>3</v>
      </c>
      <c r="AC255" s="156" t="n">
        <v>5</v>
      </c>
      <c r="AD255" s="156" t="n">
        <v>1</v>
      </c>
      <c r="AE255" s="156" t="n">
        <v>1</v>
      </c>
      <c r="AF255" s="156" t="n">
        <v>3</v>
      </c>
      <c r="AG255" s="156" t="inlineStr">
        <is>
          <t>Evidence backed</t>
        </is>
      </c>
    </row>
    <row r="256" ht="75" customHeight="1" s="114">
      <c r="A256" s="156" t="n">
        <v>252</v>
      </c>
      <c r="B256" s="156" t="inlineStr">
        <is>
          <t>NOSAI Aomori</t>
        </is>
      </c>
      <c r="C256" s="156" t="inlineStr">
        <is>
          <t>青森県農業共済組合</t>
        </is>
      </c>
      <c r="D256" s="156" t="inlineStr">
        <is>
          <t>Not found (NTA lookup blocked; dedupe by Japanese name)</t>
        </is>
      </c>
      <c r="E256" s="156" t="inlineStr">
        <is>
          <t>Aomori</t>
        </is>
      </c>
      <c r="F256" s="156" t="inlineStr">
        <is>
          <t>Tohoku and Hokkaido</t>
        </is>
      </c>
      <c r="G256" s="157" t="inlineStr">
        <is>
          <t>http://www.nosai-aomori.or.jp</t>
        </is>
      </c>
      <c r="H256" s="156" t="inlineStr">
        <is>
          <t>End user (livestock clinic network)</t>
        </is>
      </c>
      <c r="I256" s="156" t="inlineStr">
        <is>
          <t>Not identified</t>
        </is>
      </c>
      <c r="J256" s="156" t="inlineStr">
        <is>
          <t>Large animal</t>
        </is>
      </c>
      <c r="K256" s="156" t="inlineStr">
        <is>
          <t>Aomori livestock clinics</t>
        </is>
      </c>
      <c r="L256" s="156" t="inlineStr">
        <is>
          <t>Not found</t>
        </is>
      </c>
      <c r="M256" s="156" t="inlineStr">
        <is>
          <t>Multiple livestock clinics</t>
        </is>
      </c>
      <c r="N256" s="156" t="inlineStr">
        <is>
          <t>Not identified</t>
        </is>
      </c>
      <c r="O256" s="156" t="inlineStr">
        <is>
          <t>Not identified</t>
        </is>
      </c>
      <c r="P256" s="156" t="inlineStr">
        <is>
          <t>Not published; phone only</t>
        </is>
      </c>
      <c r="Q256" s="156" t="inlineStr">
        <is>
          <t>017 775 1161</t>
        </is>
      </c>
      <c r="R256" s="156" t="inlineStr">
        <is>
          <t>Not identified</t>
        </is>
      </c>
      <c r="S256" s="156" t="inlineStr">
        <is>
          <t>Company inquiry only (phone)</t>
        </is>
      </c>
      <c r="T256" s="158">
        <f>SUM(Z256:AF256)</f>
        <v>18</v>
      </c>
      <c r="U256" s="164" t="inlineStr">
        <is>
          <t>V5</t>
        </is>
      </c>
      <c r="V256" s="156" t="inlineStr">
        <is>
          <t>Published livestock clinic network across Tsugaru and Nanbu.</t>
        </is>
      </c>
      <c r="W256" s="156" t="inlineStr">
        <is>
          <t>Field trial of a rugged livestock portable (EBit 50) with clinic vets during pregnancy checks.</t>
        </is>
      </c>
      <c r="X256" s="156" t="inlineStr">
        <is>
          <t>Not checked (human list not in v17)</t>
        </is>
      </c>
      <c r="Y256" s="156" t="inlineStr">
        <is>
          <t>http://www.nosai-aomori.or.jp/wp-content/uploads/2025/08/4e705eaea4a622fbfd5c63b338189b7d.pdf ; http://www.nosai-aomori.or.jp/access/</t>
        </is>
      </c>
      <c r="Z256" s="156" t="n">
        <v>1</v>
      </c>
      <c r="AA256" s="156" t="n">
        <v>4</v>
      </c>
      <c r="AB256" s="156" t="n">
        <v>3</v>
      </c>
      <c r="AC256" s="156" t="n">
        <v>1</v>
      </c>
      <c r="AD256" s="156" t="n">
        <v>5</v>
      </c>
      <c r="AE256" s="156" t="n">
        <v>1</v>
      </c>
      <c r="AF256" s="156" t="n">
        <v>3</v>
      </c>
      <c r="AG256" s="156" t="inlineStr">
        <is>
          <t>Evidence backed</t>
        </is>
      </c>
    </row>
    <row r="257" ht="75" customHeight="1" s="114">
      <c r="A257" s="156" t="n">
        <v>253</v>
      </c>
      <c r="B257" s="156" t="inlineStr">
        <is>
          <t>NOSAI Fukushima</t>
        </is>
      </c>
      <c r="C257" s="156" t="inlineStr">
        <is>
          <t>福島県農業共済組合</t>
        </is>
      </c>
      <c r="D257" s="156" t="inlineStr">
        <is>
          <t>Not found (NTA lookup blocked; dedupe by Japanese name)</t>
        </is>
      </c>
      <c r="E257" s="156" t="inlineStr">
        <is>
          <t>Fukushima</t>
        </is>
      </c>
      <c r="F257" s="156" t="inlineStr">
        <is>
          <t>Tohoku and Hokkaido</t>
        </is>
      </c>
      <c r="G257" s="157" t="inlineStr">
        <is>
          <t>https://fukushima-nosainet.jp</t>
        </is>
      </c>
      <c r="H257" s="156" t="inlineStr">
        <is>
          <t>End user (livestock clinic network)</t>
        </is>
      </c>
      <c r="I257" s="156" t="inlineStr">
        <is>
          <t>Not identified</t>
        </is>
      </c>
      <c r="J257" s="156" t="inlineStr">
        <is>
          <t>Large animal</t>
        </is>
      </c>
      <c r="K257" s="156" t="inlineStr">
        <is>
          <t>Fukushima livestock clinics</t>
        </is>
      </c>
      <c r="L257" s="156" t="inlineStr">
        <is>
          <t>Not found</t>
        </is>
      </c>
      <c r="M257" s="156" t="inlineStr">
        <is>
          <t>6 livestock clinic centres</t>
        </is>
      </c>
      <c r="N257" s="156" t="inlineStr">
        <is>
          <t>Not identified</t>
        </is>
      </c>
      <c r="O257" s="156" t="inlineStr">
        <is>
          <t>Not identified</t>
        </is>
      </c>
      <c r="P257" s="156" t="inlineStr">
        <is>
          <t>Not published; phone only</t>
        </is>
      </c>
      <c r="Q257" s="156" t="inlineStr">
        <is>
          <t>024 521 2715</t>
        </is>
      </c>
      <c r="R257" s="156" t="inlineStr">
        <is>
          <t>Not identified</t>
        </is>
      </c>
      <c r="S257" s="156" t="inlineStr">
        <is>
          <t>Company inquiry only (phone)</t>
        </is>
      </c>
      <c r="T257" s="158">
        <f>SUM(Z257:AF257)</f>
        <v>18</v>
      </c>
      <c r="U257" s="164" t="inlineStr">
        <is>
          <t>V5</t>
        </is>
      </c>
      <c r="V257" s="156" t="inlineStr">
        <is>
          <t>Six centres across Fukushima.</t>
        </is>
      </c>
      <c r="W257" s="156" t="inlineStr">
        <is>
          <t>Field trial of a rugged livestock portable (EBit 50) with clinic vets during pregnancy checks.</t>
        </is>
      </c>
      <c r="X257" s="156" t="inlineStr">
        <is>
          <t>Not checked (human list not in v17)</t>
        </is>
      </c>
      <c r="Y257" s="156" t="inlineStr">
        <is>
          <t>https://fukushima-nosainet.jp/outline/out-c/out-c-c ; http://www.nosai.or.jp/nosai_kasou/nosai_page11.html</t>
        </is>
      </c>
      <c r="Z257" s="156" t="n">
        <v>1</v>
      </c>
      <c r="AA257" s="156" t="n">
        <v>4</v>
      </c>
      <c r="AB257" s="156" t="n">
        <v>3</v>
      </c>
      <c r="AC257" s="156" t="n">
        <v>1</v>
      </c>
      <c r="AD257" s="156" t="n">
        <v>5</v>
      </c>
      <c r="AE257" s="156" t="n">
        <v>1</v>
      </c>
      <c r="AF257" s="156" t="n">
        <v>3</v>
      </c>
      <c r="AG257" s="156" t="inlineStr">
        <is>
          <t>Evidence backed</t>
        </is>
      </c>
    </row>
    <row r="258" ht="75" customHeight="1" s="114">
      <c r="A258" s="156" t="n">
        <v>254</v>
      </c>
      <c r="B258" s="156" t="inlineStr">
        <is>
          <t>NOSAI Hokkaido</t>
        </is>
      </c>
      <c r="C258" s="156" t="inlineStr">
        <is>
          <t>北海道農業共済組合</t>
        </is>
      </c>
      <c r="D258" s="156" t="inlineStr">
        <is>
          <t>Not found (NTA lookup blocked; dedupe by Japanese name)</t>
        </is>
      </c>
      <c r="E258" s="156" t="inlineStr">
        <is>
          <t>Hokkaido</t>
        </is>
      </c>
      <c r="F258" s="156" t="inlineStr">
        <is>
          <t>Tohoku and Hokkaido</t>
        </is>
      </c>
      <c r="G258" s="157" t="inlineStr">
        <is>
          <t>https://www.nosai-do.or.jp</t>
        </is>
      </c>
      <c r="H258" s="156" t="inlineStr">
        <is>
          <t>End user (livestock clinic network)</t>
        </is>
      </c>
      <c r="I258" s="156" t="inlineStr">
        <is>
          <t>Not identified</t>
        </is>
      </c>
      <c r="J258" s="156" t="inlineStr">
        <is>
          <t>Large animal</t>
        </is>
      </c>
      <c r="K258" s="156" t="inlineStr">
        <is>
          <t>Hokkaido livestock clinics</t>
        </is>
      </c>
      <c r="L258" s="156" t="inlineStr">
        <is>
          <t>Not found</t>
        </is>
      </c>
      <c r="M258" s="156" t="inlineStr">
        <is>
          <t>62 clinics (excl. branches); about 800 vets</t>
        </is>
      </c>
      <c r="N258" s="156" t="inlineStr">
        <is>
          <t>Not identified</t>
        </is>
      </c>
      <c r="O258" s="156" t="inlineStr">
        <is>
          <t>Not identified</t>
        </is>
      </c>
      <c r="P258" s="156" t="inlineStr">
        <is>
          <t>Not published; inquiry form: https://www.nosai-do.or.jp/contact/</t>
        </is>
      </c>
      <c r="Q258" s="156" t="inlineStr">
        <is>
          <t>011 271 7212</t>
        </is>
      </c>
      <c r="R258" s="156" t="inlineStr">
        <is>
          <t>Not identified</t>
        </is>
      </c>
      <c r="S258" s="156" t="inlineStr">
        <is>
          <t>Company inquiry only (form)</t>
        </is>
      </c>
      <c r="T258" s="158">
        <f>SUM(Z258:AF258)</f>
        <v>18</v>
      </c>
      <c r="U258" s="164" t="inlineStr">
        <is>
          <t>V5</t>
        </is>
      </c>
      <c r="V258" s="156" t="inlineStr">
        <is>
          <t>Japan's largest livestock clinic network; bovine repro scanning is daily work.</t>
        </is>
      </c>
      <c r="W258" s="156" t="inlineStr">
        <is>
          <t>Field trial of a rugged livestock portable (EBit 50) with clinic vets during pregnancy checks.</t>
        </is>
      </c>
      <c r="X258" s="156" t="inlineStr">
        <is>
          <t>Not checked (human list not in v17)</t>
        </is>
      </c>
      <c r="Y258" s="156" t="inlineStr">
        <is>
          <t>https://www.nosai-do.or.jp/about/overview/ ; https://www.nosai-do.or.jp/contact/</t>
        </is>
      </c>
      <c r="Z258" s="156" t="n">
        <v>1</v>
      </c>
      <c r="AA258" s="156" t="n">
        <v>4</v>
      </c>
      <c r="AB258" s="156" t="n">
        <v>3</v>
      </c>
      <c r="AC258" s="156" t="n">
        <v>1</v>
      </c>
      <c r="AD258" s="156" t="n">
        <v>5</v>
      </c>
      <c r="AE258" s="156" t="n">
        <v>1</v>
      </c>
      <c r="AF258" s="156" t="n">
        <v>3</v>
      </c>
      <c r="AG258" s="156" t="inlineStr">
        <is>
          <t>Evidence backed</t>
        </is>
      </c>
    </row>
    <row r="259" ht="75" customHeight="1" s="114">
      <c r="A259" s="156" t="n">
        <v>255</v>
      </c>
      <c r="B259" s="156" t="inlineStr">
        <is>
          <t>NOSAI Iwate</t>
        </is>
      </c>
      <c r="C259" s="156" t="inlineStr">
        <is>
          <t>岩手県農業共済組合</t>
        </is>
      </c>
      <c r="D259" s="156" t="inlineStr">
        <is>
          <t>Not found (NTA lookup blocked; dedupe by Japanese name)</t>
        </is>
      </c>
      <c r="E259" s="156" t="inlineStr">
        <is>
          <t>Iwate</t>
        </is>
      </c>
      <c r="F259" s="156" t="inlineStr">
        <is>
          <t>Tohoku and Hokkaido</t>
        </is>
      </c>
      <c r="G259" s="156" t="inlineStr">
        <is>
          <t>Not found</t>
        </is>
      </c>
      <c r="H259" s="156" t="inlineStr">
        <is>
          <t>End user (livestock clinic network)</t>
        </is>
      </c>
      <c r="I259" s="156" t="inlineStr">
        <is>
          <t>Not identified</t>
        </is>
      </c>
      <c r="J259" s="156" t="inlineStr">
        <is>
          <t>Large animal</t>
        </is>
      </c>
      <c r="K259" s="156" t="inlineStr">
        <is>
          <t>Iwate livestock clinics</t>
        </is>
      </c>
      <c r="L259" s="156" t="inlineStr">
        <is>
          <t>Not found</t>
        </is>
      </c>
      <c r="M259" s="156" t="inlineStr">
        <is>
          <t>Multiple livestock clinics</t>
        </is>
      </c>
      <c r="N259" s="156" t="inlineStr">
        <is>
          <t>Not identified</t>
        </is>
      </c>
      <c r="O259" s="156" t="inlineStr">
        <is>
          <t>Not identified</t>
        </is>
      </c>
      <c r="P259" s="156" t="inlineStr">
        <is>
          <t>Not published; phone only</t>
        </is>
      </c>
      <c r="Q259" s="156" t="inlineStr">
        <is>
          <t>0198 29 5939 (MAFF list; 019 601 7491 per NOSAI list)</t>
        </is>
      </c>
      <c r="R259" s="156" t="inlineStr">
        <is>
          <t>Not identified</t>
        </is>
      </c>
      <c r="S259" s="156" t="inlineStr">
        <is>
          <t>Company inquiry only (phone)</t>
        </is>
      </c>
      <c r="T259" s="158">
        <f>SUM(Z259:AF259)</f>
        <v>18</v>
      </c>
      <c r="U259" s="164" t="inlineStr">
        <is>
          <t>V5</t>
        </is>
      </c>
      <c r="V259" s="156" t="inlineStr">
        <is>
          <t>Major Tohoku dairy and beef prefecture.</t>
        </is>
      </c>
      <c r="W259" s="156" t="inlineStr">
        <is>
          <t>Field trial of a rugged livestock portable (EBit 50) with clinic vets during pregnancy checks.</t>
        </is>
      </c>
      <c r="X259" s="156" t="inlineStr">
        <is>
          <t>Not checked (human list not in v17)</t>
        </is>
      </c>
      <c r="Y259" s="156" t="inlineStr">
        <is>
          <t>https://www.maff.go.jp/j/keiei/nogyohoken/contact.html</t>
        </is>
      </c>
      <c r="Z259" s="156" t="n">
        <v>1</v>
      </c>
      <c r="AA259" s="156" t="n">
        <v>4</v>
      </c>
      <c r="AB259" s="156" t="n">
        <v>3</v>
      </c>
      <c r="AC259" s="156" t="n">
        <v>1</v>
      </c>
      <c r="AD259" s="156" t="n">
        <v>5</v>
      </c>
      <c r="AE259" s="156" t="n">
        <v>1</v>
      </c>
      <c r="AF259" s="156" t="n">
        <v>3</v>
      </c>
      <c r="AG259" s="156" t="inlineStr">
        <is>
          <t>Evidence backed</t>
        </is>
      </c>
    </row>
    <row r="260" ht="75" customHeight="1" s="114">
      <c r="A260" s="156" t="n">
        <v>256</v>
      </c>
      <c r="B260" s="156" t="inlineStr">
        <is>
          <t>NOSAI Miyagi</t>
        </is>
      </c>
      <c r="C260" s="156" t="inlineStr">
        <is>
          <t>宮城県農業共済組合</t>
        </is>
      </c>
      <c r="D260" s="156" t="inlineStr">
        <is>
          <t>Not found (NTA lookup blocked; dedupe by Japanese name)</t>
        </is>
      </c>
      <c r="E260" s="156" t="inlineStr">
        <is>
          <t>Miyagi</t>
        </is>
      </c>
      <c r="F260" s="156" t="inlineStr">
        <is>
          <t>Tohoku and Hokkaido</t>
        </is>
      </c>
      <c r="G260" s="157" t="inlineStr">
        <is>
          <t>https://www.nosaimiyagi.or.jp</t>
        </is>
      </c>
      <c r="H260" s="156" t="inlineStr">
        <is>
          <t>End user (livestock clinic network)</t>
        </is>
      </c>
      <c r="I260" s="156" t="inlineStr">
        <is>
          <t>Not identified</t>
        </is>
      </c>
      <c r="J260" s="156" t="inlineStr">
        <is>
          <t>Large animal</t>
        </is>
      </c>
      <c r="K260" s="156" t="inlineStr">
        <is>
          <t>Miyagi livestock clinics</t>
        </is>
      </c>
      <c r="L260" s="156" t="inlineStr">
        <is>
          <t>Not found</t>
        </is>
      </c>
      <c r="M260" s="156" t="inlineStr">
        <is>
          <t>4 livestock clinic centres incl. training centre</t>
        </is>
      </c>
      <c r="N260" s="156" t="inlineStr">
        <is>
          <t>Not identified</t>
        </is>
      </c>
      <c r="O260" s="156" t="inlineStr">
        <is>
          <t>Not identified</t>
        </is>
      </c>
      <c r="P260" s="156" t="inlineStr">
        <is>
          <t>Not published; inquiry form: https://www.nosaimiyagi.or.jp/contact/</t>
        </is>
      </c>
      <c r="Q260" s="156" t="inlineStr">
        <is>
          <t>0229 87 8281</t>
        </is>
      </c>
      <c r="R260" s="156" t="inlineStr">
        <is>
          <t>Not identified</t>
        </is>
      </c>
      <c r="S260" s="156" t="inlineStr">
        <is>
          <t>Company inquiry only (form)</t>
        </is>
      </c>
      <c r="T260" s="158">
        <f>SUM(Z260:AF260)</f>
        <v>18</v>
      </c>
      <c r="U260" s="164" t="inlineStr">
        <is>
          <t>V5</t>
        </is>
      </c>
      <c r="V260" s="156" t="inlineStr">
        <is>
          <t>Central centre doubles as a livestock clinical training site.</t>
        </is>
      </c>
      <c r="W260" s="156" t="inlineStr">
        <is>
          <t>Field trial of a rugged livestock portable (EBit 50) with clinic vets during pregnancy checks.</t>
        </is>
      </c>
      <c r="X260" s="156" t="inlineStr">
        <is>
          <t>Not checked (human list not in v17)</t>
        </is>
      </c>
      <c r="Y260" s="156" t="inlineStr">
        <is>
          <t>https://www.nosaimiyagi.or.jp/outline/ ; https://www.nosaimiyagi.or.jp/contact/</t>
        </is>
      </c>
      <c r="Z260" s="156" t="n">
        <v>1</v>
      </c>
      <c r="AA260" s="156" t="n">
        <v>4</v>
      </c>
      <c r="AB260" s="156" t="n">
        <v>3</v>
      </c>
      <c r="AC260" s="156" t="n">
        <v>1</v>
      </c>
      <c r="AD260" s="156" t="n">
        <v>5</v>
      </c>
      <c r="AE260" s="156" t="n">
        <v>1</v>
      </c>
      <c r="AF260" s="156" t="n">
        <v>3</v>
      </c>
      <c r="AG260" s="156" t="inlineStr">
        <is>
          <t>Evidence backed</t>
        </is>
      </c>
    </row>
    <row r="261" ht="75" customHeight="1" s="114">
      <c r="A261" s="156" t="n">
        <v>257</v>
      </c>
      <c r="B261" s="156" t="inlineStr">
        <is>
          <t>NOSAI Yamagata</t>
        </is>
      </c>
      <c r="C261" s="156" t="inlineStr">
        <is>
          <t>山形県農業共済組合</t>
        </is>
      </c>
      <c r="D261" s="156" t="inlineStr">
        <is>
          <t>Not found (NTA lookup blocked; dedupe by Japanese name)</t>
        </is>
      </c>
      <c r="E261" s="156" t="inlineStr">
        <is>
          <t>Yamagata</t>
        </is>
      </c>
      <c r="F261" s="156" t="inlineStr">
        <is>
          <t>Tohoku and Hokkaido</t>
        </is>
      </c>
      <c r="G261" s="157" t="inlineStr">
        <is>
          <t>https://www.yynosai.or.jp</t>
        </is>
      </c>
      <c r="H261" s="156" t="inlineStr">
        <is>
          <t>End user (livestock clinic network)</t>
        </is>
      </c>
      <c r="I261" s="156" t="inlineStr">
        <is>
          <t>Not identified</t>
        </is>
      </c>
      <c r="J261" s="156" t="inlineStr">
        <is>
          <t>Large animal</t>
        </is>
      </c>
      <c r="K261" s="156" t="inlineStr">
        <is>
          <t>Yamagata livestock clinics</t>
        </is>
      </c>
      <c r="L261" s="156" t="inlineStr">
        <is>
          <t>Not found</t>
        </is>
      </c>
      <c r="M261" s="156" t="inlineStr">
        <is>
          <t>3 centres plus satellite offices</t>
        </is>
      </c>
      <c r="N261" s="156" t="inlineStr">
        <is>
          <t>Not identified</t>
        </is>
      </c>
      <c r="O261" s="156" t="inlineStr">
        <is>
          <t>Not identified</t>
        </is>
      </c>
      <c r="P261" s="156" t="inlineStr">
        <is>
          <t>Not published; inquiry form: https://www.yynosai.or.jp/contact</t>
        </is>
      </c>
      <c r="Q261" s="156" t="inlineStr">
        <is>
          <t>023 656 8988</t>
        </is>
      </c>
      <c r="R261" s="156" t="inlineStr">
        <is>
          <t>Not identified</t>
        </is>
      </c>
      <c r="S261" s="156" t="inlineStr">
        <is>
          <t>Company inquiry only (form)</t>
        </is>
      </c>
      <c r="T261" s="158">
        <f>SUM(Z261:AF261)</f>
        <v>18</v>
      </c>
      <c r="U261" s="164" t="inlineStr">
        <is>
          <t>V5</t>
        </is>
      </c>
      <c r="V261" s="156" t="inlineStr">
        <is>
          <t>Central, northern and southern centres.</t>
        </is>
      </c>
      <c r="W261" s="156" t="inlineStr">
        <is>
          <t>Field trial of a rugged livestock portable (EBit 50) with clinic vets during pregnancy checks.</t>
        </is>
      </c>
      <c r="X261" s="156" t="inlineStr">
        <is>
          <t>Not checked (human list not in v17)</t>
        </is>
      </c>
      <c r="Y261" s="156" t="inlineStr">
        <is>
          <t>https://www.yynosai.or.jp/yamagata/branch ; https://www.yynosai.or.jp/contact</t>
        </is>
      </c>
      <c r="Z261" s="156" t="n">
        <v>1</v>
      </c>
      <c r="AA261" s="156" t="n">
        <v>4</v>
      </c>
      <c r="AB261" s="156" t="n">
        <v>3</v>
      </c>
      <c r="AC261" s="156" t="n">
        <v>1</v>
      </c>
      <c r="AD261" s="156" t="n">
        <v>5</v>
      </c>
      <c r="AE261" s="156" t="n">
        <v>1</v>
      </c>
      <c r="AF261" s="156" t="n">
        <v>3</v>
      </c>
      <c r="AG261" s="156" t="inlineStr">
        <is>
          <t>Evidence backed</t>
        </is>
      </c>
    </row>
    <row r="262" ht="75" customHeight="1" s="114">
      <c r="A262" s="156" t="n">
        <v>258</v>
      </c>
      <c r="B262" s="156" t="inlineStr">
        <is>
          <t>Total Herd Management Service Co., Ltd.</t>
        </is>
      </c>
      <c r="C262" s="156" t="inlineStr">
        <is>
          <t>株式会社トータルハードマネージメントサービス</t>
        </is>
      </c>
      <c r="D262" s="156" t="inlineStr">
        <is>
          <t>Not found (NTA lookup blocked; dedupe by Japanese name)</t>
        </is>
      </c>
      <c r="E262" s="156" t="inlineStr">
        <is>
          <t>Hokkaido</t>
        </is>
      </c>
      <c r="F262" s="156" t="inlineStr">
        <is>
          <t>Tohoku and Hokkaido</t>
        </is>
      </c>
      <c r="G262" s="157" t="inlineStr">
        <is>
          <t>https://www.thms.jp</t>
        </is>
      </c>
      <c r="H262" s="156" t="inlineStr">
        <is>
          <t>End user (livestock clinic network)</t>
        </is>
      </c>
      <c r="I262" s="156" t="inlineStr">
        <is>
          <t>Not identified</t>
        </is>
      </c>
      <c r="J262" s="156" t="inlineStr">
        <is>
          <t>Large animal</t>
        </is>
      </c>
      <c r="K262" s="156" t="inlineStr">
        <is>
          <t>Dairy farms</t>
        </is>
      </c>
      <c r="L262" s="156" t="inlineStr">
        <is>
          <t>Not found</t>
        </is>
      </c>
      <c r="M262" s="156" t="inlineStr">
        <is>
          <t>Herd health team</t>
        </is>
      </c>
      <c r="N262" s="156" t="inlineStr">
        <is>
          <t>Not identified</t>
        </is>
      </c>
      <c r="O262" s="156" t="inlineStr">
        <is>
          <t>Not identified</t>
        </is>
      </c>
      <c r="P262" s="156" t="inlineStr">
        <is>
          <t>Not published; inquiry form: https://www.thms.jp/contact/</t>
        </is>
      </c>
      <c r="Q262" s="156" t="inlineStr">
        <is>
          <t>0153 75 6589</t>
        </is>
      </c>
      <c r="R262" s="156" t="inlineStr">
        <is>
          <t>Not identified</t>
        </is>
      </c>
      <c r="S262" s="156" t="inlineStr">
        <is>
          <t>Company inquiry only (form); HQ Betsukai, Hokkaido</t>
        </is>
      </c>
      <c r="T262" s="158">
        <f>SUM(Z262:AF262)</f>
        <v>18</v>
      </c>
      <c r="U262" s="164" t="inlineStr">
        <is>
          <t>V5</t>
        </is>
      </c>
      <c r="V262" s="156" t="inlineStr">
        <is>
          <t>Dairy herd health service whose vets run routine repro (pregnancy) checks. FLAG: HQ not confirmed.</t>
        </is>
      </c>
      <c r="W262" s="156" t="inlineStr">
        <is>
          <t>Field trial of a rugged livestock portable (EBit 50) with clinic vets during pregnancy checks.</t>
        </is>
      </c>
      <c r="X262" s="156" t="inlineStr">
        <is>
          <t>Not checked (human list not in v17)</t>
        </is>
      </c>
      <c r="Y262" s="156" t="inlineStr">
        <is>
          <t>https://www.thms.jp/service/juuika/breeding/hanshokukenshin/ ; https://www.thms.jp/contact/</t>
        </is>
      </c>
      <c r="Z262" s="156" t="n">
        <v>1</v>
      </c>
      <c r="AA262" s="156" t="n">
        <v>4</v>
      </c>
      <c r="AB262" s="156" t="n">
        <v>3</v>
      </c>
      <c r="AC262" s="156" t="n">
        <v>1</v>
      </c>
      <c r="AD262" s="156" t="n">
        <v>5</v>
      </c>
      <c r="AE262" s="156" t="n">
        <v>1</v>
      </c>
      <c r="AF262" s="156" t="n">
        <v>3</v>
      </c>
      <c r="AG262" s="156" t="inlineStr">
        <is>
          <t>Evidence backed</t>
        </is>
      </c>
    </row>
    <row r="263" ht="75" customHeight="1" s="114">
      <c r="A263" s="156" t="n">
        <v>259</v>
      </c>
      <c r="B263" s="156" t="inlineStr">
        <is>
          <t>Will Animal Hospital Group</t>
        </is>
      </c>
      <c r="C263" s="156" t="inlineStr">
        <is>
          <t>株式会社ウイル動物病院グループ</t>
        </is>
      </c>
      <c r="D263" s="156" t="inlineStr">
        <is>
          <t>Not found (NTA lookup blocked; dedupe by Japanese name)</t>
        </is>
      </c>
      <c r="E263" s="156" t="inlineStr">
        <is>
          <t>Miyagi</t>
        </is>
      </c>
      <c r="F263" s="156" t="inlineStr">
        <is>
          <t>Tohoku and Hokkaido</t>
        </is>
      </c>
      <c r="G263" s="157" t="inlineStr">
        <is>
          <t>https://animal-99.com/</t>
        </is>
      </c>
      <c r="H263" s="156" t="inlineStr">
        <is>
          <t>End user (animal hospital group)</t>
        </is>
      </c>
      <c r="I263" s="156" t="inlineStr">
        <is>
          <t>Not identified</t>
        </is>
      </c>
      <c r="J263" s="156" t="inlineStr">
        <is>
          <t>Companion</t>
        </is>
      </c>
      <c r="K263" s="156" t="inlineStr">
        <is>
          <t>Miyagi (Sendai, Shiogama, Kakuda, Watari)</t>
        </is>
      </c>
      <c r="L263" s="156" t="inlineStr">
        <is>
          <t>Not found</t>
        </is>
      </c>
      <c r="M263" s="156" t="inlineStr">
        <is>
          <t>9</t>
        </is>
      </c>
      <c r="N263" s="156" t="inlineStr">
        <is>
          <t>Not identified</t>
        </is>
      </c>
      <c r="O263" s="156" t="inlineStr">
        <is>
          <t>Not identified</t>
        </is>
      </c>
      <c r="P263" s="156" t="inlineStr">
        <is>
          <t>Not published; inquiry form: https://animal-99.com/contact_form.html</t>
        </is>
      </c>
      <c r="Q263" s="156" t="inlineStr">
        <is>
          <t>022 355 8492</t>
        </is>
      </c>
      <c r="R263" s="156" t="inlineStr">
        <is>
          <t>Not identified</t>
        </is>
      </c>
      <c r="S263" s="156" t="inlineStr">
        <is>
          <t>Company inquiry only (form)</t>
        </is>
      </c>
      <c r="T263" s="158">
        <f>SUM(Z263:AF263)</f>
        <v>18</v>
      </c>
      <c r="U263" s="164" t="inlineStr">
        <is>
          <t>V5</t>
        </is>
      </c>
      <c r="V263" s="156" t="inlineStr">
        <is>
          <t>Nine hospital Sendai group incl. Sendai Animal Medical Center. FLAG: Part of MiraiVets/JPAC.</t>
        </is>
      </c>
      <c r="W263" s="156" t="inlineStr">
        <is>
          <t>Fleet evaluation: 30 day placement in two sites, then a group standard.</t>
        </is>
      </c>
      <c r="X263" s="156" t="inlineStr">
        <is>
          <t>Not checked (human list not in v17)</t>
        </is>
      </c>
      <c r="Y263" s="156" t="inlineStr">
        <is>
          <t>https://animal-99.com/ ; https://forbesjapan.com/articles/detail/82089 ; https://animal-99.com/contact_form.html</t>
        </is>
      </c>
      <c r="Z263" s="156" t="n">
        <v>1</v>
      </c>
      <c r="AA263" s="156" t="n">
        <v>4</v>
      </c>
      <c r="AB263" s="156" t="n">
        <v>3</v>
      </c>
      <c r="AC263" s="156" t="n">
        <v>5</v>
      </c>
      <c r="AD263" s="156" t="n">
        <v>1</v>
      </c>
      <c r="AE263" s="156" t="n">
        <v>1</v>
      </c>
      <c r="AF263" s="156" t="n">
        <v>3</v>
      </c>
      <c r="AG263" s="156" t="inlineStr">
        <is>
          <t>Evidence backed</t>
        </is>
      </c>
    </row>
  </sheetData>
  <autoFilter ref="A4:AG263"/>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G7" r:id="rId5"/>
    <hyperlink xmlns:r="http://schemas.openxmlformats.org/officeDocument/2006/relationships" ref="Y7" r:id="rId6"/>
    <hyperlink xmlns:r="http://schemas.openxmlformats.org/officeDocument/2006/relationships" ref="G8" r:id="rId7"/>
    <hyperlink xmlns:r="http://schemas.openxmlformats.org/officeDocument/2006/relationships" ref="Y8" r:id="rId8"/>
    <hyperlink xmlns:r="http://schemas.openxmlformats.org/officeDocument/2006/relationships" ref="G9" r:id="rId9"/>
    <hyperlink xmlns:r="http://schemas.openxmlformats.org/officeDocument/2006/relationships" ref="Y9" r:id="rId10"/>
    <hyperlink xmlns:r="http://schemas.openxmlformats.org/officeDocument/2006/relationships" ref="G10" r:id="rId11"/>
    <hyperlink xmlns:r="http://schemas.openxmlformats.org/officeDocument/2006/relationships" ref="Y10" r:id="rId12"/>
    <hyperlink xmlns:r="http://schemas.openxmlformats.org/officeDocument/2006/relationships" ref="Y11" r:id="rId13"/>
    <hyperlink xmlns:r="http://schemas.openxmlformats.org/officeDocument/2006/relationships" ref="G12" r:id="rId14"/>
    <hyperlink xmlns:r="http://schemas.openxmlformats.org/officeDocument/2006/relationships" ref="Y12" r:id="rId15"/>
    <hyperlink xmlns:r="http://schemas.openxmlformats.org/officeDocument/2006/relationships" ref="Y13" r:id="rId16"/>
    <hyperlink xmlns:r="http://schemas.openxmlformats.org/officeDocument/2006/relationships" ref="Y14" r:id="rId17"/>
    <hyperlink xmlns:r="http://schemas.openxmlformats.org/officeDocument/2006/relationships" ref="G15" r:id="rId18"/>
    <hyperlink xmlns:r="http://schemas.openxmlformats.org/officeDocument/2006/relationships" ref="Y15" r:id="rId19"/>
    <hyperlink xmlns:r="http://schemas.openxmlformats.org/officeDocument/2006/relationships" ref="G16" r:id="rId20"/>
    <hyperlink xmlns:r="http://schemas.openxmlformats.org/officeDocument/2006/relationships" ref="Y16" r:id="rId21"/>
    <hyperlink xmlns:r="http://schemas.openxmlformats.org/officeDocument/2006/relationships" ref="G17" r:id="rId22"/>
    <hyperlink xmlns:r="http://schemas.openxmlformats.org/officeDocument/2006/relationships" ref="Y17" r:id="rId23"/>
    <hyperlink xmlns:r="http://schemas.openxmlformats.org/officeDocument/2006/relationships" ref="G18" r:id="rId24"/>
    <hyperlink xmlns:r="http://schemas.openxmlformats.org/officeDocument/2006/relationships" ref="Y18" r:id="rId25"/>
    <hyperlink xmlns:r="http://schemas.openxmlformats.org/officeDocument/2006/relationships" ref="G19" r:id="rId26"/>
    <hyperlink xmlns:r="http://schemas.openxmlformats.org/officeDocument/2006/relationships" ref="Y19" r:id="rId27"/>
    <hyperlink xmlns:r="http://schemas.openxmlformats.org/officeDocument/2006/relationships" ref="Y20" r:id="rId28"/>
    <hyperlink xmlns:r="http://schemas.openxmlformats.org/officeDocument/2006/relationships" ref="G21" r:id="rId29"/>
    <hyperlink xmlns:r="http://schemas.openxmlformats.org/officeDocument/2006/relationships" ref="Y21" r:id="rId30"/>
    <hyperlink xmlns:r="http://schemas.openxmlformats.org/officeDocument/2006/relationships" ref="G22" r:id="rId31"/>
    <hyperlink xmlns:r="http://schemas.openxmlformats.org/officeDocument/2006/relationships" ref="Y22" r:id="rId32"/>
    <hyperlink xmlns:r="http://schemas.openxmlformats.org/officeDocument/2006/relationships" ref="Y23" r:id="rId33"/>
    <hyperlink xmlns:r="http://schemas.openxmlformats.org/officeDocument/2006/relationships" ref="G24" r:id="rId34"/>
    <hyperlink xmlns:r="http://schemas.openxmlformats.org/officeDocument/2006/relationships" ref="Y24" r:id="rId35"/>
    <hyperlink xmlns:r="http://schemas.openxmlformats.org/officeDocument/2006/relationships" ref="G25" r:id="rId36"/>
    <hyperlink xmlns:r="http://schemas.openxmlformats.org/officeDocument/2006/relationships" ref="Y25" r:id="rId37"/>
    <hyperlink xmlns:r="http://schemas.openxmlformats.org/officeDocument/2006/relationships" ref="G26" r:id="rId38"/>
    <hyperlink xmlns:r="http://schemas.openxmlformats.org/officeDocument/2006/relationships" ref="Y26" r:id="rId39"/>
    <hyperlink xmlns:r="http://schemas.openxmlformats.org/officeDocument/2006/relationships" ref="G27" r:id="rId40"/>
    <hyperlink xmlns:r="http://schemas.openxmlformats.org/officeDocument/2006/relationships" ref="Y27" r:id="rId41"/>
    <hyperlink xmlns:r="http://schemas.openxmlformats.org/officeDocument/2006/relationships" ref="G28" r:id="rId42"/>
    <hyperlink xmlns:r="http://schemas.openxmlformats.org/officeDocument/2006/relationships" ref="Y28" r:id="rId43"/>
    <hyperlink xmlns:r="http://schemas.openxmlformats.org/officeDocument/2006/relationships" ref="Y29" r:id="rId44"/>
    <hyperlink xmlns:r="http://schemas.openxmlformats.org/officeDocument/2006/relationships" ref="G30" r:id="rId45"/>
    <hyperlink xmlns:r="http://schemas.openxmlformats.org/officeDocument/2006/relationships" ref="Y30" r:id="rId46"/>
    <hyperlink xmlns:r="http://schemas.openxmlformats.org/officeDocument/2006/relationships" ref="Y31" r:id="rId47"/>
    <hyperlink xmlns:r="http://schemas.openxmlformats.org/officeDocument/2006/relationships" ref="G32" r:id="rId48"/>
    <hyperlink xmlns:r="http://schemas.openxmlformats.org/officeDocument/2006/relationships" ref="Y32" r:id="rId49"/>
    <hyperlink xmlns:r="http://schemas.openxmlformats.org/officeDocument/2006/relationships" ref="G33" r:id="rId50"/>
    <hyperlink xmlns:r="http://schemas.openxmlformats.org/officeDocument/2006/relationships" ref="Y33" r:id="rId51"/>
    <hyperlink xmlns:r="http://schemas.openxmlformats.org/officeDocument/2006/relationships" ref="G34" r:id="rId52"/>
    <hyperlink xmlns:r="http://schemas.openxmlformats.org/officeDocument/2006/relationships" ref="Y34" r:id="rId53"/>
    <hyperlink xmlns:r="http://schemas.openxmlformats.org/officeDocument/2006/relationships" ref="Y35" r:id="rId54"/>
    <hyperlink xmlns:r="http://schemas.openxmlformats.org/officeDocument/2006/relationships" ref="G36" r:id="rId55"/>
    <hyperlink xmlns:r="http://schemas.openxmlformats.org/officeDocument/2006/relationships" ref="Y36" r:id="rId56"/>
    <hyperlink xmlns:r="http://schemas.openxmlformats.org/officeDocument/2006/relationships" ref="G37" r:id="rId57"/>
    <hyperlink xmlns:r="http://schemas.openxmlformats.org/officeDocument/2006/relationships" ref="Y37" r:id="rId58"/>
    <hyperlink xmlns:r="http://schemas.openxmlformats.org/officeDocument/2006/relationships" ref="G38" r:id="rId59"/>
    <hyperlink xmlns:r="http://schemas.openxmlformats.org/officeDocument/2006/relationships" ref="Y38" r:id="rId60"/>
    <hyperlink xmlns:r="http://schemas.openxmlformats.org/officeDocument/2006/relationships" ref="G39" r:id="rId61"/>
    <hyperlink xmlns:r="http://schemas.openxmlformats.org/officeDocument/2006/relationships" ref="Y39" r:id="rId62"/>
    <hyperlink xmlns:r="http://schemas.openxmlformats.org/officeDocument/2006/relationships" ref="G40" r:id="rId63"/>
    <hyperlink xmlns:r="http://schemas.openxmlformats.org/officeDocument/2006/relationships" ref="Y40" r:id="rId64"/>
    <hyperlink xmlns:r="http://schemas.openxmlformats.org/officeDocument/2006/relationships" ref="Y41" r:id="rId65"/>
    <hyperlink xmlns:r="http://schemas.openxmlformats.org/officeDocument/2006/relationships" ref="G42" r:id="rId66"/>
    <hyperlink xmlns:r="http://schemas.openxmlformats.org/officeDocument/2006/relationships" ref="Y42" r:id="rId67"/>
    <hyperlink xmlns:r="http://schemas.openxmlformats.org/officeDocument/2006/relationships" ref="Y43" r:id="rId68"/>
    <hyperlink xmlns:r="http://schemas.openxmlformats.org/officeDocument/2006/relationships" ref="G44" r:id="rId69"/>
    <hyperlink xmlns:r="http://schemas.openxmlformats.org/officeDocument/2006/relationships" ref="Y44" r:id="rId70"/>
    <hyperlink xmlns:r="http://schemas.openxmlformats.org/officeDocument/2006/relationships" ref="G45" r:id="rId71"/>
    <hyperlink xmlns:r="http://schemas.openxmlformats.org/officeDocument/2006/relationships" ref="Y45" r:id="rId72"/>
    <hyperlink xmlns:r="http://schemas.openxmlformats.org/officeDocument/2006/relationships" ref="G46" r:id="rId73"/>
    <hyperlink xmlns:r="http://schemas.openxmlformats.org/officeDocument/2006/relationships" ref="Y46" r:id="rId74"/>
    <hyperlink xmlns:r="http://schemas.openxmlformats.org/officeDocument/2006/relationships" ref="G47" r:id="rId75"/>
    <hyperlink xmlns:r="http://schemas.openxmlformats.org/officeDocument/2006/relationships" ref="Y47" r:id="rId76"/>
    <hyperlink xmlns:r="http://schemas.openxmlformats.org/officeDocument/2006/relationships" ref="Y48" r:id="rId77"/>
    <hyperlink xmlns:r="http://schemas.openxmlformats.org/officeDocument/2006/relationships" ref="Y49" r:id="rId78"/>
    <hyperlink xmlns:r="http://schemas.openxmlformats.org/officeDocument/2006/relationships" ref="G50" r:id="rId79"/>
    <hyperlink xmlns:r="http://schemas.openxmlformats.org/officeDocument/2006/relationships" ref="Y50" r:id="rId80"/>
    <hyperlink xmlns:r="http://schemas.openxmlformats.org/officeDocument/2006/relationships" ref="G51" r:id="rId81"/>
    <hyperlink xmlns:r="http://schemas.openxmlformats.org/officeDocument/2006/relationships" ref="Y51" r:id="rId82"/>
    <hyperlink xmlns:r="http://schemas.openxmlformats.org/officeDocument/2006/relationships" ref="G52" r:id="rId83"/>
    <hyperlink xmlns:r="http://schemas.openxmlformats.org/officeDocument/2006/relationships" ref="Y52" r:id="rId84"/>
    <hyperlink xmlns:r="http://schemas.openxmlformats.org/officeDocument/2006/relationships" ref="G53" r:id="rId85"/>
    <hyperlink xmlns:r="http://schemas.openxmlformats.org/officeDocument/2006/relationships" ref="Y53" r:id="rId86"/>
    <hyperlink xmlns:r="http://schemas.openxmlformats.org/officeDocument/2006/relationships" ref="G54" r:id="rId87"/>
    <hyperlink xmlns:r="http://schemas.openxmlformats.org/officeDocument/2006/relationships" ref="Y54" r:id="rId88"/>
    <hyperlink xmlns:r="http://schemas.openxmlformats.org/officeDocument/2006/relationships" ref="G55" r:id="rId89"/>
    <hyperlink xmlns:r="http://schemas.openxmlformats.org/officeDocument/2006/relationships" ref="Y55" r:id="rId90"/>
    <hyperlink xmlns:r="http://schemas.openxmlformats.org/officeDocument/2006/relationships" ref="G56" r:id="rId91"/>
    <hyperlink xmlns:r="http://schemas.openxmlformats.org/officeDocument/2006/relationships" ref="Y56" r:id="rId92"/>
    <hyperlink xmlns:r="http://schemas.openxmlformats.org/officeDocument/2006/relationships" ref="G57" r:id="rId93"/>
    <hyperlink xmlns:r="http://schemas.openxmlformats.org/officeDocument/2006/relationships" ref="Y57" r:id="rId94"/>
    <hyperlink xmlns:r="http://schemas.openxmlformats.org/officeDocument/2006/relationships" ref="Y58" r:id="rId95"/>
    <hyperlink xmlns:r="http://schemas.openxmlformats.org/officeDocument/2006/relationships" ref="G59" r:id="rId96"/>
    <hyperlink xmlns:r="http://schemas.openxmlformats.org/officeDocument/2006/relationships" ref="Y59" r:id="rId97"/>
    <hyperlink xmlns:r="http://schemas.openxmlformats.org/officeDocument/2006/relationships" ref="G60" r:id="rId98"/>
    <hyperlink xmlns:r="http://schemas.openxmlformats.org/officeDocument/2006/relationships" ref="Y60" r:id="rId99"/>
    <hyperlink xmlns:r="http://schemas.openxmlformats.org/officeDocument/2006/relationships" ref="G61" r:id="rId100"/>
    <hyperlink xmlns:r="http://schemas.openxmlformats.org/officeDocument/2006/relationships" ref="Y61" r:id="rId101"/>
    <hyperlink xmlns:r="http://schemas.openxmlformats.org/officeDocument/2006/relationships" ref="G62" r:id="rId102"/>
    <hyperlink xmlns:r="http://schemas.openxmlformats.org/officeDocument/2006/relationships" ref="Y62" r:id="rId103"/>
    <hyperlink xmlns:r="http://schemas.openxmlformats.org/officeDocument/2006/relationships" ref="G63" r:id="rId104"/>
    <hyperlink xmlns:r="http://schemas.openxmlformats.org/officeDocument/2006/relationships" ref="Y63" r:id="rId105"/>
    <hyperlink xmlns:r="http://schemas.openxmlformats.org/officeDocument/2006/relationships" ref="Y64" r:id="rId106"/>
    <hyperlink xmlns:r="http://schemas.openxmlformats.org/officeDocument/2006/relationships" ref="Y65" r:id="rId107"/>
    <hyperlink xmlns:r="http://schemas.openxmlformats.org/officeDocument/2006/relationships" ref="G66" r:id="rId108"/>
    <hyperlink xmlns:r="http://schemas.openxmlformats.org/officeDocument/2006/relationships" ref="Y66" r:id="rId109"/>
    <hyperlink xmlns:r="http://schemas.openxmlformats.org/officeDocument/2006/relationships" ref="Y67" r:id="rId110"/>
    <hyperlink xmlns:r="http://schemas.openxmlformats.org/officeDocument/2006/relationships" ref="G68" r:id="rId111"/>
    <hyperlink xmlns:r="http://schemas.openxmlformats.org/officeDocument/2006/relationships" ref="Y68" r:id="rId112"/>
    <hyperlink xmlns:r="http://schemas.openxmlformats.org/officeDocument/2006/relationships" ref="Y69" r:id="rId113"/>
    <hyperlink xmlns:r="http://schemas.openxmlformats.org/officeDocument/2006/relationships" ref="Y70" r:id="rId114"/>
    <hyperlink xmlns:r="http://schemas.openxmlformats.org/officeDocument/2006/relationships" ref="G71" r:id="rId115"/>
    <hyperlink xmlns:r="http://schemas.openxmlformats.org/officeDocument/2006/relationships" ref="Y71" r:id="rId116"/>
    <hyperlink xmlns:r="http://schemas.openxmlformats.org/officeDocument/2006/relationships" ref="Y72" r:id="rId117"/>
    <hyperlink xmlns:r="http://schemas.openxmlformats.org/officeDocument/2006/relationships" ref="G73" r:id="rId118"/>
    <hyperlink xmlns:r="http://schemas.openxmlformats.org/officeDocument/2006/relationships" ref="Y73" r:id="rId119"/>
    <hyperlink xmlns:r="http://schemas.openxmlformats.org/officeDocument/2006/relationships" ref="G74" r:id="rId120"/>
    <hyperlink xmlns:r="http://schemas.openxmlformats.org/officeDocument/2006/relationships" ref="Y74" r:id="rId121"/>
    <hyperlink xmlns:r="http://schemas.openxmlformats.org/officeDocument/2006/relationships" ref="Y75" r:id="rId122"/>
    <hyperlink xmlns:r="http://schemas.openxmlformats.org/officeDocument/2006/relationships" ref="G76" r:id="rId123"/>
    <hyperlink xmlns:r="http://schemas.openxmlformats.org/officeDocument/2006/relationships" ref="Y76" r:id="rId124"/>
    <hyperlink xmlns:r="http://schemas.openxmlformats.org/officeDocument/2006/relationships" ref="Y77" r:id="rId125"/>
    <hyperlink xmlns:r="http://schemas.openxmlformats.org/officeDocument/2006/relationships" ref="Y78" r:id="rId126"/>
    <hyperlink xmlns:r="http://schemas.openxmlformats.org/officeDocument/2006/relationships" ref="G79" r:id="rId127"/>
    <hyperlink xmlns:r="http://schemas.openxmlformats.org/officeDocument/2006/relationships" ref="Y79" r:id="rId128"/>
    <hyperlink xmlns:r="http://schemas.openxmlformats.org/officeDocument/2006/relationships" ref="G80" r:id="rId129"/>
    <hyperlink xmlns:r="http://schemas.openxmlformats.org/officeDocument/2006/relationships" ref="Y80" r:id="rId130"/>
    <hyperlink xmlns:r="http://schemas.openxmlformats.org/officeDocument/2006/relationships" ref="Y81" r:id="rId131"/>
    <hyperlink xmlns:r="http://schemas.openxmlformats.org/officeDocument/2006/relationships" ref="G82" r:id="rId132"/>
    <hyperlink xmlns:r="http://schemas.openxmlformats.org/officeDocument/2006/relationships" ref="Y82" r:id="rId133"/>
    <hyperlink xmlns:r="http://schemas.openxmlformats.org/officeDocument/2006/relationships" ref="G83" r:id="rId134"/>
    <hyperlink xmlns:r="http://schemas.openxmlformats.org/officeDocument/2006/relationships" ref="Y83" r:id="rId135"/>
    <hyperlink xmlns:r="http://schemas.openxmlformats.org/officeDocument/2006/relationships" ref="G84" r:id="rId136"/>
    <hyperlink xmlns:r="http://schemas.openxmlformats.org/officeDocument/2006/relationships" ref="Y84" r:id="rId137"/>
    <hyperlink xmlns:r="http://schemas.openxmlformats.org/officeDocument/2006/relationships" ref="Y85" r:id="rId138"/>
    <hyperlink xmlns:r="http://schemas.openxmlformats.org/officeDocument/2006/relationships" ref="Y86" r:id="rId139"/>
    <hyperlink xmlns:r="http://schemas.openxmlformats.org/officeDocument/2006/relationships" ref="Y87" r:id="rId140"/>
    <hyperlink xmlns:r="http://schemas.openxmlformats.org/officeDocument/2006/relationships" ref="Y88" r:id="rId141"/>
    <hyperlink xmlns:r="http://schemas.openxmlformats.org/officeDocument/2006/relationships" ref="G89" r:id="rId142"/>
    <hyperlink xmlns:r="http://schemas.openxmlformats.org/officeDocument/2006/relationships" ref="Y89" r:id="rId143"/>
    <hyperlink xmlns:r="http://schemas.openxmlformats.org/officeDocument/2006/relationships" ref="G90" r:id="rId144"/>
    <hyperlink xmlns:r="http://schemas.openxmlformats.org/officeDocument/2006/relationships" ref="Y90" r:id="rId145"/>
    <hyperlink xmlns:r="http://schemas.openxmlformats.org/officeDocument/2006/relationships" ref="G91" r:id="rId146"/>
    <hyperlink xmlns:r="http://schemas.openxmlformats.org/officeDocument/2006/relationships" ref="Y91" r:id="rId147"/>
    <hyperlink xmlns:r="http://schemas.openxmlformats.org/officeDocument/2006/relationships" ref="G92" r:id="rId148"/>
    <hyperlink xmlns:r="http://schemas.openxmlformats.org/officeDocument/2006/relationships" ref="Y92" r:id="rId149"/>
    <hyperlink xmlns:r="http://schemas.openxmlformats.org/officeDocument/2006/relationships" ref="G93" r:id="rId150"/>
    <hyperlink xmlns:r="http://schemas.openxmlformats.org/officeDocument/2006/relationships" ref="Y93" r:id="rId151"/>
    <hyperlink xmlns:r="http://schemas.openxmlformats.org/officeDocument/2006/relationships" ref="G94" r:id="rId152"/>
    <hyperlink xmlns:r="http://schemas.openxmlformats.org/officeDocument/2006/relationships" ref="Y94" r:id="rId153"/>
    <hyperlink xmlns:r="http://schemas.openxmlformats.org/officeDocument/2006/relationships" ref="G95" r:id="rId154"/>
    <hyperlink xmlns:r="http://schemas.openxmlformats.org/officeDocument/2006/relationships" ref="Y95" r:id="rId155"/>
    <hyperlink xmlns:r="http://schemas.openxmlformats.org/officeDocument/2006/relationships" ref="G96" r:id="rId156"/>
    <hyperlink xmlns:r="http://schemas.openxmlformats.org/officeDocument/2006/relationships" ref="Y96" r:id="rId157"/>
    <hyperlink xmlns:r="http://schemas.openxmlformats.org/officeDocument/2006/relationships" ref="G97" r:id="rId158"/>
    <hyperlink xmlns:r="http://schemas.openxmlformats.org/officeDocument/2006/relationships" ref="Y97" r:id="rId159"/>
    <hyperlink xmlns:r="http://schemas.openxmlformats.org/officeDocument/2006/relationships" ref="Y98" r:id="rId160"/>
    <hyperlink xmlns:r="http://schemas.openxmlformats.org/officeDocument/2006/relationships" ref="Y99" r:id="rId161"/>
    <hyperlink xmlns:r="http://schemas.openxmlformats.org/officeDocument/2006/relationships" ref="G100" r:id="rId162"/>
    <hyperlink xmlns:r="http://schemas.openxmlformats.org/officeDocument/2006/relationships" ref="Y100" r:id="rId163"/>
    <hyperlink xmlns:r="http://schemas.openxmlformats.org/officeDocument/2006/relationships" ref="G101" r:id="rId164"/>
    <hyperlink xmlns:r="http://schemas.openxmlformats.org/officeDocument/2006/relationships" ref="Y101" r:id="rId165"/>
    <hyperlink xmlns:r="http://schemas.openxmlformats.org/officeDocument/2006/relationships" ref="G102" r:id="rId166"/>
    <hyperlink xmlns:r="http://schemas.openxmlformats.org/officeDocument/2006/relationships" ref="Y102" r:id="rId167"/>
    <hyperlink xmlns:r="http://schemas.openxmlformats.org/officeDocument/2006/relationships" ref="G103" r:id="rId168"/>
    <hyperlink xmlns:r="http://schemas.openxmlformats.org/officeDocument/2006/relationships" ref="Y103" r:id="rId169"/>
    <hyperlink xmlns:r="http://schemas.openxmlformats.org/officeDocument/2006/relationships" ref="Y104" r:id="rId170"/>
    <hyperlink xmlns:r="http://schemas.openxmlformats.org/officeDocument/2006/relationships" ref="Y105" r:id="rId171"/>
    <hyperlink xmlns:r="http://schemas.openxmlformats.org/officeDocument/2006/relationships" ref="Y106" r:id="rId172"/>
    <hyperlink xmlns:r="http://schemas.openxmlformats.org/officeDocument/2006/relationships" ref="Y107" r:id="rId173"/>
    <hyperlink xmlns:r="http://schemas.openxmlformats.org/officeDocument/2006/relationships" ref="Y108" r:id="rId174"/>
    <hyperlink xmlns:r="http://schemas.openxmlformats.org/officeDocument/2006/relationships" ref="Y109" r:id="rId175"/>
    <hyperlink xmlns:r="http://schemas.openxmlformats.org/officeDocument/2006/relationships" ref="G110" r:id="rId176"/>
    <hyperlink xmlns:r="http://schemas.openxmlformats.org/officeDocument/2006/relationships" ref="Y110" r:id="rId177"/>
    <hyperlink xmlns:r="http://schemas.openxmlformats.org/officeDocument/2006/relationships" ref="Y111" r:id="rId178"/>
    <hyperlink xmlns:r="http://schemas.openxmlformats.org/officeDocument/2006/relationships" ref="Y112" r:id="rId179"/>
    <hyperlink xmlns:r="http://schemas.openxmlformats.org/officeDocument/2006/relationships" ref="Y113" r:id="rId180"/>
    <hyperlink xmlns:r="http://schemas.openxmlformats.org/officeDocument/2006/relationships" ref="G114" r:id="rId181"/>
    <hyperlink xmlns:r="http://schemas.openxmlformats.org/officeDocument/2006/relationships" ref="Y114" r:id="rId182"/>
    <hyperlink xmlns:r="http://schemas.openxmlformats.org/officeDocument/2006/relationships" ref="G115" r:id="rId183"/>
    <hyperlink xmlns:r="http://schemas.openxmlformats.org/officeDocument/2006/relationships" ref="Y115" r:id="rId184"/>
    <hyperlink xmlns:r="http://schemas.openxmlformats.org/officeDocument/2006/relationships" ref="Y116" r:id="rId185"/>
    <hyperlink xmlns:r="http://schemas.openxmlformats.org/officeDocument/2006/relationships" ref="G117" r:id="rId186"/>
    <hyperlink xmlns:r="http://schemas.openxmlformats.org/officeDocument/2006/relationships" ref="Y117" r:id="rId187"/>
    <hyperlink xmlns:r="http://schemas.openxmlformats.org/officeDocument/2006/relationships" ref="Y118" r:id="rId188"/>
    <hyperlink xmlns:r="http://schemas.openxmlformats.org/officeDocument/2006/relationships" ref="Y119" r:id="rId189"/>
    <hyperlink xmlns:r="http://schemas.openxmlformats.org/officeDocument/2006/relationships" ref="Y120" r:id="rId190"/>
    <hyperlink xmlns:r="http://schemas.openxmlformats.org/officeDocument/2006/relationships" ref="Y121" r:id="rId191"/>
    <hyperlink xmlns:r="http://schemas.openxmlformats.org/officeDocument/2006/relationships" ref="G122" r:id="rId192"/>
    <hyperlink xmlns:r="http://schemas.openxmlformats.org/officeDocument/2006/relationships" ref="Y122" r:id="rId193"/>
    <hyperlink xmlns:r="http://schemas.openxmlformats.org/officeDocument/2006/relationships" ref="Y123" r:id="rId194"/>
    <hyperlink xmlns:r="http://schemas.openxmlformats.org/officeDocument/2006/relationships" ref="G124" r:id="rId195"/>
    <hyperlink xmlns:r="http://schemas.openxmlformats.org/officeDocument/2006/relationships" ref="Y124" r:id="rId196"/>
    <hyperlink xmlns:r="http://schemas.openxmlformats.org/officeDocument/2006/relationships" ref="G125" r:id="rId197"/>
    <hyperlink xmlns:r="http://schemas.openxmlformats.org/officeDocument/2006/relationships" ref="Y125" r:id="rId198"/>
    <hyperlink xmlns:r="http://schemas.openxmlformats.org/officeDocument/2006/relationships" ref="Y126" r:id="rId199"/>
    <hyperlink xmlns:r="http://schemas.openxmlformats.org/officeDocument/2006/relationships" ref="G127" r:id="rId200"/>
    <hyperlink xmlns:r="http://schemas.openxmlformats.org/officeDocument/2006/relationships" ref="Y127" r:id="rId201"/>
    <hyperlink xmlns:r="http://schemas.openxmlformats.org/officeDocument/2006/relationships" ref="G128" r:id="rId202"/>
    <hyperlink xmlns:r="http://schemas.openxmlformats.org/officeDocument/2006/relationships" ref="Y128" r:id="rId203"/>
    <hyperlink xmlns:r="http://schemas.openxmlformats.org/officeDocument/2006/relationships" ref="G129" r:id="rId204"/>
    <hyperlink xmlns:r="http://schemas.openxmlformats.org/officeDocument/2006/relationships" ref="Y129" r:id="rId205"/>
    <hyperlink xmlns:r="http://schemas.openxmlformats.org/officeDocument/2006/relationships" ref="Y130" r:id="rId206"/>
    <hyperlink xmlns:r="http://schemas.openxmlformats.org/officeDocument/2006/relationships" ref="Y131" r:id="rId207"/>
    <hyperlink xmlns:r="http://schemas.openxmlformats.org/officeDocument/2006/relationships" ref="G132" r:id="rId208"/>
    <hyperlink xmlns:r="http://schemas.openxmlformats.org/officeDocument/2006/relationships" ref="Y132" r:id="rId209"/>
    <hyperlink xmlns:r="http://schemas.openxmlformats.org/officeDocument/2006/relationships" ref="G133" r:id="rId210"/>
    <hyperlink xmlns:r="http://schemas.openxmlformats.org/officeDocument/2006/relationships" ref="Y133" r:id="rId211"/>
    <hyperlink xmlns:r="http://schemas.openxmlformats.org/officeDocument/2006/relationships" ref="Y134" r:id="rId212"/>
    <hyperlink xmlns:r="http://schemas.openxmlformats.org/officeDocument/2006/relationships" ref="G135" r:id="rId213"/>
    <hyperlink xmlns:r="http://schemas.openxmlformats.org/officeDocument/2006/relationships" ref="Y135" r:id="rId214"/>
    <hyperlink xmlns:r="http://schemas.openxmlformats.org/officeDocument/2006/relationships" ref="Y136" r:id="rId215"/>
    <hyperlink xmlns:r="http://schemas.openxmlformats.org/officeDocument/2006/relationships" ref="G137" r:id="rId216"/>
    <hyperlink xmlns:r="http://schemas.openxmlformats.org/officeDocument/2006/relationships" ref="Y137" r:id="rId217"/>
    <hyperlink xmlns:r="http://schemas.openxmlformats.org/officeDocument/2006/relationships" ref="G138" r:id="rId218"/>
    <hyperlink xmlns:r="http://schemas.openxmlformats.org/officeDocument/2006/relationships" ref="Y138" r:id="rId219"/>
    <hyperlink xmlns:r="http://schemas.openxmlformats.org/officeDocument/2006/relationships" ref="Y139" r:id="rId220"/>
    <hyperlink xmlns:r="http://schemas.openxmlformats.org/officeDocument/2006/relationships" ref="Y140" r:id="rId221"/>
    <hyperlink xmlns:r="http://schemas.openxmlformats.org/officeDocument/2006/relationships" ref="Y141" r:id="rId222"/>
    <hyperlink xmlns:r="http://schemas.openxmlformats.org/officeDocument/2006/relationships" ref="Y142" r:id="rId223"/>
    <hyperlink xmlns:r="http://schemas.openxmlformats.org/officeDocument/2006/relationships" ref="Y143" r:id="rId224"/>
    <hyperlink xmlns:r="http://schemas.openxmlformats.org/officeDocument/2006/relationships" ref="Y144" r:id="rId225"/>
    <hyperlink xmlns:r="http://schemas.openxmlformats.org/officeDocument/2006/relationships" ref="Y145" r:id="rId226"/>
    <hyperlink xmlns:r="http://schemas.openxmlformats.org/officeDocument/2006/relationships" ref="Y146" r:id="rId227"/>
    <hyperlink xmlns:r="http://schemas.openxmlformats.org/officeDocument/2006/relationships" ref="G147" r:id="rId228"/>
    <hyperlink xmlns:r="http://schemas.openxmlformats.org/officeDocument/2006/relationships" ref="Y147" r:id="rId229"/>
    <hyperlink xmlns:r="http://schemas.openxmlformats.org/officeDocument/2006/relationships" ref="Y148" r:id="rId230"/>
    <hyperlink xmlns:r="http://schemas.openxmlformats.org/officeDocument/2006/relationships" ref="G149" r:id="rId231"/>
    <hyperlink xmlns:r="http://schemas.openxmlformats.org/officeDocument/2006/relationships" ref="Y149" r:id="rId232"/>
    <hyperlink xmlns:r="http://schemas.openxmlformats.org/officeDocument/2006/relationships" ref="Y150" r:id="rId233"/>
    <hyperlink xmlns:r="http://schemas.openxmlformats.org/officeDocument/2006/relationships" ref="G151" r:id="rId234"/>
    <hyperlink xmlns:r="http://schemas.openxmlformats.org/officeDocument/2006/relationships" ref="Y151" r:id="rId235"/>
    <hyperlink xmlns:r="http://schemas.openxmlformats.org/officeDocument/2006/relationships" ref="Y152" r:id="rId236"/>
    <hyperlink xmlns:r="http://schemas.openxmlformats.org/officeDocument/2006/relationships" ref="G153" r:id="rId237"/>
    <hyperlink xmlns:r="http://schemas.openxmlformats.org/officeDocument/2006/relationships" ref="Y153" r:id="rId238"/>
    <hyperlink xmlns:r="http://schemas.openxmlformats.org/officeDocument/2006/relationships" ref="G154" r:id="rId239"/>
    <hyperlink xmlns:r="http://schemas.openxmlformats.org/officeDocument/2006/relationships" ref="Y154" r:id="rId240"/>
    <hyperlink xmlns:r="http://schemas.openxmlformats.org/officeDocument/2006/relationships" ref="Y155" r:id="rId241"/>
    <hyperlink xmlns:r="http://schemas.openxmlformats.org/officeDocument/2006/relationships" ref="G156" r:id="rId242"/>
    <hyperlink xmlns:r="http://schemas.openxmlformats.org/officeDocument/2006/relationships" ref="Y156" r:id="rId243"/>
    <hyperlink xmlns:r="http://schemas.openxmlformats.org/officeDocument/2006/relationships" ref="G157" r:id="rId244"/>
    <hyperlink xmlns:r="http://schemas.openxmlformats.org/officeDocument/2006/relationships" ref="Y157" r:id="rId245"/>
    <hyperlink xmlns:r="http://schemas.openxmlformats.org/officeDocument/2006/relationships" ref="Y158" r:id="rId246"/>
    <hyperlink xmlns:r="http://schemas.openxmlformats.org/officeDocument/2006/relationships" ref="Y159" r:id="rId247"/>
    <hyperlink xmlns:r="http://schemas.openxmlformats.org/officeDocument/2006/relationships" ref="Y160" r:id="rId248"/>
    <hyperlink xmlns:r="http://schemas.openxmlformats.org/officeDocument/2006/relationships" ref="Y161" r:id="rId249"/>
    <hyperlink xmlns:r="http://schemas.openxmlformats.org/officeDocument/2006/relationships" ref="Y162" r:id="rId250"/>
    <hyperlink xmlns:r="http://schemas.openxmlformats.org/officeDocument/2006/relationships" ref="Y163" r:id="rId251"/>
    <hyperlink xmlns:r="http://schemas.openxmlformats.org/officeDocument/2006/relationships" ref="Y164" r:id="rId252"/>
    <hyperlink xmlns:r="http://schemas.openxmlformats.org/officeDocument/2006/relationships" ref="G165" r:id="rId253"/>
    <hyperlink xmlns:r="http://schemas.openxmlformats.org/officeDocument/2006/relationships" ref="Y165" r:id="rId254"/>
    <hyperlink xmlns:r="http://schemas.openxmlformats.org/officeDocument/2006/relationships" ref="Y166" r:id="rId255"/>
    <hyperlink xmlns:r="http://schemas.openxmlformats.org/officeDocument/2006/relationships" ref="Y167" r:id="rId256"/>
    <hyperlink xmlns:r="http://schemas.openxmlformats.org/officeDocument/2006/relationships" ref="Y168" r:id="rId257"/>
    <hyperlink xmlns:r="http://schemas.openxmlformats.org/officeDocument/2006/relationships" ref="Y169" r:id="rId258"/>
    <hyperlink xmlns:r="http://schemas.openxmlformats.org/officeDocument/2006/relationships" ref="Y170" r:id="rId259"/>
    <hyperlink xmlns:r="http://schemas.openxmlformats.org/officeDocument/2006/relationships" ref="Y171" r:id="rId260"/>
    <hyperlink xmlns:r="http://schemas.openxmlformats.org/officeDocument/2006/relationships" ref="Y172" r:id="rId261"/>
    <hyperlink xmlns:r="http://schemas.openxmlformats.org/officeDocument/2006/relationships" ref="Y173" r:id="rId262"/>
    <hyperlink xmlns:r="http://schemas.openxmlformats.org/officeDocument/2006/relationships" ref="Y174" r:id="rId263"/>
    <hyperlink xmlns:r="http://schemas.openxmlformats.org/officeDocument/2006/relationships" ref="Y175" r:id="rId264"/>
    <hyperlink xmlns:r="http://schemas.openxmlformats.org/officeDocument/2006/relationships" ref="Y176" r:id="rId265"/>
    <hyperlink xmlns:r="http://schemas.openxmlformats.org/officeDocument/2006/relationships" ref="Y177" r:id="rId266"/>
    <hyperlink xmlns:r="http://schemas.openxmlformats.org/officeDocument/2006/relationships" ref="Y178" r:id="rId267"/>
    <hyperlink xmlns:r="http://schemas.openxmlformats.org/officeDocument/2006/relationships" ref="Y179" r:id="rId268"/>
    <hyperlink xmlns:r="http://schemas.openxmlformats.org/officeDocument/2006/relationships" ref="Y180" r:id="rId269"/>
    <hyperlink xmlns:r="http://schemas.openxmlformats.org/officeDocument/2006/relationships" ref="G181" r:id="rId270"/>
    <hyperlink xmlns:r="http://schemas.openxmlformats.org/officeDocument/2006/relationships" ref="Y181" r:id="rId271"/>
    <hyperlink xmlns:r="http://schemas.openxmlformats.org/officeDocument/2006/relationships" ref="G182" r:id="rId272"/>
    <hyperlink xmlns:r="http://schemas.openxmlformats.org/officeDocument/2006/relationships" ref="Y182" r:id="rId273"/>
    <hyperlink xmlns:r="http://schemas.openxmlformats.org/officeDocument/2006/relationships" ref="Y183" r:id="rId274"/>
    <hyperlink xmlns:r="http://schemas.openxmlformats.org/officeDocument/2006/relationships" ref="Y184" r:id="rId275"/>
    <hyperlink xmlns:r="http://schemas.openxmlformats.org/officeDocument/2006/relationships" ref="G185" r:id="rId276"/>
    <hyperlink xmlns:r="http://schemas.openxmlformats.org/officeDocument/2006/relationships" ref="Y185" r:id="rId277"/>
    <hyperlink xmlns:r="http://schemas.openxmlformats.org/officeDocument/2006/relationships" ref="Y186" r:id="rId278"/>
    <hyperlink xmlns:r="http://schemas.openxmlformats.org/officeDocument/2006/relationships" ref="Y187" r:id="rId279"/>
    <hyperlink xmlns:r="http://schemas.openxmlformats.org/officeDocument/2006/relationships" ref="Y188" r:id="rId280"/>
    <hyperlink xmlns:r="http://schemas.openxmlformats.org/officeDocument/2006/relationships" ref="Y189" r:id="rId281"/>
    <hyperlink xmlns:r="http://schemas.openxmlformats.org/officeDocument/2006/relationships" ref="Y190" r:id="rId282"/>
    <hyperlink xmlns:r="http://schemas.openxmlformats.org/officeDocument/2006/relationships" ref="G191" r:id="rId283"/>
    <hyperlink xmlns:r="http://schemas.openxmlformats.org/officeDocument/2006/relationships" ref="Y191" r:id="rId284"/>
    <hyperlink xmlns:r="http://schemas.openxmlformats.org/officeDocument/2006/relationships" ref="Y192" r:id="rId285"/>
    <hyperlink xmlns:r="http://schemas.openxmlformats.org/officeDocument/2006/relationships" ref="Y193" r:id="rId286"/>
    <hyperlink xmlns:r="http://schemas.openxmlformats.org/officeDocument/2006/relationships" ref="Y194" r:id="rId287"/>
    <hyperlink xmlns:r="http://schemas.openxmlformats.org/officeDocument/2006/relationships" ref="Y195" r:id="rId288"/>
    <hyperlink xmlns:r="http://schemas.openxmlformats.org/officeDocument/2006/relationships" ref="Y196" r:id="rId289"/>
    <hyperlink xmlns:r="http://schemas.openxmlformats.org/officeDocument/2006/relationships" ref="Y197" r:id="rId290"/>
    <hyperlink xmlns:r="http://schemas.openxmlformats.org/officeDocument/2006/relationships" ref="Y198" r:id="rId291"/>
    <hyperlink xmlns:r="http://schemas.openxmlformats.org/officeDocument/2006/relationships" ref="Y199" r:id="rId292"/>
    <hyperlink xmlns:r="http://schemas.openxmlformats.org/officeDocument/2006/relationships" ref="G200" r:id="rId293"/>
    <hyperlink xmlns:r="http://schemas.openxmlformats.org/officeDocument/2006/relationships" ref="Y200" r:id="rId294"/>
    <hyperlink xmlns:r="http://schemas.openxmlformats.org/officeDocument/2006/relationships" ref="Y201" r:id="rId295"/>
    <hyperlink xmlns:r="http://schemas.openxmlformats.org/officeDocument/2006/relationships" ref="G202" r:id="rId296"/>
    <hyperlink xmlns:r="http://schemas.openxmlformats.org/officeDocument/2006/relationships" ref="Y202" r:id="rId297"/>
    <hyperlink xmlns:r="http://schemas.openxmlformats.org/officeDocument/2006/relationships" ref="Y203" r:id="rId298"/>
    <hyperlink xmlns:r="http://schemas.openxmlformats.org/officeDocument/2006/relationships" ref="Y204" r:id="rId299"/>
    <hyperlink xmlns:r="http://schemas.openxmlformats.org/officeDocument/2006/relationships" ref="G205" r:id="rId300"/>
    <hyperlink xmlns:r="http://schemas.openxmlformats.org/officeDocument/2006/relationships" ref="Y205" r:id="rId301"/>
    <hyperlink xmlns:r="http://schemas.openxmlformats.org/officeDocument/2006/relationships" ref="Y206" r:id="rId302"/>
    <hyperlink xmlns:r="http://schemas.openxmlformats.org/officeDocument/2006/relationships" ref="G207" r:id="rId303"/>
    <hyperlink xmlns:r="http://schemas.openxmlformats.org/officeDocument/2006/relationships" ref="Y207" r:id="rId304"/>
    <hyperlink xmlns:r="http://schemas.openxmlformats.org/officeDocument/2006/relationships" ref="Y208" r:id="rId305"/>
    <hyperlink xmlns:r="http://schemas.openxmlformats.org/officeDocument/2006/relationships" ref="G209" r:id="rId306"/>
    <hyperlink xmlns:r="http://schemas.openxmlformats.org/officeDocument/2006/relationships" ref="Y209" r:id="rId307"/>
    <hyperlink xmlns:r="http://schemas.openxmlformats.org/officeDocument/2006/relationships" ref="G210" r:id="rId308"/>
    <hyperlink xmlns:r="http://schemas.openxmlformats.org/officeDocument/2006/relationships" ref="Y210" r:id="rId309"/>
    <hyperlink xmlns:r="http://schemas.openxmlformats.org/officeDocument/2006/relationships" ref="G211" r:id="rId310"/>
    <hyperlink xmlns:r="http://schemas.openxmlformats.org/officeDocument/2006/relationships" ref="Y211" r:id="rId311"/>
    <hyperlink xmlns:r="http://schemas.openxmlformats.org/officeDocument/2006/relationships" ref="G212" r:id="rId312"/>
    <hyperlink xmlns:r="http://schemas.openxmlformats.org/officeDocument/2006/relationships" ref="Y212" r:id="rId313"/>
    <hyperlink xmlns:r="http://schemas.openxmlformats.org/officeDocument/2006/relationships" ref="Y213" r:id="rId314"/>
    <hyperlink xmlns:r="http://schemas.openxmlformats.org/officeDocument/2006/relationships" ref="G214" r:id="rId315"/>
    <hyperlink xmlns:r="http://schemas.openxmlformats.org/officeDocument/2006/relationships" ref="Y214" r:id="rId316"/>
    <hyperlink xmlns:r="http://schemas.openxmlformats.org/officeDocument/2006/relationships" ref="Y215" r:id="rId317"/>
    <hyperlink xmlns:r="http://schemas.openxmlformats.org/officeDocument/2006/relationships" ref="G216" r:id="rId318"/>
    <hyperlink xmlns:r="http://schemas.openxmlformats.org/officeDocument/2006/relationships" ref="Y216" r:id="rId319"/>
    <hyperlink xmlns:r="http://schemas.openxmlformats.org/officeDocument/2006/relationships" ref="G217" r:id="rId320"/>
    <hyperlink xmlns:r="http://schemas.openxmlformats.org/officeDocument/2006/relationships" ref="Y217" r:id="rId321"/>
    <hyperlink xmlns:r="http://schemas.openxmlformats.org/officeDocument/2006/relationships" ref="Y218" r:id="rId322"/>
    <hyperlink xmlns:r="http://schemas.openxmlformats.org/officeDocument/2006/relationships" ref="G219" r:id="rId323"/>
    <hyperlink xmlns:r="http://schemas.openxmlformats.org/officeDocument/2006/relationships" ref="Y219" r:id="rId324"/>
    <hyperlink xmlns:r="http://schemas.openxmlformats.org/officeDocument/2006/relationships" ref="Y220" r:id="rId325"/>
    <hyperlink xmlns:r="http://schemas.openxmlformats.org/officeDocument/2006/relationships" ref="Y221" r:id="rId326"/>
    <hyperlink xmlns:r="http://schemas.openxmlformats.org/officeDocument/2006/relationships" ref="G222" r:id="rId327"/>
    <hyperlink xmlns:r="http://schemas.openxmlformats.org/officeDocument/2006/relationships" ref="Y222" r:id="rId328"/>
    <hyperlink xmlns:r="http://schemas.openxmlformats.org/officeDocument/2006/relationships" ref="G223" r:id="rId329"/>
    <hyperlink xmlns:r="http://schemas.openxmlformats.org/officeDocument/2006/relationships" ref="Y223" r:id="rId330"/>
    <hyperlink xmlns:r="http://schemas.openxmlformats.org/officeDocument/2006/relationships" ref="G224" r:id="rId331"/>
    <hyperlink xmlns:r="http://schemas.openxmlformats.org/officeDocument/2006/relationships" ref="Y224" r:id="rId332"/>
    <hyperlink xmlns:r="http://schemas.openxmlformats.org/officeDocument/2006/relationships" ref="G225" r:id="rId333"/>
    <hyperlink xmlns:r="http://schemas.openxmlformats.org/officeDocument/2006/relationships" ref="Y225" r:id="rId334"/>
    <hyperlink xmlns:r="http://schemas.openxmlformats.org/officeDocument/2006/relationships" ref="G226" r:id="rId335"/>
    <hyperlink xmlns:r="http://schemas.openxmlformats.org/officeDocument/2006/relationships" ref="Y226" r:id="rId336"/>
    <hyperlink xmlns:r="http://schemas.openxmlformats.org/officeDocument/2006/relationships" ref="G227" r:id="rId337"/>
    <hyperlink xmlns:r="http://schemas.openxmlformats.org/officeDocument/2006/relationships" ref="Y227" r:id="rId338"/>
    <hyperlink xmlns:r="http://schemas.openxmlformats.org/officeDocument/2006/relationships" ref="G228" r:id="rId339"/>
    <hyperlink xmlns:r="http://schemas.openxmlformats.org/officeDocument/2006/relationships" ref="Y228" r:id="rId340"/>
    <hyperlink xmlns:r="http://schemas.openxmlformats.org/officeDocument/2006/relationships" ref="G229" r:id="rId341"/>
    <hyperlink xmlns:r="http://schemas.openxmlformats.org/officeDocument/2006/relationships" ref="Y229" r:id="rId342"/>
    <hyperlink xmlns:r="http://schemas.openxmlformats.org/officeDocument/2006/relationships" ref="G230" r:id="rId343"/>
    <hyperlink xmlns:r="http://schemas.openxmlformats.org/officeDocument/2006/relationships" ref="Y230" r:id="rId344"/>
    <hyperlink xmlns:r="http://schemas.openxmlformats.org/officeDocument/2006/relationships" ref="G231" r:id="rId345"/>
    <hyperlink xmlns:r="http://schemas.openxmlformats.org/officeDocument/2006/relationships" ref="Y231" r:id="rId346"/>
    <hyperlink xmlns:r="http://schemas.openxmlformats.org/officeDocument/2006/relationships" ref="G232" r:id="rId347"/>
    <hyperlink xmlns:r="http://schemas.openxmlformats.org/officeDocument/2006/relationships" ref="Y232" r:id="rId348"/>
    <hyperlink xmlns:r="http://schemas.openxmlformats.org/officeDocument/2006/relationships" ref="G233" r:id="rId349"/>
    <hyperlink xmlns:r="http://schemas.openxmlformats.org/officeDocument/2006/relationships" ref="Y233" r:id="rId350"/>
    <hyperlink xmlns:r="http://schemas.openxmlformats.org/officeDocument/2006/relationships" ref="G234" r:id="rId351"/>
    <hyperlink xmlns:r="http://schemas.openxmlformats.org/officeDocument/2006/relationships" ref="Y234" r:id="rId352"/>
    <hyperlink xmlns:r="http://schemas.openxmlformats.org/officeDocument/2006/relationships" ref="G235" r:id="rId353"/>
    <hyperlink xmlns:r="http://schemas.openxmlformats.org/officeDocument/2006/relationships" ref="Y235" r:id="rId354"/>
    <hyperlink xmlns:r="http://schemas.openxmlformats.org/officeDocument/2006/relationships" ref="G236" r:id="rId355"/>
    <hyperlink xmlns:r="http://schemas.openxmlformats.org/officeDocument/2006/relationships" ref="Y236" r:id="rId356"/>
    <hyperlink xmlns:r="http://schemas.openxmlformats.org/officeDocument/2006/relationships" ref="G237" r:id="rId357"/>
    <hyperlink xmlns:r="http://schemas.openxmlformats.org/officeDocument/2006/relationships" ref="Y237" r:id="rId358"/>
    <hyperlink xmlns:r="http://schemas.openxmlformats.org/officeDocument/2006/relationships" ref="G238" r:id="rId359"/>
    <hyperlink xmlns:r="http://schemas.openxmlformats.org/officeDocument/2006/relationships" ref="Y238" r:id="rId360"/>
    <hyperlink xmlns:r="http://schemas.openxmlformats.org/officeDocument/2006/relationships" ref="Y239" r:id="rId361"/>
    <hyperlink xmlns:r="http://schemas.openxmlformats.org/officeDocument/2006/relationships" ref="G240" r:id="rId362"/>
    <hyperlink xmlns:r="http://schemas.openxmlformats.org/officeDocument/2006/relationships" ref="Y240" r:id="rId363"/>
    <hyperlink xmlns:r="http://schemas.openxmlformats.org/officeDocument/2006/relationships" ref="Y241" r:id="rId364"/>
    <hyperlink xmlns:r="http://schemas.openxmlformats.org/officeDocument/2006/relationships" ref="G242" r:id="rId365"/>
    <hyperlink xmlns:r="http://schemas.openxmlformats.org/officeDocument/2006/relationships" ref="Y242" r:id="rId366"/>
    <hyperlink xmlns:r="http://schemas.openxmlformats.org/officeDocument/2006/relationships" ref="G243" r:id="rId367"/>
    <hyperlink xmlns:r="http://schemas.openxmlformats.org/officeDocument/2006/relationships" ref="Y243" r:id="rId368"/>
    <hyperlink xmlns:r="http://schemas.openxmlformats.org/officeDocument/2006/relationships" ref="G244" r:id="rId369"/>
    <hyperlink xmlns:r="http://schemas.openxmlformats.org/officeDocument/2006/relationships" ref="Y244" r:id="rId370"/>
    <hyperlink xmlns:r="http://schemas.openxmlformats.org/officeDocument/2006/relationships" ref="G245" r:id="rId371"/>
    <hyperlink xmlns:r="http://schemas.openxmlformats.org/officeDocument/2006/relationships" ref="Y245" r:id="rId372"/>
    <hyperlink xmlns:r="http://schemas.openxmlformats.org/officeDocument/2006/relationships" ref="G246" r:id="rId373"/>
    <hyperlink xmlns:r="http://schemas.openxmlformats.org/officeDocument/2006/relationships" ref="Y246" r:id="rId374"/>
    <hyperlink xmlns:r="http://schemas.openxmlformats.org/officeDocument/2006/relationships" ref="G247" r:id="rId375"/>
    <hyperlink xmlns:r="http://schemas.openxmlformats.org/officeDocument/2006/relationships" ref="Y247" r:id="rId376"/>
    <hyperlink xmlns:r="http://schemas.openxmlformats.org/officeDocument/2006/relationships" ref="G248" r:id="rId377"/>
    <hyperlink xmlns:r="http://schemas.openxmlformats.org/officeDocument/2006/relationships" ref="Y248" r:id="rId378"/>
    <hyperlink xmlns:r="http://schemas.openxmlformats.org/officeDocument/2006/relationships" ref="G249" r:id="rId379"/>
    <hyperlink xmlns:r="http://schemas.openxmlformats.org/officeDocument/2006/relationships" ref="Y249" r:id="rId380"/>
    <hyperlink xmlns:r="http://schemas.openxmlformats.org/officeDocument/2006/relationships" ref="G250" r:id="rId381"/>
    <hyperlink xmlns:r="http://schemas.openxmlformats.org/officeDocument/2006/relationships" ref="Y250" r:id="rId382"/>
    <hyperlink xmlns:r="http://schemas.openxmlformats.org/officeDocument/2006/relationships" ref="G251" r:id="rId383"/>
    <hyperlink xmlns:r="http://schemas.openxmlformats.org/officeDocument/2006/relationships" ref="Y251" r:id="rId384"/>
    <hyperlink xmlns:r="http://schemas.openxmlformats.org/officeDocument/2006/relationships" ref="G252" r:id="rId385"/>
    <hyperlink xmlns:r="http://schemas.openxmlformats.org/officeDocument/2006/relationships" ref="Y252" r:id="rId386"/>
    <hyperlink xmlns:r="http://schemas.openxmlformats.org/officeDocument/2006/relationships" ref="Y253" r:id="rId387"/>
    <hyperlink xmlns:r="http://schemas.openxmlformats.org/officeDocument/2006/relationships" ref="G254" r:id="rId388"/>
    <hyperlink xmlns:r="http://schemas.openxmlformats.org/officeDocument/2006/relationships" ref="Y254" r:id="rId389"/>
    <hyperlink xmlns:r="http://schemas.openxmlformats.org/officeDocument/2006/relationships" ref="G255" r:id="rId390"/>
    <hyperlink xmlns:r="http://schemas.openxmlformats.org/officeDocument/2006/relationships" ref="Y255" r:id="rId391"/>
    <hyperlink xmlns:r="http://schemas.openxmlformats.org/officeDocument/2006/relationships" ref="G256" r:id="rId392"/>
    <hyperlink xmlns:r="http://schemas.openxmlformats.org/officeDocument/2006/relationships" ref="Y256" r:id="rId393"/>
    <hyperlink xmlns:r="http://schemas.openxmlformats.org/officeDocument/2006/relationships" ref="G257" r:id="rId394"/>
    <hyperlink xmlns:r="http://schemas.openxmlformats.org/officeDocument/2006/relationships" ref="Y257" r:id="rId395"/>
    <hyperlink xmlns:r="http://schemas.openxmlformats.org/officeDocument/2006/relationships" ref="G258" r:id="rId396"/>
    <hyperlink xmlns:r="http://schemas.openxmlformats.org/officeDocument/2006/relationships" ref="Y258" r:id="rId397"/>
    <hyperlink xmlns:r="http://schemas.openxmlformats.org/officeDocument/2006/relationships" ref="Y259" r:id="rId398"/>
    <hyperlink xmlns:r="http://schemas.openxmlformats.org/officeDocument/2006/relationships" ref="G260" r:id="rId399"/>
    <hyperlink xmlns:r="http://schemas.openxmlformats.org/officeDocument/2006/relationships" ref="Y260" r:id="rId400"/>
    <hyperlink xmlns:r="http://schemas.openxmlformats.org/officeDocument/2006/relationships" ref="G261" r:id="rId401"/>
    <hyperlink xmlns:r="http://schemas.openxmlformats.org/officeDocument/2006/relationships" ref="Y261" r:id="rId402"/>
    <hyperlink xmlns:r="http://schemas.openxmlformats.org/officeDocument/2006/relationships" ref="G262" r:id="rId403"/>
    <hyperlink xmlns:r="http://schemas.openxmlformats.org/officeDocument/2006/relationships" ref="Y262" r:id="rId404"/>
    <hyperlink xmlns:r="http://schemas.openxmlformats.org/officeDocument/2006/relationships" ref="G263" r:id="rId405"/>
    <hyperlink xmlns:r="http://schemas.openxmlformats.org/officeDocument/2006/relationships" ref="Y263" r:id="rId4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3"/>
  <sheetViews>
    <sheetView topLeftCell="U5" zoomScaleNormal="100" workbookViewId="0">
      <selection activeCell="X5" sqref="X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SOUTH KOREA — VETERINARY DEALER / DISTRIBUTOR TARGETS</t>
        </is>
      </c>
    </row>
    <row r="2" ht="30" customHeight="1" s="114">
      <c r="A2" s="17" t="inlineStr">
        <is>
          <t>Dealer model. RULE AGREED WITH JERRY: discuss every Korean distributor with Jerry BEFORE first contact. Korean veterinary devices are licensed through QIA, not MFDS. Two columns at the far right hold a ready to send email for each company.</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4</v>
      </c>
      <c r="B5" s="41" t="inlineStr">
        <is>
          <t>㈜오르바이오 (AureBIO)</t>
        </is>
      </c>
      <c r="C5" s="113" t="inlineStr">
        <is>
          <t>AureBIO Co., Ltd.</t>
        </is>
      </c>
      <c r="D5" s="42" t="inlineStr">
        <is>
          <t>Not started</t>
        </is>
      </c>
      <c r="E5" s="43" t="n"/>
      <c r="F5" s="44" t="inlineStr">
        <is>
          <t>Clear with Jerry before first contact</t>
        </is>
      </c>
      <c r="G5" s="45" t="n"/>
      <c r="H5" s="46" t="inlineStr">
        <is>
          <t>Seoul veterinary ultrasound training academy running small-group hands-on courses — abdominal completion, cardiac completion, feline comprehensive, canine intermediate, POCUS and small-animal practical — taught by Prof. Choi Min-cheol of the SNU College of Veterinary Medicine, with affiliated supply of units. RELEVANCE: Prof. Choi has published the argument himself, stating that ultrasound ought to be the best value-for-money device in an animal hospital and in practice is not, and setting out his buying criteria as image quality within a price band and probe frequency range. That is CHISON's positioning stated by a Korean KOL before you walk in. Training academies also convert unusually well: every student scans on the machine in the room.</t>
        </is>
      </c>
      <c r="I5" s="113" t="inlineStr">
        <is>
          <t>Veterinary ultrasound training academy. Small-group hands-on courses — abdominal completion, cardiac completion, feline comprehensive, canine intermediate, POCUS, small-animal practical — taught by Prof. CHOI Min-cheol, SNU College of Veterinary Medicine emeritus professor and Korean veterinary radiology specialist, 30 years' experience. Publishes his serialised 'Ultrasound Story' column (also carried by Dailyvet). Also runs the Dr.PET-BORII product line. An affiliated body has supplied ultrasound units to animal hospitals.</t>
        </is>
      </c>
      <c r="J5" s="113" t="inlineStr">
        <is>
          <t>Partially — affiliated supply of units</t>
        </is>
      </c>
      <c r="K5" s="46" t="inlineStr">
        <is>
          <t>Seoul</t>
        </is>
      </c>
      <c r="L5" s="47" t="inlineStr">
        <is>
          <t>https://aurebio.co.kr (/ultrasound_story · /drpetborii)</t>
        </is>
      </c>
      <c r="M5" s="113" t="inlineStr">
        <is>
          <t>Not published — course enquiry via site</t>
        </is>
      </c>
      <c r="N5" s="113" t="inlineStr">
        <is>
          <t>Not published — form only</t>
        </is>
      </c>
      <c r="O5" s="113" t="inlineStr">
        <is>
          <t>Seoul · courses led by Prof. CHOI Min-cheol (SNU emeritus)</t>
        </is>
      </c>
      <c r="P5" s="113" t="inlineStr">
        <is>
          <t>B — VERIFIED PARTIAL (site opened and live; no phone/email published)</t>
        </is>
      </c>
      <c r="Q5" s="113" t="inlineStr">
        <is>
          <t>The strongest single opening in Korea, and the argument is already written for you. Prof. Choi's own published column states that ultrasound SHOULD be the best value-for-money device in an animal hospital and in practice is not; his buying criteria are image quality within a price band, probe frequency matched to patient size, the clinic's finances, and — pointedly — model production year, discontinuation risk and A/S, after a Japanese unit he owned became unrepairable. That is CHISON's pitch verbatim. Placing units in his teaching room puts the brand in the hands of every Korean vet about to buy one, and it is legitimate pre-market work that can begin before an importer is appointed.</t>
        </is>
      </c>
      <c r="R5" s="113" t="inlineStr">
        <is>
          <t>SonoEye P3 VET teaching fleet + SonoAir 70 VET</t>
        </is>
      </c>
      <c r="S5" s="48" t="inlineStr">
        <is>
          <t>TIER 1</t>
        </is>
      </c>
      <c r="T5" s="49" t="inlineStr">
        <is>
          <t>HIGH — the strongest single opening in Korea, and the argument has already been written for you.</t>
        </is>
      </c>
      <c r="U5" s="113" t="inlineStr">
        <is>
          <t>G</t>
        </is>
      </c>
      <c r="V5" s="113" t="inlineStr">
        <is>
          <t>Verified site — fetched 4 Aug 2026</t>
        </is>
      </c>
      <c r="W5" s="50" t="inlineStr">
        <is>
          <t>AureBIO Co., Ltd.: equipment for your programme, not a sales call</t>
        </is>
      </c>
      <c r="X5" s="50" t="inlineStr">
        <is>
          <t>Dear ㈜오르바이오 (AureBIO Co., Ltd.) team,
My name is Casper Tan, Senior Regional Sales Manager at AstraMed Healthcare, a subsidiary of CHISON Medical Technologies. I cover Japan, South Korea, Taiwan and Singapore for CHISON veterinary ultrasound. I am writing to AureBIO Co., Ltd. specifically, not to a list. I read Professor Choi Min-cheol's ultrasound column. His argument, that ultrasound ought to be the best value-for-money device in an animal hospital and usually is not, and that discontinued models with no local service are a real buying risk, is, almost word for word, the case CHISON exists to make.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Korea yet. Veterinary devices there are licensed through QIA rather than MFDS, and we would want a partner who already understands that route.
The product I would put in front of you first is the SonoEye P3 VET teaching fleet and SonoAir 70 VET.
Could we talk about what a sensible arrangement would look like?
Best regards,
Casper Tan
Senior Regional Sales Manager
AstraMed Healthcare, a subsidiary of CHISON Medical Technologies
casper@astramed.sg | +65 8719 0121</t>
        </is>
      </c>
    </row>
    <row r="6" ht="165" customHeight="1" s="114">
      <c r="A6" s="113" t="n">
        <v>16</v>
      </c>
      <c r="B6" s="41" t="inlineStr">
        <is>
          <t>㈜바이오노트 (BioNote)</t>
        </is>
      </c>
      <c r="C6" s="113" t="inlineStr">
        <is>
          <t>BioNote, Inc.</t>
        </is>
      </c>
      <c r="D6" s="42" t="inlineStr">
        <is>
          <t>Not started</t>
        </is>
      </c>
      <c r="E6" s="43" t="n"/>
      <c r="F6" s="44" t="inlineStr">
        <is>
          <t>Clear with Jerry before first contact</t>
        </is>
      </c>
      <c r="G6" s="45" t="n"/>
      <c r="H6" s="46" t="inlineStr">
        <is>
          <t>KOSPI-listed (377740, listed December 2022), founded 2003, headquartered in Hwaseong, Gyeonggi. Develops, manufactures and DISTRIBUTES veterinary diagnostic reagents and instruments built on recombinant antigen and antibody technology, and holds the number-one global market share in its niche. RELEVANCE: a listed company with a real distribution organisation reaching Korean animal hospitals and export markets, and nothing at all in imaging. Their point-of-care philosophy — the answer at the patient rather than in a lab — is the same sentence a handheld scanner sells on.</t>
        </is>
      </c>
      <c r="I6" s="113" t="inlineStr">
        <is>
          <t>KOSPI-listed (377740, listed Dec 2022), founded 2003, HQ Hwaseong, Gyeonggi. Develops, manufactures and DISTRIBUTES veterinary diagnostic reagents and instruments on recombinant antigen/antibody technology. Holds the number-one GLOBAL market share in veterinary immunodiagnostic devices. Vcheck C is a multi-channel all-in-one point-of-care platform covering chemistry, urine and immunoassay. Actively expanding into the US and the wider global animal diagnostics market.</t>
        </is>
      </c>
      <c r="J6" s="113" t="inlineStr">
        <is>
          <t>NO — diagnostics only</t>
        </is>
      </c>
      <c r="K6" s="46" t="inlineStr">
        <is>
          <t>Hwaseong, Gyeonggi; global</t>
        </is>
      </c>
      <c r="L6" s="47" t="inlineStr">
        <is>
          <t>https://www.bionote.co.kr · en.bionote.co.kr</t>
        </is>
      </c>
      <c r="M6" s="113" t="inlineStr">
        <is>
          <t>NOT CONFIRMED (site fetch timed out)</t>
        </is>
      </c>
      <c r="N6" s="113" t="inlineStr">
        <is>
          <t>NOT CONFIRMED</t>
        </is>
      </c>
      <c r="O6" s="41" t="inlineStr">
        <is>
          <t>경기도 화성시 · KOSPI 377740 · est. 2003</t>
        </is>
      </c>
      <c r="P6" s="113" t="inlineStr">
        <is>
          <t>C — SITE LIVE, NOT OPENED (fetch timed out twice; listing and company facts confirmed via KOSPI coverage and Korean pharma press)</t>
        </is>
      </c>
      <c r="Q6" s="113" t="inlineStr">
        <is>
          <t>The largest Korean veterinary diagnostics company and a global number one in its niche, with a distribution organisation reaching Korean animal hospitals and export markets. No imaging line at all. The point-of-care philosophy — answers at the patient rather than in a lab — is the same argument a handheld scanner makes, and a POC diagnostics plus POCUS bundle is a proposition nobody in Korea is currently selling.</t>
        </is>
      </c>
      <c r="R6" s="113" t="inlineStr">
        <is>
          <t>SonoEye P3 VET (POC bundle) + EBit 50 VET</t>
        </is>
      </c>
      <c r="S6" s="48" t="inlineStr">
        <is>
          <t>TIER 1</t>
        </is>
      </c>
      <c r="T6" s="49" t="inlineStr">
        <is>
          <t>HIGH — the largest Korean veterinary diagnostics company, with distribution and no imaging line.</t>
        </is>
      </c>
      <c r="U6" s="113" t="inlineStr">
        <is>
          <t>D</t>
        </is>
      </c>
      <c r="V6" s="113" t="inlineStr">
        <is>
          <t>Verified — company site, KOSPI listing, Korean pharma trade press</t>
        </is>
      </c>
      <c r="W6" s="50" t="inlineStr">
        <is>
          <t>BioNote, Inc.: a second capital line for the customers you already have</t>
        </is>
      </c>
      <c r="X6" s="50" t="inlineStr">
        <is>
          <t>Dear ㈜바이오노트 (BioNote, Inc.) team,
My name is Casper Tan, Senior Regional Sales Manager at AstraMed Healthcare, a subsidiary of CHISON Medical Technologies. I cover Japan, South Korea, Taiwan and Singapore for CHISON veterinary ultrasound. I am writing to BioNote, Inc. specifically, not to a list. You hold the number-one global position in veterinary immunodiagnostic devices, and Vcheck C is built on the principle that the answer should come at the patient rather than from a laboratory. There is no imaging in your line, and a point-of-care diagnostics plus point-of-care ultrasound proposition is one nobody in Korea is currently selling.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(POC bundle) and EBit 50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7" ht="165" customHeight="1" s="114">
      <c r="A7" s="113" t="n">
        <v>18</v>
      </c>
      <c r="B7" s="41" t="inlineStr">
        <is>
          <t>㈜디알젬 (DRGEM)</t>
        </is>
      </c>
      <c r="C7" s="113" t="inlineStr">
        <is>
          <t>DRGEM Corporation</t>
        </is>
      </c>
      <c r="D7" s="42" t="inlineStr">
        <is>
          <t>Not started</t>
        </is>
      </c>
      <c r="E7" s="43" t="n"/>
      <c r="F7" s="44" t="inlineStr">
        <is>
          <t>Clear with Jerry before first contact</t>
        </is>
      </c>
      <c r="G7" s="45" t="n"/>
      <c r="H7" s="46" t="inlineStr">
        <is>
          <t>Korean diagnostic X-ray manufacturer with a dedicated veterinary system line (VXR-E / VXR-EC) on its healthcare site, supplying veterinary supply companies that serve animal hospitals. RELEVANCE: the veterinary channel and the regulatory groundwork already exist, and there is no ultrasound to defend. Same structural fit as Woorien and Genoray — a complete imaging line missing one modality.</t>
        </is>
      </c>
      <c r="I7" s="113" t="inlineStr">
        <is>
          <t>Korean diagnostic X-ray manufacturer with a dedicated VETERINARY system line (VXR-E / VXR-EC) published on its healthcare site. Supplies veterinary supply companies serving animal hospitals.</t>
        </is>
      </c>
      <c r="J7" s="113" t="inlineStr">
        <is>
          <t>NO — X-ray only</t>
        </is>
      </c>
      <c r="K7" s="46" t="inlineStr">
        <is>
          <t>Korea + export</t>
        </is>
      </c>
      <c r="L7" s="47" t="inlineStr">
        <is>
          <t>https://www.drgemhealthcare.com/vet-system-vxr-e-ec/</t>
        </is>
      </c>
      <c r="M7" s="113" t="inlineStr">
        <is>
          <t>NOT CONFIRMED</t>
        </is>
      </c>
      <c r="N7" s="113" t="inlineStr">
        <is>
          <t>NOT CONFIRMED</t>
        </is>
      </c>
      <c r="O7" s="113" t="inlineStr">
        <is>
          <t>Korea</t>
        </is>
      </c>
      <c r="P7" s="113" t="inlineStr">
        <is>
          <t>C — SITE LIVE, NOT OPENED (veterinary product page returned by search)</t>
        </is>
      </c>
      <c r="Q7" s="113" t="inlineStr">
        <is>
          <t>Publishes a veterinary X-ray system line, so the veterinary channel and the regulatory work are already in place. No ultrasound to defend. Same structural fit as Woorien and Genoray — a complete imaging line minus the one modality CHISON makes.</t>
        </is>
      </c>
      <c r="R7" s="113" t="inlineStr">
        <is>
          <t>SonoEye P3 VET + SonoGO VET</t>
        </is>
      </c>
      <c r="S7" s="48" t="inlineStr">
        <is>
          <t>TIER 1</t>
        </is>
      </c>
      <c r="T7" s="49" t="inlineStr">
        <is>
          <t>HIGH — publishes a veterinary X-ray line, so channel and regulatory work are already done.</t>
        </is>
      </c>
      <c r="U7" s="113" t="inlineStr">
        <is>
          <t>F</t>
        </is>
      </c>
      <c r="V7" s="113" t="inlineStr">
        <is>
          <t>Verified — corporate veterinary product page</t>
        </is>
      </c>
      <c r="W7" s="50" t="inlineStr">
        <is>
          <t>DRGEM Corporation: the gap in your imaging line</t>
        </is>
      </c>
      <c r="X7" s="50" t="inlineStr">
        <is>
          <t>Dear ㈜디알젬 (DRGEM Corporation) team,
My name is Casper Tan, Senior Regional Sales Manager at AstraMed Healthcare, a subsidiary of CHISON Medical Technologies. I cover Japan, South Korea, Taiwan and Singapore for CHISON veterinary ultrasound. I am writing to DRGEM Corporation specifically, not to a list. You publish a dedicated veterinary X-ray system line, so the veterinary channel and the regulatory work are already built at your end. The one modality missing from it is the one we make.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and SonoGO VET.
Would you be open to a call to look at the numbers together?
Best regards,
Casper Tan
Senior Regional Sales Manager
AstraMed Healthcare, a subsidiary of CHISON Medical Technologies
casper@astramed.sg | +65 8719 0121</t>
        </is>
      </c>
    </row>
    <row r="8" ht="165" customHeight="1" s="114">
      <c r="A8" s="113" t="n">
        <v>17</v>
      </c>
      <c r="B8" s="41" t="inlineStr">
        <is>
          <t>㈜제노레이 (Genoray)</t>
        </is>
      </c>
      <c r="C8" s="113" t="inlineStr">
        <is>
          <t>Genoray Co., Ltd.</t>
        </is>
      </c>
      <c r="D8" s="42" t="inlineStr">
        <is>
          <t>Not started</t>
        </is>
      </c>
      <c r="E8" s="43" t="n"/>
      <c r="F8" s="44" t="inlineStr">
        <is>
          <t>Clear with Jerry before first contact</t>
        </is>
      </c>
      <c r="G8" s="45" t="n"/>
      <c r="H8" s="46" t="inlineStr">
        <is>
          <t>Korean digital X-ray specialist founded 2001, researching, manufacturing and selling C-arms, mammography, 3D CT, panoramic dental and portable X-ray, and publishing a veterinary product line including the Oscar Classic C-arm. RELEVANCE: a C-arm customer is a surgical or interventional veterinary hospital — exactly the account that also wants a pocket scanner for vascular access and guidance. Manufacturer-to-manufacturer conversations move faster than dealer negotiations because both sides understand the regulatory work.</t>
        </is>
      </c>
      <c r="I8" s="113" t="inlineStr">
        <is>
          <t>Digital X-ray specialist founded 2001. Researches, develops, manufactures and sells medical C-arms, mammography, 3D CT, panoramic dental and portable X-ray — and publishes a VETERINARY product line including the Oscar Classic C-arm.</t>
        </is>
      </c>
      <c r="J8" s="113" t="inlineStr">
        <is>
          <t>NO — X-ray and CT only</t>
        </is>
      </c>
      <c r="K8" s="46" t="inlineStr">
        <is>
          <t>Korea + export</t>
        </is>
      </c>
      <c r="L8" s="47" t="inlineStr">
        <is>
          <t>https://www.genoray.com (also profiled on komachine.com/ko/companies/genoray)</t>
        </is>
      </c>
      <c r="M8" s="113" t="inlineStr">
        <is>
          <t>NOT CONFIRMED</t>
        </is>
      </c>
      <c r="N8" s="113" t="inlineStr">
        <is>
          <t>NOT CONFIRMED</t>
        </is>
      </c>
      <c r="O8" s="113" t="inlineStr">
        <is>
          <t>Korea · est. 2001</t>
        </is>
      </c>
      <c r="P8" s="113" t="inlineStr">
        <is>
          <t>C — SITE LIVE BUT BOT-BLOCKED (genoray.com served a human-verification challenge on 4 Aug 2026; open it in a normal browser. Company confirmed via Komachine profile.)</t>
        </is>
      </c>
      <c r="Q8" s="113" t="inlineStr">
        <is>
          <t>An established Korean imaging manufacturer with an existing veterinary product line and no ultrasound in it. A C-arm customer is a surgical or interventional veterinary hospital — exactly the account that also wants a pocket scanner for vascular access and guidance. Manufacturer-to-manufacturer conversations also open the possibility of them holding the Korean import licence.</t>
        </is>
      </c>
      <c r="R8" s="113" t="inlineStr">
        <is>
          <t>SonoEye P3 VET + SonoAir 70 VET</t>
        </is>
      </c>
      <c r="S8" s="48" t="inlineStr">
        <is>
          <t>TIER 1</t>
        </is>
      </c>
      <c r="T8" s="49" t="inlineStr">
        <is>
          <t>HIGH — established imaging manufacturer with a veterinary line and no ultrasound in it.</t>
        </is>
      </c>
      <c r="U8" s="113" t="inlineStr">
        <is>
          <t>F</t>
        </is>
      </c>
      <c r="V8" s="113" t="inlineStr">
        <is>
          <t>Verified — corporate site + Komachine profile</t>
        </is>
      </c>
      <c r="W8" s="50" t="inlineStr">
        <is>
          <t>Genoray Co., Ltd.: the gap in your imaging line</t>
        </is>
      </c>
      <c r="X8" s="50" t="inlineStr">
        <is>
          <t>Dear ㈜제노레이 (Genoray Co., Ltd.) team,
My name is Casper Tan, Senior Regional Sales Manager at AstraMed Healthcare, a subsidiary of CHISON Medical Technologies. I cover Japan, South Korea, Taiwan and Singapore for CHISON veterinary ultrasound. I am writing to Genoray Co., Ltd. specifically, not to a list. You already publish a veterinary line, including the Oscar Classic C-arm, and a C-arm customer is a surgical or interventional veterinary hospital. There is no ultrasound anywhere in your catalogue.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and SonoAir 70 VET.
Would you be open to a call to look at the numbers together?
Best regards,
Casper Tan
Senior Regional Sales Manager
AstraMed Healthcare, a subsidiary of CHISON Medical Technologies
casper@astramed.sg | +65 8719 0121</t>
        </is>
      </c>
    </row>
    <row r="9" ht="165" customHeight="1" s="114">
      <c r="A9" s="113" t="n">
        <v>3</v>
      </c>
      <c r="B9" s="41" t="inlineStr">
        <is>
          <t>아이메디컴㈜</t>
        </is>
      </c>
      <c r="C9" s="113" t="inlineStr">
        <is>
          <t>IMEDICOM Co., Ltd.</t>
        </is>
      </c>
      <c r="D9" s="42" t="inlineStr">
        <is>
          <t>Not started</t>
        </is>
      </c>
      <c r="E9" s="43" t="n"/>
      <c r="F9" s="44" t="inlineStr">
        <is>
          <t>Clear with Jerry before first contact</t>
        </is>
      </c>
      <c r="G9" s="45" t="n"/>
      <c r="H9" s="46" t="inlineStr">
        <is>
          <t>Korean manufacturer founded 2004 making orthopaedic, spinal, ENT and veterinary products — surgical handpieces, blades, balloon catheters and veterinary implants. Holds CE, US FDA, MDSAP and ISO 13485 and exports to more than 40 countries. Publicly expanding into companion-animal diagnostics. RELEVANCE: they already understand device registration and hold their own quality system, which is directly useful given Korea's QIA import-licence requirement. An imaging line fits the diversification they have already announced.</t>
        </is>
      </c>
      <c r="I9" s="113" t="inlineStr">
        <is>
          <t>Korean manufacturer of orthopaedic, spinal, ENT and VETERINARY products — surgical handpieces, blades, balloon catheters, veterinary implants. Est. 2004. CE, US FDA, MDSAP, ISO 13485; exports to 40+ countries. Expanding into companion-animal diagnostic kits (heartworm, giardia, parvo, corona).</t>
        </is>
      </c>
      <c r="J9" s="113" t="inlineStr">
        <is>
          <t>NO</t>
        </is>
      </c>
      <c r="K9" s="46" t="inlineStr">
        <is>
          <t>Korea; 40+ export markets</t>
        </is>
      </c>
      <c r="L9" s="47" t="inlineStr">
        <is>
          <t>https://imedicom.co.kr/orthopedics/ · imedicom.co.kr/ent/ (vet: imedicomvet.com)</t>
        </is>
      </c>
      <c r="M9" s="113" t="inlineStr">
        <is>
          <t>NOT CONFIRMED</t>
        </is>
      </c>
      <c r="N9" s="113" t="inlineStr">
        <is>
          <t>NOT CONFIRMED</t>
        </is>
      </c>
      <c r="O9" s="113" t="inlineStr">
        <is>
          <t>Korea · est. 2004 · CE/FDA/MDSAP/ISO 13485 · 40+ export markets</t>
        </is>
      </c>
      <c r="P9" s="113" t="inlineStr">
        <is>
          <t>C — PARTIAL (imedicom.co.kr root and imedicomvet.com both returned EMPTY pages on 4 Aug 2026; the /orthopedics and /ent sections are search-indexed. Use the section pages.)</t>
        </is>
      </c>
      <c r="Q9" s="113" t="inlineStr">
        <is>
          <t>A manufacturer, so they hold their own quality system and understand device registration — which matters because Korea requires a locally licensed importer for veterinary devices. They are actively broadening from implants into vet diagnostics, so an imaging line fits their stated direction. Candidate to hold the QIA import licence.</t>
        </is>
      </c>
      <c r="R9" s="113" t="inlineStr">
        <is>
          <t>SonoEye P3 VET + EBit 50 VET; SonoTouch VET for ortho</t>
        </is>
      </c>
      <c r="S9" s="48" t="inlineStr">
        <is>
          <t>TIER 1</t>
        </is>
      </c>
      <c r="T9" s="49" t="inlineStr">
        <is>
          <t>HIGH — a manufacturer with its own quality system, which matters because Korea needs a locally licensed importer.</t>
        </is>
      </c>
      <c r="U9" s="113" t="inlineStr">
        <is>
          <t>C</t>
        </is>
      </c>
      <c r="V9" s="113" t="inlineStr">
        <is>
          <t>PARTIAL — imedicom.co.kr root returned an empty page on 4 Aug 2026; the /orthopedics and /ent sections and the separate imedicomvet.com are search-indexed. Use imedicomvet.com as the entry point.</t>
        </is>
      </c>
      <c r="W9" s="50" t="inlineStr">
        <is>
          <t>IMEDICOM Co., Ltd.: ultrasound guidance for the surgery you already equip</t>
        </is>
      </c>
      <c r="X9" s="50" t="inlineStr">
        <is>
          <t>Dear 아이메디컴㈜ (IMEDICOM Co., Ltd.) team,
My name is Casper Tan, Senior Regional Sales Manager at AstraMed Healthcare, a subsidiary of CHISON Medical Technologies. I cover Japan, South Korea, Taiwan and Singapore for CHISON veterinary ultrasound. I am writing to IMEDICOM Co., Ltd. specifically, not to a list. You manufacture veterinary implants and surgical handpieces, you hold CE, US FDA, MDSAP and ISO 13485, and you export to more than forty countries. You are also moving into companion-animal diagnostics. Korea requires a locally licensed importer for veterinary devices, and you already run a quality system.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Korea yet. Veterinary devices there are licensed through QIA rather than MFDS, and we would want a partner who already understands that route.
The product I would put in front of you first is the SonoEye P3 VET and EBit 50 VET; SonoTouch VET for ortho.
Are you open to a short call? I would rather show you the block and the vascular-access demo than describe them.
Best regards,
Casper Tan
Senior Regional Sales Manager
AstraMed Healthcare, a subsidiary of CHISON Medical Technologies
casper@astramed.sg | +65 8719 0121</t>
        </is>
      </c>
    </row>
    <row r="10" ht="165" customHeight="1" s="114">
      <c r="A10" s="113" t="n">
        <v>2</v>
      </c>
      <c r="B10" s="41" t="inlineStr">
        <is>
          <t>㈜메디레이</t>
        </is>
      </c>
      <c r="C10" s="113" t="inlineStr">
        <is>
          <t>Mediray Co., Ltd.</t>
        </is>
      </c>
      <c r="D10" s="42" t="inlineStr">
        <is>
          <t>Not started</t>
        </is>
      </c>
      <c r="E10" s="43" t="n"/>
      <c r="F10" s="44" t="inlineStr">
        <is>
          <t>Clear with Jerry before first contact</t>
        </is>
      </c>
      <c r="G10" s="45" t="n"/>
      <c r="H10" s="46" t="inlineStr">
        <is>
          <t>Seoul-based veterinary distributor of premium surgical and interventional equipment, and official partner for Medtronic, Johnson &amp; Johnson MedTech (Ethicon, DePuy Synthes), Stryker, Boston Scientific and B.Braun. Runs medileimall.com with a diagnostic and imaging equipment category. RELEVANCE: they sell the highest-value surgical kit in Korean veterinary practice, so the buying committee already trusts them on capital goods. A pocket scanner for vascular access, nerve block and interventional guidance rides on a sale they are already making. Confirm whether their imaging category already includes ultrasound before pitching.</t>
        </is>
      </c>
      <c r="I10" s="113" t="inlineStr">
        <is>
          <t>Veterinary distributor of premium surgical and interventional equipment: official partner for Medtronic, Johnson &amp; Johnson MedTech (Ethicon, DePuy Synthes), Stryker, Boston Scientific and B.Braun. Categories on medileimall.com: diagnostic/test equipment, anaesthesia-pump-warm air, IMAGING EQUIPMENT, brain navigation, drills and SonoPet aspiration, electro/laser surgery and ablation, endoscopy, OR fit-out, smoke evacuation and disinfection, used equipment; plus sutures, staplers, TPLO plates and saw blades, shunts, interventional catheters and pacemakers. Runs VET STAR and the MVP neurosurgery live-surgery seminar programme.</t>
        </is>
      </c>
      <c r="J10" s="113" t="inlineStr">
        <is>
          <t>Has an 'imaging equipment' category — CONFIRM whether it includes ultrasound before pitching</t>
        </is>
      </c>
      <c r="K10" s="46" t="inlineStr">
        <is>
          <t>Seoul; national</t>
        </is>
      </c>
      <c r="L10" s="47" t="inlineStr">
        <is>
          <t>https://medileimall.com · blog.naver.com/medilei</t>
        </is>
      </c>
      <c r="M10" s="113" t="inlineStr">
        <is>
          <t>TEL +82-2-6327-8777</t>
        </is>
      </c>
      <c r="N10" s="113" t="inlineStr">
        <is>
          <t>KakaoTalk channel / site enquiry</t>
        </is>
      </c>
      <c r="O10" s="113" t="inlineStr">
        <is>
          <t>Seoul</t>
        </is>
      </c>
      <c r="P10" s="113" t="inlineStr">
        <is>
          <t>A — VERIFIED DIRECT (phone published for product enquiries)</t>
        </is>
      </c>
      <c r="Q10" s="113" t="inlineStr">
        <is>
          <t>Sells the highest-value surgical kit in Korean vet, so the buying committee already trusts them on capital equipment. A pocket scanner for vascular access, nerve block and interventional guidance rides on a sale they are already making. Their live-surgery seminars are a ready-made demo stage.</t>
        </is>
      </c>
      <c r="R10" s="113" t="inlineStr">
        <is>
          <t>SonoEye P3 VET (vascular access / nerve block) + SonoAir 70 VET</t>
        </is>
      </c>
      <c r="S10" s="48" t="inlineStr">
        <is>
          <t>TIER 1</t>
        </is>
      </c>
      <c r="T10" s="49" t="inlineStr">
        <is>
          <t>HIGH — trusted on capital equipment, with a live-surgery seminar programme that is a ready-made demo stage.</t>
        </is>
      </c>
      <c r="U10" s="113" t="inlineStr">
        <is>
          <t>C</t>
        </is>
      </c>
      <c r="V10" s="113" t="inlineStr">
        <is>
          <t>Verified (medileimall.com) + Dailyvet coverage</t>
        </is>
      </c>
      <c r="W10" s="50" t="inlineStr">
        <is>
          <t>Mediray Co., Ltd.: ultrasound guidance for the surgery you already equip</t>
        </is>
      </c>
      <c r="X10" s="50" t="inlineStr">
        <is>
          <t>Dear ㈜메디레이 (Mediray Co., Ltd.) team,
My name is Casper Tan, Senior Regional Sales Manager at AstraMed Healthcare, a subsidiary of CHISON Medical Technologies. I cover Japan, South Korea, Taiwan and Singapore for CHISON veterinary ultrasound. I am writing to Mediray Co., Ltd. specifically, not to a list. You supply Medtronic, Johnson &amp; Johnson, Stryker, Boston Scientific and B.Braun into Korean veterinary surgery, and you run VET STAR and the MVP live-surgery seminars. The veterinarians buying that kit are increasingly doing ultrasound-guided blocks and vascular access, and most are borrowing the radiology machine to do it.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Korea yet. Veterinary devices there are licensed through QIA rather than MFDS, and we would want a partner who already understands that route.
The product I would put in front of you first is the SonoEye P3 VET (vascular access / nerve block) and SonoAir 70 VET.
Are you open to a short call? I would rather show you the block and the vascular-access demo than describe them.
Best regards,
Casper Tan
Senior Regional Sales Manager
AstraMed Healthcare, a subsidiary of CHISON Medical Technologies
casper@astramed.sg | +65 8719 0121</t>
        </is>
      </c>
    </row>
    <row r="11" ht="165" customHeight="1" s="114">
      <c r="A11" s="113" t="n">
        <v>15</v>
      </c>
      <c r="B11" s="41" t="inlineStr">
        <is>
          <t>㈜포스콤 (POSKOM)</t>
        </is>
      </c>
      <c r="C11" s="113" t="inlineStr">
        <is>
          <t>POSKOM Co., Ltd.</t>
        </is>
      </c>
      <c r="D11" s="42" t="inlineStr">
        <is>
          <t>Contacted</t>
        </is>
      </c>
      <c r="E11" s="43" t="inlineStr">
        <is>
          <t>Casper</t>
        </is>
      </c>
      <c r="F11" s="44" t="inlineStr">
        <is>
          <t>Intro email sent 28 Sep 2026 from casper@astramed.sg with CHISON VET Introduction 2027 attached. Follow up by phone or email if no reply</t>
        </is>
      </c>
      <c r="G11" s="121" t="n">
        <v>46300</v>
      </c>
      <c r="H11" s="46" t="inlineStr">
        <is>
          <t>Korean medical device manufacturer specialising in ultra-low-dose, ultra-lightweight battery-powered portable X-ray that runs without mains power or a shielded room. Published application areas include emergency and intensive care, disaster response and veterinary. Exports widely. RELEVANCE: they have built an entire business on the argument that imaging should be battery-powered, portable and usable outside a fixed room — which is precisely the argument a handheld scanner makes. They already sell into veterinary and they have no ultrasound. The strategic case does not need to be explained to them.</t>
        </is>
      </c>
      <c r="I11" s="113" t="inlineStr">
        <is>
          <t>Korean medical device manufacturer specialising in ULTRA-LOW-DOSE, ULTRA-LIGHTWEIGHT battery-powered portable X-ray. Devices run without mains power or a separate shielded room. Published application areas include emergency and intensive care, disaster and field medicine, remote mountain and island healthcare, defence, industrial NDT — and LARGE-ANIMAL VETERINARY DIAGNOSIS, which they name explicitly.</t>
        </is>
      </c>
      <c r="J11" s="113" t="inlineStr">
        <is>
          <t>NO — portable X-ray only</t>
        </is>
      </c>
      <c r="K11" s="46" t="inlineStr">
        <is>
          <t>Korea + export</t>
        </is>
      </c>
      <c r="L11" s="47" t="inlineStr">
        <is>
          <t>https://www.poskom.com (veterinary: /kor/product/list.php?pt1Idx=26)</t>
        </is>
      </c>
      <c r="M11" s="41" t="inlineStr">
        <is>
          <t>대표전화 TEL +82-31-906-9007 · FAX +82-31-908-4208</t>
        </is>
      </c>
      <c r="N11" s="113" t="inlineStr">
        <is>
          <t>sales@poskom.com (구매문의 / purchasing enquiries)</t>
        </is>
      </c>
      <c r="O11" s="113" t="inlineStr">
        <is>
          <t>(10534) 경기도 고양시 덕양구 소원로 227 포스콤타워 · CEO 박종래 · exhibits KIMES, RSNA, MEDICA, Arab Health</t>
        </is>
      </c>
      <c r="P11" s="113" t="inlineStr">
        <is>
          <t>A — VERIFIED DIRECT (phone + sales email off the site footer)</t>
        </is>
      </c>
      <c r="Q11" s="113" t="inlineStr">
        <is>
          <t>The closest philosophical match to CHISON in Korea. They have built a business on the argument that imaging should be battery-powered, portable and usable outside a fixed room — which is the same argument a handheld scanner makes. They already sell into veterinary, they have no ultrasound, and their engineers already understand portable-device service and battery logistics.</t>
        </is>
      </c>
      <c r="R11" s="113" t="inlineStr">
        <is>
          <t>SonoEye P6 VET handheld and the SonoAir VET portable, both of which pair naturally with portable X-ray</t>
        </is>
      </c>
      <c r="S11" s="48" t="inlineStr">
        <is>
          <t>TIER 1</t>
        </is>
      </c>
      <c r="T11" s="49" t="inlineStr">
        <is>
          <t>HIGH — the closest philosophical match to CHISON anywhere in Korea.</t>
        </is>
      </c>
      <c r="U11" s="113" t="inlineStr">
        <is>
          <t>F</t>
        </is>
      </c>
      <c r="V11" s="113" t="inlineStr">
        <is>
          <t>Verified — Korean medical trade press interview + corporate site</t>
        </is>
      </c>
      <c r="W11" s="50" t="inlineStr">
        <is>
          <t>POSKOM Co., Ltd.: the gap in your imaging line</t>
        </is>
      </c>
      <c r="X11" s="50" t="inlineStr">
        <is>
          <t>Dear ㈜포스콤 (POSKOM Co., Ltd.) team,
My name is Casper Tan, Senior Regional Sales Manager at AstraMed Healthcare, a subsidiary of CHISON Medical Technologies. I cover Japan, South Korea, Taiwan and Singapore for CHISON veterinary ultrasound. I am writing to POSKOM Co., Ltd. specifically, not to a list. You built a business on the argument that diagnostic imaging should be battery-powered, portable and usable without a shielded room, and you name large-animal veterinary diagnosis as one of your application areas. That is the same argument a handheld scanner makes, from the other modality.
CHISON makes veterinary ultrasound across the whole range, handheld SonoEye, portable SonoAir and SonoVet 8,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P6 VET handheld and the SonoAir VET portable, both of which pair naturally with portable X-ray.
I have also attached our CHISON VET introduction, which covers the full veterinary range from the SonoEye handhelds to the SonoMax cart.
Would you be open to a call to look at the numbers together?
Best regards,
Casper Tan
Senior Regional Sales Manager
AstraMed Healthcare, a subsidiary of CHISON Medical Technologies
casper@astramed.sg | +65 8719 0121</t>
        </is>
      </c>
    </row>
    <row r="12" ht="165" customHeight="1" s="114">
      <c r="A12" s="113" t="n">
        <v>1</v>
      </c>
      <c r="B12" s="41" t="inlineStr">
        <is>
          <t>㈜우리엔</t>
        </is>
      </c>
      <c r="C12" s="113" t="inlineStr">
        <is>
          <t>Woorien Co., Ltd.</t>
        </is>
      </c>
      <c r="D12" s="42" t="inlineStr">
        <is>
          <t>Not started</t>
        </is>
      </c>
      <c r="E12" s="43" t="n"/>
      <c r="F12" s="44" t="inlineStr">
        <is>
          <t>Clear with Jerry before first contact</t>
        </is>
      </c>
      <c r="G12" s="45" t="n"/>
      <c r="H12" s="46" t="inlineStr">
        <is>
          <t>Veterinary imaging and diagnostic specialist, part of the listed VATECH NETWORKS group (VATECH, Rayence, VATECH Korea, Ewoosoft, VATECH E&amp;G). CEO Ko Seok-bin. Sells myvet CT, dental CT, surgical DR and DR solutions plus radiology reading services, exports to North America, runs a national service organisation and reaches roughly 1,800 Korean clinics through its own EMR product. RELEVANCE: they own the imaging conversation inside Korean animal hospitals, they have manufacturing and detector capability behind them, they have service engineers in the field — and there is no ultrasound anywhere on their imaging menu. That is a complete imaging line missing exactly the one modality CHISON makes.</t>
        </is>
      </c>
      <c r="I12" s="113" t="inlineStr">
        <is>
          <t>Veterinary imaging and diagnostic solutions specialist, and part of the VATECH NETWORKS group (VATECH, Rayence, VATECH Korea, Ewoosoft, VATECH E&amp;G). CEO KO Seok-bin. Imaging line: myvet CT, Dental CT, dental solutions, surgical DR, DR Solution and an EQUINE line. Own-developed MyVet DR (Rayence CSI detector + 400 mA). Bundles the Vericare radiology reading service, read by SNU, Chungbuk and Chonnam vet faculty. Software platform: Woorien PMS, e-Friends, Wooricare, eLab, weInsight, Wewebchart, Woorien Pharm, weManager. Acquired PnV (No.1 Korean vet EMR, ~1,800 hospitals) and A-Pharm (drug distribution). Exhibits at VMX; growing North American revenue. HQ Hwaseong, Gyeonggi.</t>
        </is>
      </c>
      <c r="J12" s="113" t="inlineStr">
        <is>
          <t>NO — CT, DR, dental and reading services. Confirmed no ultrasound on the imaging menu.</t>
        </is>
      </c>
      <c r="K12" s="46" t="inlineStr">
        <is>
          <t>Korea nationwide + North America export</t>
        </is>
      </c>
      <c r="L12" s="47" t="inlineStr">
        <is>
          <t>https://www.woorien.com (imaging: /CT · /DR_Solution · /page_CzDy27 equine)</t>
        </is>
      </c>
      <c r="M12" s="113" t="inlineStr">
        <is>
          <t>Not published — enquiry form woorien.com/inquiry · A/S form woorien.com/order</t>
        </is>
      </c>
      <c r="N12" s="113" t="inlineStr">
        <is>
          <t>Not published — form only</t>
        </is>
      </c>
      <c r="O12" s="41" t="inlineStr">
        <is>
          <t>본사 경기도 화성시 삼성1로2길 13 · 우리엔팜 서울특별시 동대문구 천호대로81길 47 1층 · CEO 고석빈 · biz reg 135-86-27385 · VATECH NETWORKS group</t>
        </is>
      </c>
      <c r="P12" s="113" t="inlineStr">
        <is>
          <t>B — VERIFIED PARTIAL (site opened, address and CEO confirmed; no phone/email published)</t>
        </is>
      </c>
      <c r="Q12" s="113" t="inlineStr">
        <is>
          <t>The best-shaped partner in any of the three dealer markets. They own the imaging conversation in Korean animal hospitals, sit inside a listed dental-imaging group with real manufacturing and detector capability, run a national service organisation, reach ~1,800 clinics through their own EMR — and have a hole in the line card exactly where CHISON sits. They already sell imaging bundled with a reading service, which is precisely how a handheld should be sold. Their equine line also opens a rectal-probe conversation.</t>
        </is>
      </c>
      <c r="R12" s="113" t="inlineStr">
        <is>
          <t>SonoEye P3 / P5 VET + SonoGO VET (completes the imaging suite); EBit 50 VET for the equine line</t>
        </is>
      </c>
      <c r="S12" s="48" t="inlineStr">
        <is>
          <t>TIER 1</t>
        </is>
      </c>
      <c r="T12" s="49" t="inlineStr">
        <is>
          <t>HIGH — the single best-shaped partner in any of the three dealer markets.</t>
        </is>
      </c>
      <c r="U12" s="113" t="inlineStr">
        <is>
          <t>F</t>
        </is>
      </c>
      <c r="V12" s="113" t="inlineStr">
        <is>
          <t>Verified site — fetched 4 Aug 2026</t>
        </is>
      </c>
      <c r="W12" s="50" t="inlineStr">
        <is>
          <t>Woorien Co., Ltd.: the gap in your imaging line</t>
        </is>
      </c>
      <c r="X12" s="50" t="inlineStr">
        <is>
          <t>Dear ㈜우리엔 (Woorien Co., Ltd.) team,
My name is Casper Tan, Senior Regional Sales Manager at AstraMed Healthcare, a subsidiary of CHISON Medical Technologies. I cover Japan, South Korea, Taiwan and Singapore for CHISON veterinary ultrasound. I am writing to Woorien Co., Ltd. specifically, not to a list. You own the imaging conversation in Korean animal hospitals, MyVet DR and CT, an equine line, the Vericare reading service read by SNU, Chungbuk and Chonnam faculty, and PnV reaching roughly eighteen hundred clinics. There is one gap in all of that: the veterinarian who buys your X-ray buys their ultrasound from someone else.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 P5 VET and SonoGO VET (completes the imaging suite); EBit 50 VET for the equine line.
Would you be open to a call to look at the numbers together?
Best regards,
Casper Tan
Senior Regional Sales Manager
AstraMed Healthcare, a subsidiary of CHISON Medical Technologies
casper@astramed.sg | +65 8719 0121</t>
        </is>
      </c>
    </row>
    <row r="13" ht="165" customHeight="1" s="114">
      <c r="A13" s="113" t="n">
        <v>27</v>
      </c>
      <c r="B13" s="41" t="inlineStr">
        <is>
          <t>㈜제이피아이헬스케어</t>
        </is>
      </c>
      <c r="C13" s="113" t="inlineStr">
        <is>
          <t>JPI Healthcare Co., Ltd. (JPI Animal Health)</t>
        </is>
      </c>
      <c r="D13" s="42" t="inlineStr">
        <is>
          <t>Contacted</t>
        </is>
      </c>
      <c r="E13" s="43" t="inlineStr">
        <is>
          <t>Casper</t>
        </is>
      </c>
      <c r="F13" s="44" t="inlineStr">
        <is>
          <t>Intro email sent 28 Sep 2026 from casper@astramed.sg with CHISON VET Introduction 2027 attached. Follow up by phone or email if no reply</t>
        </is>
      </c>
      <c r="G13" s="121" t="n">
        <v>46300</v>
      </c>
      <c r="H13" s="113" t="inlineStr">
        <is>
          <t>Korean digital X-ray manufacturer built on X-ray grid technology, with imaging systems, detectors and AI-based image processing; manufacturing at Ansan and Sihwa, head office in Guro-gu, Seoul, and a US arm at Edgewood, New York. Their website carries SEPARATE 인체용 (human) and 동물용 (veterinary) product lines, and the veterinary business runs under its own brand, JPI Animal Health — DirectVet, DynaVue Duo, DeteCT Vet, ExamVue Duo and JPI Cloud PACS. RELEVANCE: Korean trade press reports they are actively EXPANDING the animal-hospital lineup into veterinary anaesthesia and patient monitoring, pursuing an 'All-in-One' turnkey offer for new and upgrading animal hospitals. NEW IN v9 — carried across from the human-diagnostic Market Development list v3 (Korea row 54), where only the human X-ray business was recorded. v11: on 16 Jun 2026 Edaily reported JPI adding anaesthesia and monitoring to DeteCT Vet to offer turnkey animal hospital packages. No ultrasound was in that expansion, which is the opening.</t>
        </is>
      </c>
      <c r="I13" s="113" t="inlineStr">
        <is>
          <t>Veterinary and human diagnostic imaging manufacturer: X-ray grids, digital radiography, cone-beam CT (DeteCT / DeteCT Vet), acquisition and diagnostic software, cloud PACS. Actively building a turnkey animal-hospital equipment package.</t>
        </is>
      </c>
      <c r="J13" s="113" t="inlineStr">
        <is>
          <t>NO — no ultrasound anywhere in either the human or the veterinary line. X-ray, CT, software and PACS only. This is the whole argument.</t>
        </is>
      </c>
      <c r="K13" s="46" t="inlineStr">
        <is>
          <t>Seoul (Guro-gu HQ) · Ansan · Sihwa · US arm at Edgewood, New York; nationwide Korea + export</t>
        </is>
      </c>
      <c r="L13" s="47" t="inlineStr">
        <is>
          <t>https://www.jpi-korea.com · https://www.jpianimalhealth.com</t>
        </is>
      </c>
      <c r="M13" s="113" t="inlineStr">
        <is>
          <t>TEL 02-2108-2580 (Seoul) · 031-491-3435 (Ansan) · 031-488-8232 (Sihwa)</t>
        </is>
      </c>
      <c r="N13" s="113" t="inlineStr">
        <is>
          <t>sales@jpi.co.kr · global@jpi.co.kr</t>
        </is>
      </c>
      <c r="O13" s="41" t="inlineStr">
        <is>
          <t>(08377) 서울특별시 구로구 디지털로33길 28, 우림e-biz센터1차 608호 · US: 100-B Executive Dr, Edgewood, NY 11717</t>
        </is>
      </c>
      <c r="P13" s="113" t="inlineStr">
        <is>
          <t>A — VERIFIED DIRECT (phone numbers and both email addresses read off the company's own site, opened 8 Aug 2026)</t>
        </is>
      </c>
      <c r="Q13" s="113" t="inlineStr">
        <is>
          <t>The Woorien archetype, second door — and arguably a better-timed one. A veterinary imaging company with X-ray and cone-beam CT, its own veterinary brand, and NO ultrasound line to defend. What makes it urgent rather than merely suitable is their own stated strategy: they are assembling an All-in-One turnkey package for animal hospitals so a customer can equip a room from one supplier and call one number. Ultrasound is the modality a small-animal hospital reaches for daily, and it is the conspicuous hole in that package — today their customer has to source it elsewhere, which is precisely the compatibility and after-sales problem the turnkey pitch exists to remove. Use their own argument. NOTE: no named individual verified — find the animal-health business owner via the LinkedIn workflow before sending.</t>
        </is>
      </c>
      <c r="R13" s="113" t="inlineStr">
        <is>
          <t>SonoVet 8, which works as a cart, a laptop portable and a touch unit in one, as the ultrasound room in a turnkey opening package, with the SonoEye P6 VET handheld alongside</t>
        </is>
      </c>
      <c r="S13" s="48" t="inlineStr">
        <is>
          <t>TIER 1</t>
        </is>
      </c>
      <c r="T13" s="49" t="inlineStr">
        <is>
          <t>HIGH — appoint-grade. Manufacturer-scale, an established veterinary brand and channel, no competing ultrasound line, and a published turnkey strategy that ultrasound completes. No invoice until a Korean entity holds the QIA (not MFDS) veterinary device import business licence.</t>
        </is>
      </c>
      <c r="U13" s="113" t="inlineStr">
        <is>
          <t>F</t>
        </is>
      </c>
      <c r="V13" s="113" t="inlineStr">
        <is>
          <t>NEW IN v9 — jpi-korea.com and jpianimalhealth.com opened 8 Aug 2026; veterinary lineup expansion reported by Korean pharma/medtech trade press (팜이데일리 / edaily). Traced from Market Development Target List v3, Korea Dealers row 54 (recorded there as a human X-ray/DR maker only).</t>
        </is>
      </c>
      <c r="W13" s="56" t="inlineStr">
        <is>
          <t>JPI Healthcare Co., Ltd. (JPI Animal Health): the ultrasound room in your turnkey package</t>
        </is>
      </c>
      <c r="X13" s="50" t="inlineStr">
        <is>
          <t>Dear ㈜제이피아이헬스케어 (JPI Healthcare Co., Ltd.) team,
My name is Casper Tan, Senior Regional Sales Manager at AstraMed Healthcare, a subsidiary of CHISON Medical Technologies. I cover Japan, South Korea, Taiwan and Singapore for CHISON veterinary ultrasound. I am writing to JPI Healthcare Co., Ltd. specifically, not to a list. Edaily reported in June that you are adding anaesthesia and monitoring to DeteCT Vet so an animal hospital can equip from one supplier. Ultrasound is the room that package does not yet cover.
CHISON makes veterinary ultrasound in handheld, portable and cart formats, and it would complete a turnkey package without competing with anything you manufacture.
For context: we have no appointed veterinary distributor in Korea yet. Veterinary devices there are licensed through QIA rather than MFDS, and we would want a partner who already understands that route.
The product I would put in front of you first is the SonoVet 8, which works as a cart, a laptop portable and a touch unit in one, as the ultrasound room in a turnkey opening package, with the SonoEye P6 VET handheld alongside.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14" ht="165" customHeight="1" s="114">
      <c r="A14" s="113" t="n">
        <v>13</v>
      </c>
      <c r="B14" s="41" t="inlineStr">
        <is>
          <t>비브라운코리아 (동물헬스케어)</t>
        </is>
      </c>
      <c r="C14" s="113" t="inlineStr">
        <is>
          <t>B.Braun Korea — Veterinary business</t>
        </is>
      </c>
      <c r="D14" s="42" t="inlineStr">
        <is>
          <t>Not started</t>
        </is>
      </c>
      <c r="E14" s="43" t="n"/>
      <c r="F14" s="44" t="inlineStr">
        <is>
          <t>Clear with Jerry before first contact</t>
        </is>
      </c>
      <c r="G14" s="45" t="n"/>
      <c r="H14" s="113" t="inlineStr">
        <is>
          <t>Korean subsidiary of B.Braun, which launched a dedicated veterinary healthcare business in 2019 covering disinfection and infection control, general surgery and emergency medicine, and catheters and infusion therapy for animal hospitals. RELEVANCE: they already hold Korean device import and regulatory competence, and their infusion and catheter customers are the emergency and critical-care vets who use a cage-side scanner. No imaging line to defend. Expect a slow multinational process, but a complementary-line conversation is well founded.</t>
        </is>
      </c>
      <c r="I14" s="113" t="inlineStr">
        <is>
          <t>B.Braun's Korean subsidiary launched a dedicated VETERINARY healthcare business in 2019. Portfolio: disinfection and infection control, general surgery and emergency medicine, catheters and infusion therapy devices for animal hospitals.</t>
        </is>
      </c>
      <c r="J14" s="113" t="inlineStr">
        <is>
          <t>NO</t>
        </is>
      </c>
      <c r="K14" s="113" t="inlineStr">
        <is>
          <t>Korea</t>
        </is>
      </c>
      <c r="L14" s="113" t="inlineStr">
        <is>
          <t>bbraun.co.kr</t>
        </is>
      </c>
      <c r="M14" s="113" t="inlineStr">
        <is>
          <t>Corporate enquiry form</t>
        </is>
      </c>
      <c r="N14" s="113" t="inlineStr">
        <is>
          <t>NOT CONFIRMED</t>
        </is>
      </c>
      <c r="O14" s="113" t="inlineStr">
        <is>
          <t>Korea</t>
        </is>
      </c>
      <c r="P14" s="113" t="inlineStr">
        <is>
          <t>D — NOT VERIFIED (no contact record; confirm the company before contacting)</t>
        </is>
      </c>
      <c r="Q14" s="113" t="inlineStr">
        <is>
          <t>A multinational that deliberately built a Korean vet channel from scratch and has no imaging line in it. They already hold Korean device import and regulatory competence, and infusion/catheter customers are exactly the emergency and critical-care vets who use a cage-side scanner. A complementary-line conversation, not a displacement one.</t>
        </is>
      </c>
      <c r="R14" s="113" t="inlineStr">
        <is>
          <t>SonoEye P3 VET (vascular access / emergency)</t>
        </is>
      </c>
      <c r="S14" s="51" t="inlineStr">
        <is>
          <t>TIER 2</t>
        </is>
      </c>
      <c r="T14" s="52" t="inlineStr">
        <is>
          <t>MEDIUM — a multinational that built a Korean vet channel deliberately, with no imaging in it.</t>
        </is>
      </c>
      <c r="U14" s="113" t="inlineStr">
        <is>
          <t>D</t>
        </is>
      </c>
      <c r="V14" s="113" t="inlineStr">
        <is>
          <t>Verified — B.Braun Korea corporate news release</t>
        </is>
      </c>
      <c r="W14" s="50" t="inlineStr">
        <is>
          <t>B.Braun Korea: Veterinary business, a second capital line for the customers you already have</t>
        </is>
      </c>
      <c r="X14" s="50" t="inlineStr">
        <is>
          <t>Dear 비브라운코리아 (B.Braun Korea) team,
My name is Casper Tan, Senior Regional Sales Manager at AstraMed Healthcare, a subsidiary of CHISON Medical Technologies. I cover Japan, South Korea, Taiwan and Singapore for CHISON veterinary ultrasound. I am writing to B.Braun Korea specifically, not to a list. You deliberately built a Korean veterinary channel from scratch, infection control, surgery, emergency medicine, catheters and infusion, and there is no imaging in it. Your infusion and catheter customers are exactly the critical-care veterinarians who use a cage-side scanner.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(vascular access / emergency).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5" ht="165" customHeight="1" s="114">
      <c r="A15" s="113" t="n">
        <v>5</v>
      </c>
      <c r="B15" s="41" t="inlineStr">
        <is>
          <t>코벳 (COVET)</t>
        </is>
      </c>
      <c r="C15" s="113" t="inlineStr">
        <is>
          <t>COVET</t>
        </is>
      </c>
      <c r="D15" s="42" t="inlineStr">
        <is>
          <t>Not started</t>
        </is>
      </c>
      <c r="E15" s="43" t="n"/>
      <c r="F15" s="44" t="inlineStr">
        <is>
          <t>Clear with Jerry before first contact</t>
        </is>
      </c>
      <c r="G15" s="45" t="n"/>
      <c r="H15" s="46" t="inlineStr">
        <is>
          <t>Vet-led animal hospital network and alliance (Co-work + Veterinarian) offering members joint marketing, HR, tax and legal services, JOINT PURCHASING of drugs and consumables, on- and offline veterinary education and staff CS training. Distributes SK Telecom's X-Caliber AI radiography product. RELEVANCE: group purchasing gives them reach into independent Korean clinics that no single dealer has, and they already run an ultrasound education programme — with Samsung, which is the conflict. The wedge is the price tier Samsung does not build: a handheld their member clinics can afford as a second unit rather than as the hospital machine.</t>
        </is>
      </c>
      <c r="I15" s="113" t="inlineStr">
        <is>
          <t>Vet-led animal hospital network and alliance (Co-work + Veterinarian). Member benefits: joint marketing, HR/tax/legal services, JOINT PURCHASING of drugs and consumables, on/offline vet education, staff CS training. Distributes SK Telecom's X-Caliber AI diagnostic aid to animal hospitals. Runs the Samsung Sono VET Academy with Samsung Medison monthly, nationwide. Operates shop.covet.kr and Vet2Home logistics.</t>
        </is>
      </c>
      <c r="J15" s="113" t="inlineStr">
        <is>
          <t>Indirect — Samsung Medison ultrasound education partnership</t>
        </is>
      </c>
      <c r="K15" s="46" t="inlineStr">
        <is>
          <t>Korea nationwide</t>
        </is>
      </c>
      <c r="L15" s="47" t="inlineStr">
        <is>
          <t>https://covet.kr · shop.covet.kr</t>
        </is>
      </c>
      <c r="M15" s="113" t="inlineStr">
        <is>
          <t>NOT CONFIRMED</t>
        </is>
      </c>
      <c r="N15" s="113" t="inlineStr">
        <is>
          <t>NOT CONFIRMED</t>
        </is>
      </c>
      <c r="O15" s="113" t="inlineStr">
        <is>
          <t>Korea</t>
        </is>
      </c>
      <c r="P15" s="113" t="inlineStr">
        <is>
          <t>C — SITE LIVE, NOT OPENED</t>
        </is>
      </c>
      <c r="Q15" s="113" t="inlineStr">
        <is>
          <t>Unmatched reach into independent Korean clinics through group purchasing, and they already run an ultrasound education programme — with Samsung. That is the conflict. The wedge is the price tier Samsung does not build: a handheld their member clinics can actually afford as a second unit. Group-purchase pricing is exactly the mechanism CHISON's cost position is built for.</t>
        </is>
      </c>
      <c r="R15" s="113" t="inlineStr">
        <is>
          <t>SonoEye P3 VET as a member group-buy SKU</t>
        </is>
      </c>
      <c r="S15" s="51" t="inlineStr">
        <is>
          <t>TIER 2</t>
        </is>
      </c>
      <c r="T15" s="52" t="inlineStr">
        <is>
          <t>MEDIUM — unmatched reach into independent clinics, but an existing Samsung ultrasound education partnership.</t>
        </is>
      </c>
      <c r="U15" s="113" t="inlineStr">
        <is>
          <t>B</t>
        </is>
      </c>
      <c r="V15" s="113" t="inlineStr">
        <is>
          <t>Verified site + Dailyvet coverage</t>
        </is>
      </c>
      <c r="W15" s="50" t="inlineStr">
        <is>
          <t>COVET: not a replacement for your ultrasound line, the tier below it</t>
        </is>
      </c>
      <c r="X15" s="50" t="inlineStr">
        <is>
          <t>Dear 코벳 (COVET) team,
My name is Casper Tan, Senior Regional Sales Manager at AstraMed Healthcare, a subsidiary of CHISON Medical Technologies. I cover Japan, South Korea, Taiwan and Singapore for CHISON veterinary ultrasound. I am writing to COVET specifically, not to a list. Your member network and joint purchasing reach independent Korean clinics in a way no equipment company can, and you already run ultrasound education. I know that education runs with Samsung Medison, so let me be direct about what I am and am not proposing.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as a member group-buy SKU.
Would twenty minutes be worth it, to see whether this protects your top-tier margin rather than competing with it?
Best regards,
Casper Tan
Senior Regional Sales Manager
AstraMed Healthcare, a subsidiary of CHISON Medical Technologies
casper@astramed.sg | +65 8719 0121</t>
        </is>
      </c>
    </row>
    <row r="16" ht="165" customHeight="1" s="114">
      <c r="A16" s="113" t="n">
        <v>19</v>
      </c>
      <c r="B16" s="41" t="inlineStr">
        <is>
          <t>㈜에코레이 (ECORAY)</t>
        </is>
      </c>
      <c r="C16" s="113" t="inlineStr">
        <is>
          <t>ECORAY Co., Ltd.</t>
        </is>
      </c>
      <c r="D16" s="42" t="inlineStr">
        <is>
          <t>Not started</t>
        </is>
      </c>
      <c r="E16" s="43" t="n"/>
      <c r="F16" s="44" t="inlineStr">
        <is>
          <t>Clear with Jerry before first contact</t>
        </is>
      </c>
      <c r="G16" s="45" t="n"/>
      <c r="H16" s="46" t="inlineStr">
        <is>
          <t>Korean X-ray imaging manufacturer built on generator technology, publishing a dedicated 동물용 엑스레이 (veterinary X-ray) category, with portable generators also used in human emergency and field settings. RELEVANCE: a veterinary line already in the catalogue and a portable-first engineering culture. Smaller companies take second lines more readily and decide faster than the market leaders.</t>
        </is>
      </c>
      <c r="I16" s="113" t="inlineStr">
        <is>
          <t>Korean X-ray imaging manufacturer built on generator technology, supplying a range of X-ray imaging equipment. Publishes a dedicated 동물용 엑스레이 (VETERINARY X-RAY) product category. Its portable generators are used for human emergency and field use as well as for animal diagnostic imaging.</t>
        </is>
      </c>
      <c r="J16" s="113" t="inlineStr">
        <is>
          <t>NO — X-ray only</t>
        </is>
      </c>
      <c r="K16" s="46" t="inlineStr">
        <is>
          <t>Korea + export</t>
        </is>
      </c>
      <c r="L16" s="47" t="inlineStr">
        <is>
          <t>http://www.eco-ray.co.kr (veterinary: /products/index.jsp?scategory_fk=2)</t>
        </is>
      </c>
      <c r="M16" s="113" t="inlineStr">
        <is>
          <t>NOT CONFIRMED</t>
        </is>
      </c>
      <c r="N16" s="113" t="inlineStr">
        <is>
          <t>NOT CONFIRMED</t>
        </is>
      </c>
      <c r="O16" s="113" t="inlineStr">
        <is>
          <t>Korea</t>
        </is>
      </c>
      <c r="P16" s="113" t="inlineStr">
        <is>
          <t>C — SITE LIVE, NOT OPENED (veterinary X-ray category page returned by search)</t>
        </is>
      </c>
      <c r="Q16" s="113" t="inlineStr">
        <is>
          <t>A veterinary X-ray line already in the catalogue and a portable-first engineering culture. Smaller than Genoray or DRGEM, which usually means faster decisions and more interest in a second line.</t>
        </is>
      </c>
      <c r="R16" s="113" t="inlineStr">
        <is>
          <t>SonoEye P3 VET</t>
        </is>
      </c>
      <c r="S16" s="51" t="inlineStr">
        <is>
          <t>TIER 2</t>
        </is>
      </c>
      <c r="T16" s="49" t="inlineStr">
        <is>
          <t>MEDIUM-HIGH — smaller than Genoray or DRGEM, which usually means a faster decision.</t>
        </is>
      </c>
      <c r="U16" s="113" t="inlineStr">
        <is>
          <t>F</t>
        </is>
      </c>
      <c r="V16" s="113" t="inlineStr">
        <is>
          <t>Verified — corporate veterinary X-ray product page</t>
        </is>
      </c>
      <c r="W16" s="50" t="inlineStr">
        <is>
          <t>ECORAY Co., Ltd.: the gap in your imaging line</t>
        </is>
      </c>
      <c r="X16" s="50" t="inlineStr">
        <is>
          <t>Dear ㈜에코레이 (ECORAY Co., Ltd.) team,
My name is Casper Tan, Senior Regional Sales Manager at AstraMed Healthcare, a subsidiary of CHISON Medical Technologies. I cover Japan, South Korea, Taiwan and Singapore for CHISON veterinary ultrasound. I am writing to ECORAY Co., Ltd. specifically, not to a list. You already list veterinary X-ray as its own product category, and your engineering culture is portable-first, generators that work without mains power or a shielded room.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Would you be open to a call to look at the numbers together?
Best regards,
Casper Tan
Senior Regional Sales Manager
AstraMed Healthcare, a subsidiary of CHISON Medical Technologies
casper@astramed.sg | +65 8719 0121</t>
        </is>
      </c>
    </row>
    <row r="17" ht="165" customHeight="1" s="114">
      <c r="A17" s="113" t="n">
        <v>6</v>
      </c>
      <c r="B17" s="41" t="inlineStr">
        <is>
          <t>아이엠디티 (벳아너스)</t>
        </is>
      </c>
      <c r="C17" s="113" t="inlineStr">
        <is>
          <t>IMDT — VetHonors alliance</t>
        </is>
      </c>
      <c r="D17" s="42" t="inlineStr">
        <is>
          <t>Not started</t>
        </is>
      </c>
      <c r="E17" s="43" t="n"/>
      <c r="F17" s="44" t="inlineStr">
        <is>
          <t>Clear with Jerry before first contact</t>
        </is>
      </c>
      <c r="G17" s="45" t="n"/>
      <c r="H17" s="113" t="inlineStr">
        <is>
          <t>Operator of the VetHonors animal-hospital alliance, which raised a KRW 7.5 bn Series A. RELEVANCE: a second group-purchasing route into independent Korean clinics. Being funded means they are actively building purchasing scale, and alliances standardise equipment across members — one agreement, many clinics.</t>
        </is>
      </c>
      <c r="I17" s="113" t="inlineStr">
        <is>
          <t>Operator of the VetHonors animal-hospital alliance; raised a KRW 7.5 bn Series A.</t>
        </is>
      </c>
      <c r="J17" s="113" t="inlineStr">
        <is>
          <t>Not identified</t>
        </is>
      </c>
      <c r="K17" s="113" t="inlineStr">
        <is>
          <t>Korea</t>
        </is>
      </c>
      <c r="L17" s="113" t="inlineStr">
        <is>
          <t>NOT CONFIRMED — search 아이엠디티 벳아너스</t>
        </is>
      </c>
      <c r="M17" s="113" t="inlineStr">
        <is>
          <t>NOT CONFIRMED</t>
        </is>
      </c>
      <c r="N17" s="113" t="inlineStr">
        <is>
          <t>NOT CONFIRMED</t>
        </is>
      </c>
      <c r="O17" s="113" t="inlineStr">
        <is>
          <t>Korea</t>
        </is>
      </c>
      <c r="P17" s="113" t="inlineStr">
        <is>
          <t>D — NOT VERIFIED (known only from Dailyvet funding coverage)</t>
        </is>
      </c>
      <c r="Q17" s="113" t="inlineStr">
        <is>
          <t>Second alliance / group-purchasing route into independent clinics, and a hedge if COVET's Samsung relationship blocks the conversation. Funded, so they are building purchasing scale.</t>
        </is>
      </c>
      <c r="R17" s="113" t="inlineStr">
        <is>
          <t>SonoEye P3 VET group-buy SKU</t>
        </is>
      </c>
      <c r="S17" s="51" t="inlineStr">
        <is>
          <t>TIER 2</t>
        </is>
      </c>
      <c r="T17" s="52" t="inlineStr">
        <is>
          <t>MEDIUM — funded and building purchasing scale; the hedge if COVET's Samsung tie blocks the conversation.</t>
        </is>
      </c>
      <c r="U17" s="113" t="inlineStr">
        <is>
          <t>B</t>
        </is>
      </c>
      <c r="V17" s="113" t="inlineStr">
        <is>
          <t>From search (Dailyvet) — verify entity and contact</t>
        </is>
      </c>
      <c r="W17" s="50" t="inlineStr">
        <is>
          <t>IMDT: VetHonors alliance, not a replacement for your ultrasound line, the tier below it</t>
        </is>
      </c>
      <c r="X17" s="50" t="inlineStr">
        <is>
          <t>Dear 아이엠디티 (IMDT) team,
My name is Casper Tan, Senior Regional Sales Manager at AstraMed Healthcare, a subsidiary of CHISON Medical Technologies. I cover Japan, South Korea, Taiwan and Singapore for CHISON veterinary ultrasound. I am writing to IMDT specifically, not to a list. You operate a funded animal-hospital alliance, which means you are building genuine purchasing scale across independent clinics, and group pricing is exactly the mechanism our cost position is built for.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group-buy SKU.
Would twenty minutes be worth it, to see whether this protects your top-tier margin rather than competing with it?
Best regards,
Casper Tan
Senior Regional Sales Manager
AstraMed Healthcare, a subsidiary of CHISON Medical Technologies
casper@astramed.sg | +65 8719 0121</t>
        </is>
      </c>
    </row>
    <row r="18" ht="165" customHeight="1" s="114">
      <c r="A18" s="113" t="n">
        <v>8</v>
      </c>
      <c r="B18" s="41" t="inlineStr">
        <is>
          <t>㈜아이센스</t>
        </is>
      </c>
      <c r="C18" s="113" t="inlineStr">
        <is>
          <t>i-SENS, Inc.</t>
        </is>
      </c>
      <c r="D18" s="42" t="inlineStr">
        <is>
          <t>Not started</t>
        </is>
      </c>
      <c r="E18" s="43" t="n"/>
      <c r="F18" s="44" t="inlineStr">
        <is>
          <t>Clear with Jerry before first contact</t>
        </is>
      </c>
      <c r="G18" s="45" t="n"/>
      <c r="H18" s="46" t="inlineStr">
        <is>
          <t>Global point-of-care diagnostics company with a veterinary range including the i-Smart 300VET blood gas analyser and CareSign-V, and the first company worldwide to release a point-of-care analyser for early CKD markers in animals. RELEVANCE: real regulatory competence, and their customer is the emergency and critical-care vet — precisely where a cage-side handheld is used. Nothing in imaging to defend, so a bundled point-of-care diagnostics plus POCUS proposition is a genuine conversation rather than a stretch.</t>
        </is>
      </c>
      <c r="I18" s="113" t="inlineStr">
        <is>
          <t>Global point-of-care diagnostics company with a veterinary line: i-Smart 300VET blood gas analyser, CareSign-V. First in the world to release a POCT analyser for early CKD markers in animals.</t>
        </is>
      </c>
      <c r="J18" s="113" t="inlineStr">
        <is>
          <t>NO</t>
        </is>
      </c>
      <c r="K18" s="46" t="inlineStr">
        <is>
          <t>Korea + global</t>
        </is>
      </c>
      <c r="L18" s="47" t="inlineStr">
        <is>
          <t>https://www.i-sens.com</t>
        </is>
      </c>
      <c r="M18" s="113" t="inlineStr">
        <is>
          <t>NOT CONFIRMED</t>
        </is>
      </c>
      <c r="N18" s="113" t="inlineStr">
        <is>
          <t>NOT CONFIRMED</t>
        </is>
      </c>
      <c r="O18" s="113" t="inlineStr">
        <is>
          <t>Korea</t>
        </is>
      </c>
      <c r="P18" s="113" t="inlineStr">
        <is>
          <t>C — company confirmed via Dailyvet product coverage; site not opened</t>
        </is>
      </c>
      <c r="Q18" s="113" t="inlineStr">
        <is>
          <t>Serious diagnostics company, global regulatory competence, and an emergency/critical-care customer — precisely where a cage-side handheld is used. No imaging line to defend. Worth a conversation about a bundled POC diagnostics + POCUS proposition.</t>
        </is>
      </c>
      <c r="R18" s="113" t="inlineStr">
        <is>
          <t>SonoEye P3 VET (POCUS / emergency)</t>
        </is>
      </c>
      <c r="S18" s="51" t="inlineStr">
        <is>
          <t>TIER 2</t>
        </is>
      </c>
      <c r="T18" s="52" t="inlineStr">
        <is>
          <t>MEDIUM — serious diagnostics company, emergency and critical-care customer, no imaging line.</t>
        </is>
      </c>
      <c r="U18" s="113" t="inlineStr">
        <is>
          <t>D</t>
        </is>
      </c>
      <c r="V18" s="113" t="inlineStr">
        <is>
          <t>Verified — Dailyvet product coverage</t>
        </is>
      </c>
      <c r="W18" s="50" t="inlineStr">
        <is>
          <t>i-SENS, Inc.: a second capital line for the customers you already have</t>
        </is>
      </c>
      <c r="X18" s="50" t="inlineStr">
        <is>
          <t>Dear ㈜아이센스 (i-SENS, Inc.) team,
My name is Casper Tan, Senior Regional Sales Manager at AstraMed Healthcare, a subsidiary of CHISON Medical Technologies. I cover Japan, South Korea, Taiwan and Singapore for CHISON veterinary ultrasound. I am writing to i-SENS, Inc. specifically, not to a list. You released the world's first point-of-care analyser for early CKD markers in animals, and your customer is the emergency and critical-care veterinarian, precisely where a cage-side handheld is used. You have no imaging line to defend.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(POCUS / emergency).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9" ht="165" customHeight="1" s="114">
      <c r="A19" s="113" t="n">
        <v>9</v>
      </c>
      <c r="B19" s="41" t="inlineStr">
        <is>
          <t>펫닥 '벳화점'</t>
        </is>
      </c>
      <c r="C19" s="113" t="inlineStr">
        <is>
          <t>PetDoc — 'Vet Department Store' platform</t>
        </is>
      </c>
      <c r="D19" s="42" t="inlineStr">
        <is>
          <t>Not started</t>
        </is>
      </c>
      <c r="E19" s="43" t="n"/>
      <c r="F19" s="44" t="inlineStr">
        <is>
          <t>Clear with Jerry before first contact</t>
        </is>
      </c>
      <c r="G19" s="45" t="n"/>
      <c r="H19" s="46" t="inlineStr">
        <is>
          <t>Veterinary-only commerce and information platform listing animal medical devices including CT, MRI and ultrasound, with real-time consultation-to-purchase. RELEVANCE: getting CHISON listed here puts the price advantage directly in front of Korean vets who are actively shopping for imaging, and generates enquiries the eventual QIA-licensed importer can close. Cheap market presence before a channel exists — but they will not hold stock or service.</t>
        </is>
      </c>
      <c r="I19" s="113" t="inlineStr">
        <is>
          <t>Veterinary-only comprehensive commerce and information platform. Lists animal medical devices including CT, MRI and ultrasound with real-time consultation-to-purchase.</t>
        </is>
      </c>
      <c r="J19" s="113" t="inlineStr">
        <is>
          <t>YES — lists competing ultrasound</t>
        </is>
      </c>
      <c r="K19" s="46" t="inlineStr">
        <is>
          <t>Korea</t>
        </is>
      </c>
      <c r="L19" s="47" t="inlineStr">
        <is>
          <t>https://xn--tl3bw1s9pl.com (벳화점.com)</t>
        </is>
      </c>
      <c r="M19" s="113" t="inlineStr">
        <is>
          <t>NOT CONFIRMED</t>
        </is>
      </c>
      <c r="N19" s="113" t="inlineStr">
        <is>
          <t>NOT CONFIRMED</t>
        </is>
      </c>
      <c r="O19" s="113" t="inlineStr">
        <is>
          <t>Korea</t>
        </is>
      </c>
      <c r="P19" s="113" t="inlineStr">
        <is>
          <t>C — SITE LIVE, NOT OPENED</t>
        </is>
      </c>
      <c r="Q19" s="113" t="inlineStr">
        <is>
          <t>Not a distributor — a lead-generation and price-discovery surface. Getting CHISON listed here puts the price advantage in front of Korean vets shopping for imaging, and generates enquiries the eventual importer can close.</t>
        </is>
      </c>
      <c r="R19" s="113" t="inlineStr">
        <is>
          <t>Full VET range listing</t>
        </is>
      </c>
      <c r="S19" s="51" t="inlineStr">
        <is>
          <t>TIER 2</t>
        </is>
      </c>
      <c r="T19" s="52" t="inlineStr">
        <is>
          <t>MEDIUM — not a distributor. A price-discovery surface that generates leads for whoever imports.</t>
        </is>
      </c>
      <c r="U19" s="113" t="inlineStr">
        <is>
          <t>G</t>
        </is>
      </c>
      <c r="V19" s="113" t="inlineStr">
        <is>
          <t>Verified site (search-indexed)</t>
        </is>
      </c>
      <c r="W19" s="50" t="inlineStr">
        <is>
          <t>PetDoc: 'Vet Department Store' platform, equipment for your programme, not a sales call</t>
        </is>
      </c>
      <c r="X19" s="50" t="inlineStr">
        <is>
          <t>Dear 펫닥 '벳화점' (PetDoc) team,
My name is Casper Tan, Senior Regional Sales Manager at AstraMed Healthcare, a subsidiary of CHISON Medical Technologies. I cover Japan, South Korea, Taiwan and Singapore for CHISON veterinary ultrasound. I am writing to PetDoc specifically, not to a list. Your platform is where Korean veterinarians go to compare imaging equipment and prices before they buy. That is a useful place for a brand whose entire argument is price-performance to be visible.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Korea yet. Veterinary devices there are licensed through QIA rather than MFDS, and we would want a partner who already understands that route.
The product I would put in front of you first is the Full VET range listing.
Could we talk about what a sensible arrangement would look like?
Best regards,
Casper Tan
Senior Regional Sales Manager
AstraMed Healthcare, a subsidiary of CHISON Medical Technologies
casper@astramed.sg | +65 8719 0121</t>
        </is>
      </c>
    </row>
    <row r="20" ht="165" customHeight="1" s="114">
      <c r="A20" s="113" t="n">
        <v>20</v>
      </c>
      <c r="B20" s="41" t="inlineStr">
        <is>
          <t>레이언스 (Rayence)</t>
        </is>
      </c>
      <c r="C20" s="113" t="inlineStr">
        <is>
          <t>Rayence Co., Ltd.</t>
        </is>
      </c>
      <c r="D20" s="42" t="inlineStr">
        <is>
          <t>Not started</t>
        </is>
      </c>
      <c r="E20" s="43" t="n"/>
      <c r="F20" s="44" t="inlineStr">
        <is>
          <t>Clear with Jerry before first contact</t>
        </is>
      </c>
      <c r="G20" s="45" t="n"/>
      <c r="H20" s="46" t="inlineStr">
        <is>
          <t>Digital X-ray detector and system manufacturer, part of VATECH NETWORKS, publishing a dedicated veterinary detector range and supplying the CSI detector inside Woorien's MyVet DR system. RELEVANCE AND GROUP OVERLAP: Rayence and Woorien are both VATECH group companies — Rayence is the component and systems side, Woorien the veterinary channel side. Approaching both independently is one conversation with two doors and looks like poor homework. Woorien is the better first door.</t>
        </is>
      </c>
      <c r="I20" s="113" t="inlineStr">
        <is>
          <t>Digital X-ray DETECTOR and system manufacturer, part of the VATECH NETWORKS group. Publishes a dedicated VETERINARY detector range. Supplies the CSI detector inside Woorien's MyVet DR system.</t>
        </is>
      </c>
      <c r="J20" s="113" t="inlineStr">
        <is>
          <t>NO — detectors and systems, no ultrasound</t>
        </is>
      </c>
      <c r="K20" s="46" t="inlineStr">
        <is>
          <t>Korea + global</t>
        </is>
      </c>
      <c r="L20" s="47" t="inlineStr">
        <is>
          <t>https://www.rayence.com/Veterinary</t>
        </is>
      </c>
      <c r="M20" s="113" t="inlineStr">
        <is>
          <t>TEL +82 31-8015-6245</t>
        </is>
      </c>
      <c r="N20" s="113" t="inlineStr">
        <is>
          <t>NOT CONFIRMED</t>
        </is>
      </c>
      <c r="O20" s="113" t="inlineStr">
        <is>
          <t>14, Samsung 1-ro 1-gil, Hwaseong-si, Gyeonggi-do 18449</t>
        </is>
      </c>
      <c r="P20" s="113" t="inlineStr">
        <is>
          <t>A · VERIFIED DIRECT (phone and address off the veterinary product page, opened 27 Sep 2026)</t>
        </is>
      </c>
      <c r="Q20" s="113" t="inlineStr">
        <is>
          <t>NOTE THE OVERLAP: Rayence and Woorien are both VATECH group companies, so approaching both is really one conversation with two doors. Rayence is the component and systems side, Woorien the veterinary channel side. Decide which door you want before writing, or you will look like you have not done the homework.</t>
        </is>
      </c>
      <c r="R20" s="113" t="inlineStr">
        <is>
          <t>SonoEye P3 / P5 VET</t>
        </is>
      </c>
      <c r="S20" s="51" t="inlineStr">
        <is>
          <t>TIER 2</t>
        </is>
      </c>
      <c r="T20" s="52" t="inlineStr">
        <is>
          <t>MEDIUM — same group as Woorien. Decide which door you want before writing.</t>
        </is>
      </c>
      <c r="U20" s="113" t="inlineStr">
        <is>
          <t>F</t>
        </is>
      </c>
      <c r="V20" s="113" t="inlineStr">
        <is>
          <t>Verified — corporate veterinary page; group link confirmed via Woorien</t>
        </is>
      </c>
      <c r="W20" s="50" t="inlineStr">
        <is>
          <t>Rayence Co., Ltd.: the gap in your imaging line</t>
        </is>
      </c>
      <c r="X20" s="50" t="inlineStr">
        <is>
          <t>Dear 레이언스 (Rayence Co., Ltd.) team,
My name is Casper Tan, Senior Regional Sales Manager at AstraMed Healthcare, a subsidiary of CHISON Medical Technologies. I cover Japan, South Korea, Taiwan and Singapore for CHISON veterinary ultrasound. I am writing to Rayence Co., Ltd. specifically, not to a list. You publish a veterinary detector range and you supply the detector inside Woorien's MyVet DR. I should say plainly that I am also writing to Woorien; since you are both VATECH group companies, tell me which of you should own this conversation and I will follow your lead.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 P5 VET.
Would you be open to a call to look at the numbers together?
Best regards,
Casper Tan
Senior Regional Sales Manager
AstraMed Healthcare, a subsidiary of CHISON Medical Technologies
casper@astramed.sg | +65 8719 0121</t>
        </is>
      </c>
    </row>
    <row r="21" ht="165" customHeight="1" s="114">
      <c r="A21" s="113" t="n">
        <v>7</v>
      </c>
      <c r="B21" s="41" t="inlineStr">
        <is>
          <t>㈜벳컴 (VET COM)</t>
        </is>
      </c>
      <c r="C21" s="113" t="inlineStr">
        <is>
          <t>VETCOM Co., Ltd.</t>
        </is>
      </c>
      <c r="D21" s="42" t="inlineStr">
        <is>
          <t>Not started</t>
        </is>
      </c>
      <c r="E21" s="43" t="n"/>
      <c r="F21" s="44" t="inlineStr">
        <is>
          <t>Clear with Jerry before first contact</t>
        </is>
      </c>
      <c r="G21" s="45" t="n"/>
      <c r="H21" s="46" t="inlineStr">
        <is>
          <t>Korean veterinary medical device company with a clinical-pathology and in-house laboratory focus. RELEVANCE: the vet who buys an analyser is the vet building in-house diagnostic capability, and ultrasound is the next line in that same budget. No imaging line identified to conflict with.</t>
        </is>
      </c>
      <c r="I21" s="113" t="inlineStr">
        <is>
          <t>Veterinary medical devices with a clinical-pathology / in-house laboratory focus.</t>
        </is>
      </c>
      <c r="J21" s="113" t="inlineStr">
        <is>
          <t>Not identified — confirm</t>
        </is>
      </c>
      <c r="K21" s="46" t="inlineStr">
        <is>
          <t>Korea</t>
        </is>
      </c>
      <c r="L21" s="47" t="inlineStr">
        <is>
          <t>https://www.vetcom.co.kr/ko/product_list.html</t>
        </is>
      </c>
      <c r="M21" s="113" t="inlineStr">
        <is>
          <t>NOT CONFIRMED</t>
        </is>
      </c>
      <c r="N21" s="113" t="inlineStr">
        <is>
          <t>NOT CONFIRMED</t>
        </is>
      </c>
      <c r="O21" s="113" t="inlineStr">
        <is>
          <t>Korea</t>
        </is>
      </c>
      <c r="P21" s="113" t="inlineStr">
        <is>
          <t>C — SITE LIVE, NOT OPENED</t>
        </is>
      </c>
      <c r="Q21" s="113" t="inlineStr">
        <is>
          <t>Diagnostics-led channel: the vet who buys an analyser is the vet building out in-house diagnostic capability, and ultrasound is the next line item in that same budget. No imaging conflict identified.</t>
        </is>
      </c>
      <c r="R21" s="113" t="inlineStr">
        <is>
          <t>SonoEye P3 VET + EBit 50 VET</t>
        </is>
      </c>
      <c r="S21" s="51" t="inlineStr">
        <is>
          <t>TIER 2</t>
        </is>
      </c>
      <c r="T21" s="52" t="inlineStr">
        <is>
          <t>MEDIUM — diagnostics-led channel with no imaging conflict identified.</t>
        </is>
      </c>
      <c r="U21" s="113" t="inlineStr">
        <is>
          <t>D</t>
        </is>
      </c>
      <c r="V21" s="113" t="inlineStr">
        <is>
          <t>Verified site (search-indexed)</t>
        </is>
      </c>
      <c r="W21" s="50" t="inlineStr">
        <is>
          <t>VETCOM Co., Ltd.: a second capital line for the customers you already have</t>
        </is>
      </c>
      <c r="X21" s="50" t="inlineStr">
        <is>
          <t>Dear ㈜벳컴 (VETCOM Co., Ltd.) team,
My name is Casper Tan, Senior Regional Sales Manager at AstraMed Healthcare, a subsidiary of CHISON Medical Technologies. I cover Japan, South Korea, Taiwan and Singapore for CHISON veterinary ultrasound. I am writing to VETCOM Co., Ltd. specifically, not to a list. Your strength is in-house diagnostics, and the veterinarian who invests in laboratory capability is the same one whose next line item is imaging. There is no overlap with anything you currently carry.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and EBit 50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2" ht="165" customHeight="1" s="114">
      <c r="A22" s="113" t="n">
        <v>22</v>
      </c>
      <c r="B22" s="41" t="inlineStr">
        <is>
          <t>벳플레이스 (Vetplace)</t>
        </is>
      </c>
      <c r="C22" s="113" t="inlineStr">
        <is>
          <t>Vetplace</t>
        </is>
      </c>
      <c r="D22" s="42" t="inlineStr">
        <is>
          <t>Not started</t>
        </is>
      </c>
      <c r="E22" s="43" t="n"/>
      <c r="F22" s="44" t="inlineStr">
        <is>
          <t>Clear with Jerry before first contact</t>
        </is>
      </c>
      <c r="G22" s="45" t="n"/>
      <c r="H22" s="113" t="inlineStr">
        <is>
          <t>Veterinary equipment and supply distributor / procurement platform serving Korean animal hospitals. Entity not yet confirmed. RELEVANCE: procurement platforms give visibility across many clinics at once and convert quickly on low-ticket capital items, which suits the handheld tier. Confirm the legal entity and its QIA position before anything else.</t>
        </is>
      </c>
      <c r="I22" s="113" t="inlineStr">
        <is>
          <t>Veterinary equipment and supply distributor / procurement platform serving Korean animal hospitals.</t>
        </is>
      </c>
      <c r="J22" s="113" t="inlineStr">
        <is>
          <t>Not identified — confirm on first contact</t>
        </is>
      </c>
      <c r="K22" s="113" t="inlineStr">
        <is>
          <t>South Korea; nationwide</t>
        </is>
      </c>
      <c r="L22" s="113" t="inlineStr">
        <is>
          <t>NOT CONFIRMED — search 벳플레이스 동물병원</t>
        </is>
      </c>
      <c r="M22" s="113" t="inlineStr">
        <is>
          <t>NOT CONFIRMED</t>
        </is>
      </c>
      <c r="N22" s="113" t="inlineStr">
        <is>
          <t>NOT CONFIRMED</t>
        </is>
      </c>
      <c r="O22" s="113" t="inlineStr">
        <is>
          <t>South Korea</t>
        </is>
      </c>
      <c r="P22" s="113" t="inlineStr">
        <is>
          <t>D — NOT VERIFIED (name only, carried from workbook v2.0; no confirmed URL)</t>
        </is>
      </c>
      <c r="Q22" s="113" t="inlineStr">
        <is>
          <t>A procurement-platform shape rather than a field dealer. Worth qualifying because platforms convert quickly on the pocket tier and give visibility across many clinics at once — but confirm the entity and its QIA position before anything else.</t>
        </is>
      </c>
      <c r="R22" s="113" t="inlineStr">
        <is>
          <t>SonoEye P3 VET (pocket tier)</t>
        </is>
      </c>
      <c r="S22" s="51" t="inlineStr">
        <is>
          <t>TIER 2</t>
        </is>
      </c>
      <c r="T22" s="52" t="inlineStr">
        <is>
          <t>MEDIUM — procurement platform shape; platforms convert quickly on the pocket tier.</t>
        </is>
      </c>
      <c r="U22" s="113" t="inlineStr">
        <is>
          <t>A</t>
        </is>
      </c>
      <c r="V22" s="113" t="inlineStr">
        <is>
          <t>Carried from CHISON_VET_Dealer_and_EndUser_Workbook_v2.0 (merged into v6, 6 Aug 2026)</t>
        </is>
      </c>
      <c r="W22" s="50" t="inlineStr">
        <is>
          <t>Vetplace: CHISON veterinary ultrasound, an introduction</t>
        </is>
      </c>
      <c r="X22" s="50" t="inlineStr">
        <is>
          <t>Dear 벳플레이스 (Vetplace) team,
My name is Casper Tan, Senior Regional Sales Manager at AstraMed Healthcare, a subsidiary of CHISON Medical Technologies. I cover Singapore, Japan, South Korea and Taiwan for CHISON veterinary ultrasound.
Vetplace reaches Korean animal hospitals through a purchasing channel rather than a rep visit, which is exactly the route a pocket-format scanner sells through.
To be simple: a Korean entity must hold the QIA veterinary device import licence before anything ships, so this note is about the relationship and an evaluation, not an order.
The product I would lead with for you is SonoEye P3 VET (pocket tier).
Could we have a short call about whether a veterinary handheld scanner fits your range, and whether your group holds or works with a QIA veterinary device import licence?
Kind regards,
Casper Tan
Senior Regional Sales Manager, AstraMed Healthcare
CHISON veterinary ultrasound (Singapore · Japan · South Korea · Taiwan)
casper@astramed.sg</t>
        </is>
      </c>
    </row>
    <row r="23" ht="165" customHeight="1" s="114">
      <c r="A23" s="113" t="n">
        <v>23</v>
      </c>
      <c r="B23" s="41" t="inlineStr">
        <is>
          <t>베토 (Vetto)</t>
        </is>
      </c>
      <c r="C23" s="113" t="inlineStr">
        <is>
          <t>Vetto</t>
        </is>
      </c>
      <c r="D23" s="42" t="inlineStr">
        <is>
          <t>Not started</t>
        </is>
      </c>
      <c r="E23" s="43" t="n"/>
      <c r="F23" s="44" t="inlineStr">
        <is>
          <t>Clear with Jerry before first contact</t>
        </is>
      </c>
      <c r="G23" s="45" t="n"/>
      <c r="H23" s="113" t="inlineStr">
        <is>
          <t>Veterinary supply and equipment distributor to Korean animal hospitals. Entity not confirmed. RELEVANCE: sells into the small and mid-size Korean animal hospitals where a first ultrasound is still an open decision — which is the right customer — but nothing about the company has been verified. Reasonable target if the clinic coverage turns out to be real.</t>
        </is>
      </c>
      <c r="I23" s="113" t="inlineStr">
        <is>
          <t>Veterinary supply and equipment distributor to Korean animal hospitals.</t>
        </is>
      </c>
      <c r="J23" s="113" t="inlineStr">
        <is>
          <t>Not identified — confirm on first contact</t>
        </is>
      </c>
      <c r="K23" s="113" t="inlineStr">
        <is>
          <t>South Korea</t>
        </is>
      </c>
      <c r="L23" s="113" t="inlineStr">
        <is>
          <t>NOT CONFIRMED — search 베토 동물병원 기자재</t>
        </is>
      </c>
      <c r="M23" s="113" t="inlineStr">
        <is>
          <t>NOT CONFIRMED</t>
        </is>
      </c>
      <c r="N23" s="113" t="inlineStr">
        <is>
          <t>NOT CONFIRMED</t>
        </is>
      </c>
      <c r="O23" s="113" t="inlineStr">
        <is>
          <t>South Korea</t>
        </is>
      </c>
      <c r="P23" s="113" t="inlineStr">
        <is>
          <t>D — NOT VERIFIED (name only, carried from workbook v2.0; no confirmed URL)</t>
        </is>
      </c>
      <c r="Q23" s="113" t="inlineStr">
        <is>
          <t>Unqualified. Confirm the legal entity, the segment and whether they already carry an imaging line before spending time. Reasonable Tier 2 if the clinic coverage is real.</t>
        </is>
      </c>
      <c r="R23" s="113" t="inlineStr">
        <is>
          <t>SonoEye P3 VET</t>
        </is>
      </c>
      <c r="S23" s="51" t="inlineStr">
        <is>
          <t>TIER 2</t>
        </is>
      </c>
      <c r="T23" s="52" t="inlineStr">
        <is>
          <t>MEDIUM — unqualified. Confirm the entity, the segment and any incumbent imaging line.</t>
        </is>
      </c>
      <c r="U23" s="113" t="inlineStr">
        <is>
          <t>A</t>
        </is>
      </c>
      <c r="V23" s="113" t="inlineStr">
        <is>
          <t>Carried from CHISON_VET_Dealer_and_EndUser_Workbook_v2.0 (merged into v6, 6 Aug 2026)</t>
        </is>
      </c>
      <c r="W23" s="50" t="inlineStr">
        <is>
          <t>Vetto: CHISON veterinary ultrasound, an introduction</t>
        </is>
      </c>
      <c r="X23" s="50" t="inlineStr">
        <is>
          <t>Dear 베토 (Vetto) team,
My name is Casper Tan, Senior Regional Sales Manager at AstraMed Healthcare, a subsidiary of CHISON Medical Technologies. I cover Singapore, Japan, South Korea and Taiwan for CHISON veterinary ultrasound.
Vetto sells into the same small and mid-size Korean animal hospitals where a first ultrasound is still an open decision.
To be simple: a Korean entity must hold the QIA veterinary device import licence before anything ships, so this note is about the relationship and an evaluation, not an order.
The product I would lead with for you is SonoEye P3 VET.
Could we have a short introductory call, and could you confirm your legal company name and whether you already carry an ultrasound line?
Kind regards,
Casper Tan
Senior Regional Sales Manager, AstraMed Healthcare
CHISON veterinary ultrasound (Singapore · Japan · South Korea · Taiwan)
casper@astramed.sg</t>
        </is>
      </c>
    </row>
    <row r="24" ht="165" customHeight="1" s="114">
      <c r="A24" s="113" t="n">
        <v>21</v>
      </c>
      <c r="B24" s="41" t="inlineStr">
        <is>
          <t>㈜우진비앤지 (WooGene B&amp;G)</t>
        </is>
      </c>
      <c r="C24" s="113" t="inlineStr">
        <is>
          <t>WooGene B&amp;G Co., Ltd.</t>
        </is>
      </c>
      <c r="D24" s="42" t="inlineStr">
        <is>
          <t>Not started</t>
        </is>
      </c>
      <c r="E24" s="43" t="n"/>
      <c r="F24" s="44" t="inlineStr">
        <is>
          <t>Clear with Jerry before first contact</t>
        </is>
      </c>
      <c r="G24" s="45" t="n"/>
      <c r="H24" s="113" t="inlineStr">
        <is>
          <t>Korean animal pharmaceutical company producing veterinary medicines and biologicals, distributing into animal hospitals and livestock. RELEVANCE: the same logic as the Japanese animal-drug wholesalers — the representative is already in the building every month, and a pocket scanner is the rare capital item a drug rep can physically carry. The open question is whether they handle devices at all.</t>
        </is>
      </c>
      <c r="I24" s="113" t="inlineStr">
        <is>
          <t>Korean animal pharmaceutical company — veterinary medicines and biologicals, with distribution into animal hospitals and livestock.</t>
        </is>
      </c>
      <c r="J24" s="113" t="inlineStr">
        <is>
          <t>Not identified — confirm</t>
        </is>
      </c>
      <c r="K24" s="113" t="inlineStr">
        <is>
          <t>Korea</t>
        </is>
      </c>
      <c r="L24" s="113" t="inlineStr">
        <is>
          <t>NOT CONFIRMED — search 우진비앤지</t>
        </is>
      </c>
      <c r="M24" s="113" t="inlineStr">
        <is>
          <t>NOT CONFIRMED</t>
        </is>
      </c>
      <c r="N24" s="113" t="inlineStr">
        <is>
          <t>NOT CONFIRMED</t>
        </is>
      </c>
      <c r="O24" s="113" t="inlineStr">
        <is>
          <t>Korea</t>
        </is>
      </c>
      <c r="P24" s="113" t="inlineStr">
        <is>
          <t>D — NOT VERIFIED (company referenced in Korean VC database only)</t>
        </is>
      </c>
      <c r="Q24" s="113" t="inlineStr">
        <is>
          <t>A veterinary pharmaceutical channel with standing clinic relationships. Same logic as the Japanese animal-drug wholesalers: the representative is already in the building, and a pocket scanner is the rare capital item a drug rep can carry. Qualify whether they handle devices at all.</t>
        </is>
      </c>
      <c r="R24" s="113" t="inlineStr">
        <is>
          <t>SonoEye P3 VET</t>
        </is>
      </c>
      <c r="S24" s="51" t="inlineStr">
        <is>
          <t>TIER 2</t>
        </is>
      </c>
      <c r="T24" s="52" t="inlineStr">
        <is>
          <t>MEDIUM — pharma channel with standing clinic relationships; confirm they handle devices at all.</t>
        </is>
      </c>
      <c r="U24" s="113" t="inlineStr">
        <is>
          <t>E</t>
        </is>
      </c>
      <c r="V24" s="113" t="inlineStr">
        <is>
          <t>From search — verify entity and device capability</t>
        </is>
      </c>
      <c r="W24" s="50" t="inlineStr">
        <is>
          <t>WooGene B&amp;G Co., Ltd.: capital margin on the relationship you already pay for</t>
        </is>
      </c>
      <c r="X24" s="50" t="inlineStr">
        <is>
          <t>Dear ㈜우진비앤지 (WooGene B&amp;G Co., Ltd.) team,
My name is Casper Tan, Senior Regional Sales Manager at AstraMed Healthcare, a subsidiary of CHISON Medical Technologies. I cover Japan, South Korea, Taiwan and Singapore for CHISON veterinary ultrasound. I am writing to WooGene B&amp;G Co., Ltd. specifically, not to a list. You have standing relationships with Korean animal hospitals through veterinary pharmaceuticals, and a pocket scanner is the rare piece of capital equipment a pharmaceutical representative can physically carry and demonstrate.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Korea yet. Veterinary devices there are licensed through QIA rather than MFDS, and we would want a partner who already understands that route.
The product I would put in front of you first is the SonoEye P3 VET.
Could we find twenty minutes?
Best regards,
Casper Tan
Senior Regional Sales Manager
AstraMed Healthcare, a subsidiary of CHISON Medical Technologies
casper@astramed.sg | +65 8719 0121</t>
        </is>
      </c>
    </row>
    <row r="25" ht="165" customHeight="1" s="114">
      <c r="A25" s="113" t="n">
        <v>28</v>
      </c>
      <c r="B25" s="41" t="inlineStr">
        <is>
          <t>㈜메디아나</t>
        </is>
      </c>
      <c r="C25" s="113" t="inlineStr">
        <is>
          <t>Mediana Co., Ltd. (KOSDAQ 041920)</t>
        </is>
      </c>
      <c r="D25" s="42" t="inlineStr">
        <is>
          <t>Not started</t>
        </is>
      </c>
      <c r="E25" s="43" t="n"/>
      <c r="F25" s="44" t="inlineStr">
        <is>
          <t>Clear with Jerry before first contact</t>
        </is>
      </c>
      <c r="G25" s="45" t="n"/>
      <c r="H25" s="113" t="inlineStr">
        <is>
          <t>KOSDAQ-listed Korean medical electronics manufacturer in the Wonju medtech cluster, making patient monitors, defibrillators and AEDs, both under its own brand and as ODM for export. RELEVANCE: Mediana publishes a dedicated ANIMAL-LABELLED monitor range — M20 Vet, M40 Vet and M50 Vet — on both the Korean site and mediana-global.com. Building veterinary versions rather than leaving vets to adapt human monitors means they treat the segment as a real market and already have a route into animal hospitals. NEW IN v9 — carried across from the human-diagnostic Market Development list v3 (Korea row 23), where only the human monitor business was recorded.</t>
        </is>
      </c>
      <c r="I25" s="113" t="inlineStr">
        <is>
          <t>Patient monitoring, defibrillators and AEDs — manufacturer and ODM. Veterinary multi-parameter monitor line M20 Vet / M40 Vet / M50 Vet.</t>
        </is>
      </c>
      <c r="J25" s="113" t="inlineStr">
        <is>
          <t>NO — monitoring and defibrillation only. No imaging of any kind, human or veterinary.</t>
        </is>
      </c>
      <c r="K25" s="46" t="inlineStr">
        <is>
          <t>Wonju, Gangwon (manufacturing / medtech cluster) · Korea nationwide + export</t>
        </is>
      </c>
      <c r="L25" s="47" t="inlineStr">
        <is>
          <t>https://www.mediana.co.kr · https://www.mediana-global.com</t>
        </is>
      </c>
      <c r="M25" s="113" t="inlineStr">
        <is>
          <t>NOT CONFIRMED — corporate contact page returned 403 on 8 Aug 2026</t>
        </is>
      </c>
      <c r="N25" s="113" t="inlineStr">
        <is>
          <t>NOT CONFIRMED — enquiry via mediana.co.kr</t>
        </is>
      </c>
      <c r="O25" s="41" t="inlineStr">
        <is>
          <t>Wonju, Gangwon-do (registered manufacturer; exact street address not confirmed on 8 Aug 2026)</t>
        </is>
      </c>
      <c r="P25" s="113" t="inlineStr">
        <is>
          <t>C — SITE LIVE, NOT OPENED for contact. The veterinary product range WAS confirmed from the published M20/M40/M50 Vet pages and catalogue listings (8 Aug 2026); the corporate contact page returned 403, so no phone or email is confirmed. Listed company — the KOSDAQ disclosure filing is a reliable second route.</t>
        </is>
      </c>
      <c r="Q25" s="113" t="inlineStr">
        <is>
          <t>Anaesthesia monitoring and ultrasound sit on the same table, in the same room, bought by the same person out of the same budget. Mediana already sells the monitor; nobody in their catalogue sells the scanner. There is no product overlap at all — they watch the patient, we image the patient. Two things are worth establishing on the first call: whether a complementary imaging line has a place beside their veterinary monitors, and whether the channel that already carries M-series Vet into Korean animal hospitals would carry it. Treat this as a complementary-line and co-sell conversation, NOT a distribution appointment on day one — they are a manufacturer, and manufacturers sell into dealers.</t>
        </is>
      </c>
      <c r="R25" s="113" t="inlineStr">
        <is>
          <t>SonoEye P3 VET — peri-operative and vascular access, sold alongside their veterinary monitors</t>
        </is>
      </c>
      <c r="S25" s="48" t="inlineStr">
        <is>
          <t>TIER 2</t>
        </is>
      </c>
      <c r="T25" s="49" t="inlineStr">
        <is>
          <t>MEDIUM — a genuine veterinary channel with zero imaging conflict, but they are a manufacturer rather than a distributor, so the shape of the relationship has to be established first. No invoice until a Korean entity holds the QIA veterinary device import business licence.</t>
        </is>
      </c>
      <c r="U25" s="113" t="inlineStr">
        <is>
          <t>MFR/D</t>
        </is>
      </c>
      <c r="V25" s="113" t="inlineStr">
        <is>
          <t>NEW IN v9 — M20 Vet / M40 Vet / M50 Vet confirmed from published product pages and catalogue listings, 8 Aug 2026. Traced from Market Development Target List v3, Korea Dealers row 23 (recorded there as a human patient-monitor and AED maker only).</t>
        </is>
      </c>
      <c r="W25" s="56" t="inlineStr">
        <is>
          <t>㈜메디아나 (Mediana): a complementary line for the animal hospitals already buying M-series Vet</t>
        </is>
      </c>
      <c r="X25" s="50" t="inlineStr">
        <is>
          <t>Dear ㈜메디아나 (Mediana Co., Ltd.) team,
My name is Casper Tan, Senior Regional Sales Manager at AstraMed Healthcare, a subsidiary of CHISON Medical Technologies. I cover Japan, South Korea, Taiwan and Singapore for CHISON veterinary ultrasound.
I am writing because of your veterinary monitor range, the M20, M40 and M50 Vet. Building animal-labelled versions rather than leaving veterinarians to adapt human monitors tells me you take that segment seriously, and it puts your name in the one room where our product also lives: the veterinary theatre and the peri-operative bench.
CHISON manufactures a dedicated veterinary ultrasound range, from pocket-sized units to portables. There is no overlap with anything you make, you monitor the patient, we image them, and the two are bought by the same person, on the same table, out of the same budget.
I am not proposing anything formal at this stage. Two things seem worth exploring: whether a complementary imaging line has a place alongside your veterinary monitors, and whether the channel that already carries M-series Vet would carry it. Anything beyond that waits on a Korean entity holding the QIA veterinary device import business licence.
Would a short introductory call be useful?
Casper Tan
Senior Regional Sales Manager
AstraMed Healthcare, a subsidiary of CHISON Medical Technologies
casper@astramed.sg | +65 8719 0121</t>
        </is>
      </c>
    </row>
    <row r="26" ht="165" customHeight="1" s="114">
      <c r="A26" s="113" t="n">
        <v>14</v>
      </c>
      <c r="B26" s="41" t="inlineStr">
        <is>
          <t>㈜한미 (동물병원 사업)</t>
        </is>
      </c>
      <c r="C26" s="113" t="inlineStr">
        <is>
          <t>Hanmi (animal hospital division)</t>
        </is>
      </c>
      <c r="D26" s="42" t="inlineStr">
        <is>
          <t>Not started</t>
        </is>
      </c>
      <c r="E26" s="43" t="n"/>
      <c r="F26" s="44" t="inlineStr">
        <is>
          <t>Clear with Jerry before first contact</t>
        </is>
      </c>
      <c r="G26" s="45" t="n"/>
      <c r="H26" s="113" t="inlineStr">
        <is>
          <t>Supplier of products to Korean animal hospitals with a published customer centre line, Seoul Gangdong-gu. RELEVANCE: small, and the corporate entity has not been confirmed. Its real use is as a low-risk qualification call to test how a Korean veterinary supplier reacts to the CHISON proposition before spending credibility on the Tier 1 names.</t>
        </is>
      </c>
      <c r="I26" s="113" t="inlineStr">
        <is>
          <t>Supplier of products to Korean animal hospitals; customer centre published.</t>
        </is>
      </c>
      <c r="J26" s="113" t="inlineStr">
        <is>
          <t>Not identified</t>
        </is>
      </c>
      <c r="K26" s="113" t="inlineStr">
        <is>
          <t>Seoul Gangdong-gu</t>
        </is>
      </c>
      <c r="L26" s="113" t="inlineStr">
        <is>
          <t>NOT CONFIRMED</t>
        </is>
      </c>
      <c r="M26" s="113" t="inlineStr">
        <is>
          <t>010-5253-1282 · 02-3431-8046 (published on a search result, NOT verified by us)</t>
        </is>
      </c>
      <c r="N26" s="113" t="inlineStr">
        <is>
          <t>NOT CONFIRMED</t>
        </is>
      </c>
      <c r="O26" s="41" t="inlineStr">
        <is>
          <t>서울특별시 강동구</t>
        </is>
      </c>
      <c r="P26" s="113" t="inlineStr">
        <is>
          <t>D — NOT VERIFIED (entity not confirmed — do not assume this is Hanmi Pharmaceutical)</t>
        </is>
      </c>
      <c r="Q26" s="113" t="inlineStr">
        <is>
          <t>Small supplier surfaced during the contact search, with a published direct line — useful as a quick qualification call to test how a Korean vet supplier reacts to the CHISON proposition before spending credibility on the Tier 1 targets. Confirm the corporate entity before anything formal.</t>
        </is>
      </c>
      <c r="R26" s="113" t="inlineStr">
        <is>
          <t>SonoEye P3 VET</t>
        </is>
      </c>
      <c r="S26" s="55" t="inlineStr">
        <is>
          <t>TIER 3</t>
        </is>
      </c>
      <c r="T26" s="54" t="inlineStr">
        <is>
          <t>LOW — small supplier, entity unconfirmed. Useful as a low-stakes practice call.</t>
        </is>
      </c>
      <c r="U26" s="113" t="inlineStr">
        <is>
          <t>D</t>
        </is>
      </c>
      <c r="V26" s="113" t="inlineStr">
        <is>
          <t>From search — entity NOT confirmed, verify before approach</t>
        </is>
      </c>
      <c r="W26" s="50" t="inlineStr">
        <is>
          <t>Hanmi (animal hospital division): a second capital line for the customers you already have</t>
        </is>
      </c>
      <c r="X26" s="50" t="inlineStr">
        <is>
          <t>Dear ㈜한미 (Hanmi) team,
My name is Casper Tan, Senior Regional Sales Manager at AstraMed Healthcare, a subsidiary of CHISON Medical Technologies. I cover Japan, South Korea, Taiwan and Singapore for CHISON veterinary ultrasound. I am writing to Hanmi specifically, not to a list. You supply Korean animal hospitals directly.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7" ht="165" customHeight="1" s="114">
      <c r="A27" s="113" t="n">
        <v>24</v>
      </c>
      <c r="B27" s="41" t="inlineStr">
        <is>
          <t>펫탑 (PetOp)</t>
        </is>
      </c>
      <c r="C27" s="113" t="inlineStr">
        <is>
          <t>PetOp</t>
        </is>
      </c>
      <c r="D27" s="42" t="inlineStr">
        <is>
          <t>Not started</t>
        </is>
      </c>
      <c r="E27" s="43" t="n"/>
      <c r="F27" s="44" t="inlineStr">
        <is>
          <t>Clear with Jerry before first contact</t>
        </is>
      </c>
      <c r="G27" s="45" t="n"/>
      <c r="H27" s="113" t="inlineStr">
        <is>
          <t>Veterinary supplies and e-commerce channel for Korean animal hospitals. Entity not confirmed. RELEVANCE: reaches clinics no equipment rep calls on, but has no sales force and no service capability. Useful for reach, not for a consultative sale.</t>
        </is>
      </c>
      <c r="I27" s="113" t="inlineStr">
        <is>
          <t>Veterinary supplies / e-commerce channel for animal hospitals.</t>
        </is>
      </c>
      <c r="J27" s="113" t="inlineStr">
        <is>
          <t>Not identified — confirm on first contact</t>
        </is>
      </c>
      <c r="K27" s="113" t="inlineStr">
        <is>
          <t>South Korea</t>
        </is>
      </c>
      <c r="L27" s="113" t="inlineStr">
        <is>
          <t>NOT CONFIRMED — search 펫탑 동물병원</t>
        </is>
      </c>
      <c r="M27" s="113" t="inlineStr">
        <is>
          <t>NOT CONFIRMED</t>
        </is>
      </c>
      <c r="N27" s="113" t="inlineStr">
        <is>
          <t>NOT CONFIRMED</t>
        </is>
      </c>
      <c r="O27" s="113" t="inlineStr">
        <is>
          <t>South Korea</t>
        </is>
      </c>
      <c r="P27" s="113" t="inlineStr">
        <is>
          <t>D — NOT VERIFIED (name only, carried from workbook v2.0; no confirmed URL)</t>
        </is>
      </c>
      <c r="Q27" s="113" t="inlineStr">
        <is>
          <t>Long tail. Online-shelf shape, so accessories and the pocket tier only — never a console.</t>
        </is>
      </c>
      <c r="R27" s="113" t="inlineStr">
        <is>
          <t>SonoEye P3 VET pocket tier and probes</t>
        </is>
      </c>
      <c r="S27" s="55" t="inlineStr">
        <is>
          <t>TIER 3</t>
        </is>
      </c>
      <c r="T27" s="54" t="inlineStr">
        <is>
          <t>LOW — online shelf. Accessories and pocket tier only.</t>
        </is>
      </c>
      <c r="U27" s="113" t="inlineStr">
        <is>
          <t>A</t>
        </is>
      </c>
      <c r="V27" s="113" t="inlineStr">
        <is>
          <t>Carried from CHISON_VET_Dealer_and_EndUser_Workbook_v2.0 (merged into v6, 6 Aug 2026)</t>
        </is>
      </c>
      <c r="W27" s="50" t="inlineStr">
        <is>
          <t>PetOp: CHISON veterinary ultrasound, an introduction</t>
        </is>
      </c>
      <c r="X27" s="50" t="inlineStr">
        <is>
          <t>Dear 펫탑 (PetOp) team,
My name is Casper Tan, Senior Regional Sales Manager at AstraMed Healthcare, a subsidiary of CHISON Medical Technologies. I cover Singapore, Japan, South Korea and Taiwan for CHISON veterinary ultrasound.
PetOp reaches clinics that no equipment rep calls on often, and a pocket scanner is one of the few imaging products that sells through that format.
To be simple: a Korean entity must hold the QIA veterinary device import licence before anything ships, so this note is about the relationship and an evaluation, not an order.
The product I would lead with for you is SonoEye P3 VET pocket tier and probes.
Would you consider listing a veterinary handheld scanner? A short call on your listing process would be enough to start.
Kind regards,
Casper Tan
Senior Regional Sales Manager, AstraMed Healthcare
CHISON veterinary ultrasound (Singapore · Japan · South Korea · Taiwan)
casper@astramed.sg</t>
        </is>
      </c>
    </row>
    <row r="28" ht="165" customHeight="1" s="114">
      <c r="A28" s="113" t="n">
        <v>26</v>
      </c>
      <c r="B28" s="41" t="inlineStr">
        <is>
          <t>성울스 (의정부) — 법인명 미확인</t>
        </is>
      </c>
      <c r="C28" s="113" t="inlineStr">
        <is>
          <t>Sungwools (Uijeongbu) — legal name UNCONFIRMED</t>
        </is>
      </c>
      <c r="D28" s="42" t="inlineStr">
        <is>
          <t>Not started</t>
        </is>
      </c>
      <c r="E28" s="43" t="n"/>
      <c r="F28" s="44" t="inlineStr">
        <is>
          <t>Clear with Jerry before first contact</t>
        </is>
      </c>
      <c r="G28" s="45" t="n"/>
      <c r="H28" s="113" t="inlineStr">
        <is>
          <t>Described in the older list as a veterinary equipment distributor in Uijeongbu, Gyeonggi. The legal entity name has not been confirmed in any source. RELEVANCE: northern Gyeonggi is genuinely under-covered by Seoul-based dealers, so the territory argument is sound if the company is real. The individual named in the source file is unverified and must not be used.</t>
        </is>
      </c>
      <c r="I28" s="113" t="inlineStr">
        <is>
          <t>Veterinary equipment distributor, Uijeongbu, Gyeonggi. Legal entity name not confirmed in any source.</t>
        </is>
      </c>
      <c r="J28" s="113" t="inlineStr">
        <is>
          <t>Not identified — confirm on first contact</t>
        </is>
      </c>
      <c r="K28" s="113" t="inlineStr">
        <is>
          <t>Uijeongbu, Gyeonggi-do</t>
        </is>
      </c>
      <c r="L28" s="113" t="inlineStr">
        <is>
          <t>NOT CONFIRMED — search 성울스 동물병원 기자재</t>
        </is>
      </c>
      <c r="M28" s="113" t="inlineStr">
        <is>
          <t>NOT CONFIRMED</t>
        </is>
      </c>
      <c r="N28" s="113" t="inlineStr">
        <is>
          <t>NOT CONFIRMED (a contact named 'Jane Cho' appears in the Market Development list and has NOT been verified — do not use)</t>
        </is>
      </c>
      <c r="O28" s="113" t="inlineStr">
        <is>
          <t>Uijeongbu, Gyeonggi-do</t>
        </is>
      </c>
      <c r="P28" s="113" t="inlineStr">
        <is>
          <t>D — NOT VERIFIED (name, city and an unverified individual only; no confirmed URL or entity)</t>
        </is>
      </c>
      <c r="Q28" s="113" t="inlineStr">
        <is>
          <t>CORRECTION FLAG: the earlier list carried a named individual for this company. No named individual anywhere in this workbook has been verified — treat that name as unusable until confirmed. Confirm the company exists and trades before contacting.</t>
        </is>
      </c>
      <c r="R28" s="113" t="inlineStr">
        <is>
          <t>SonoEye P3 VET</t>
        </is>
      </c>
      <c r="S28" s="55" t="inlineStr">
        <is>
          <t>TIER 3</t>
        </is>
      </c>
      <c r="T28" s="54" t="inlineStr">
        <is>
          <t>LOW — entity unconfirmed. Confirm the company trades before contacting.</t>
        </is>
      </c>
      <c r="U28" s="113" t="inlineStr">
        <is>
          <t>A</t>
        </is>
      </c>
      <c r="V28" s="113" t="inlineStr">
        <is>
          <t>Carried from CHISON_Market_Development_Target_List_v2 (merged into v6, 6 Aug 2026) — entity and individual UNVERIFIED</t>
        </is>
      </c>
      <c r="W28" s="50" t="inlineStr">
        <is>
          <t>Sungwools (Uijeongbu): legal name UNCONFIRMED, CHISON veterinary ultrasound, an introduction</t>
        </is>
      </c>
      <c r="X28" s="50" t="inlineStr">
        <is>
          <t>Dear 성울스 (Sungwools) team,
My name is Casper Tan, Senior Regional Sales Manager at AstraMed Healthcare, a subsidiary of CHISON Medical Technologies. I cover Singapore, Japan, South Korea and Taiwan for CHISON veterinary ultrasound.
Sungwools covers the northern Gyeonggi animal hospitals that Seoul-based dealers reach last.
To be simple: a Korean entity must hold the QIA veterinary device import licence before anything ships, so this note is about the relationship and an evaluation, not an order.
The product I would lead with for you is SonoEye P3 VET.
Could you confirm your legal company name and whether you distribute veterinary equipment, and if so, would a short introductory call be welcome?
Kind regards,
Casper Tan
Senior Regional Sales Manager, AstraMed Healthcare
CHISON veterinary ultrasound (Singapore · Japan · South Korea · Taiwan)
casper@astramed.sg</t>
        </is>
      </c>
    </row>
    <row r="29" ht="165" customHeight="1" s="114">
      <c r="A29" s="113" t="n">
        <v>25</v>
      </c>
      <c r="B29" s="41" t="inlineStr">
        <is>
          <t>유비케어 (UBcare)</t>
        </is>
      </c>
      <c r="C29" s="113" t="inlineStr">
        <is>
          <t>UBcare Co., Ltd.</t>
        </is>
      </c>
      <c r="D29" s="42" t="inlineStr">
        <is>
          <t>Not started</t>
        </is>
      </c>
      <c r="E29" s="43" t="n"/>
      <c r="F29" s="44" t="inlineStr">
        <is>
          <t>Clear with Jerry before first contact</t>
        </is>
      </c>
      <c r="G29" s="45" t="n"/>
      <c r="H29" s="46" t="inlineStr">
        <is>
          <t>Korean healthcare IT group providing veterinary practice-management software and connected clinic services. RELEVANCE: they will not buy or stock scanners. What they have is a position inside the daily workflow of a large number of Korean animal hospitals, which makes image capture into the patient record a real conversation — endorsement and reach rather than logistics. Qualify what a hardware partnership would even look like before investing time.</t>
        </is>
      </c>
      <c r="I29" s="113" t="inlineStr">
        <is>
          <t>Healthcare IT group; veterinary practice-management software and connected clinic services.</t>
        </is>
      </c>
      <c r="J29" s="113" t="inlineStr">
        <is>
          <t>NO — software and services, not imaging</t>
        </is>
      </c>
      <c r="K29" s="46" t="inlineStr">
        <is>
          <t>Seoul; nationwide</t>
        </is>
      </c>
      <c r="L29" s="47" t="inlineStr">
        <is>
          <t>https://www.ubcare.co.kr</t>
        </is>
      </c>
      <c r="M29" s="113" t="inlineStr">
        <is>
          <t>NOT CONFIRMED — via company site</t>
        </is>
      </c>
      <c r="N29" s="113" t="inlineStr">
        <is>
          <t>NOT CONFIRMED — via company site</t>
        </is>
      </c>
      <c r="O29" s="113" t="inlineStr">
        <is>
          <t>Seoul, South Korea</t>
        </is>
      </c>
      <c r="P29" s="113" t="inlineStr">
        <is>
          <t>D — NOT VERIFIED (carried from workbook v2.0; site not opened by us)</t>
        </is>
      </c>
      <c r="Q29" s="113" t="inlineStr">
        <is>
          <t>Not a dealer in the normal sense — a software house sitting inside the clinic workflow. The value is reach and endorsement rather than logistics. Qualify what a hardware partnership would even look like before investing time.</t>
        </is>
      </c>
      <c r="R29" s="113" t="inlineStr">
        <is>
          <t>SonoEye P3 VET (image capture into the clinic record)</t>
        </is>
      </c>
      <c r="S29" s="55" t="inlineStr">
        <is>
          <t>TIER 3</t>
        </is>
      </c>
      <c r="T29" s="54" t="inlineStr">
        <is>
          <t>LOW — a software house, not a buyer. Partnership and reach, not a distribution appointment.</t>
        </is>
      </c>
      <c r="U29" s="113" t="inlineStr">
        <is>
          <t>D</t>
        </is>
      </c>
      <c r="V29" s="113" t="inlineStr">
        <is>
          <t>Carried from CHISON_VET_Dealer_and_EndUser_Workbook_v2.0 (merged into v6, 6 Aug 2026)</t>
        </is>
      </c>
      <c r="W29" s="50" t="inlineStr">
        <is>
          <t>UBcare Co., Ltd.: CHISON veterinary ultrasound, an introduction</t>
        </is>
      </c>
      <c r="X29" s="50" t="inlineStr">
        <is>
          <t>Dear 유비케어 (UBcare Co., Ltd.) team,
My name is Casper Tan, Senior Regional Sales Manager at AstraMed Healthcare, a subsidiary of CHISON Medical Technologies. I cover Singapore, Japan, South Korea and Taiwan for CHISON veterinary ultrasound.
UBcare sits inside the daily workflow of a large number of Korean animal hospitals, and where a scan image lands in the patient record is a question our handheld range answers well.
To be simple: a Korean entity must hold the QIA veterinary device import licence before anything ships, so this note is about the relationship and an evaluation, not an order.
The product I would lead with for you is SonoEye P3 VET (image capture into the clinic record).
Would a short call about image capture into your veterinary record system be of interest?
Kind regards,
Casper Tan
Senior Regional Sales Manager, AstraMed Healthcare
CHISON veterinary ultrasound (Singapore · Japan · South Korea · Taiwan)
casper@astramed.sg</t>
        </is>
      </c>
    </row>
    <row r="30" ht="165" customHeight="1" s="114">
      <c r="A30" s="113" t="n">
        <v>11</v>
      </c>
      <c r="B30" s="41" t="inlineStr">
        <is>
          <t>벳스몰</t>
        </is>
      </c>
      <c r="C30" s="113" t="inlineStr">
        <is>
          <t>Vetsmall</t>
        </is>
      </c>
      <c r="D30" s="42" t="inlineStr">
        <is>
          <t>Not started</t>
        </is>
      </c>
      <c r="E30" s="43" t="n"/>
      <c r="F30" s="44" t="inlineStr">
        <is>
          <t>Clear with Jerry before first contact</t>
        </is>
      </c>
      <c r="G30" s="45" t="n"/>
      <c r="H30" s="46" t="inlineStr">
        <is>
          <t>Animal-hospital supply e-commerce business. RELEVANCE: reach into small Korean clinics at very low cost to serve, but no sales force, no service and no regulatory standing. Park it until the QIA-licensed importer is appointed, then use it for reach.</t>
        </is>
      </c>
      <c r="I30" s="113" t="inlineStr">
        <is>
          <t>Animal-hospital supply e-commerce.</t>
        </is>
      </c>
      <c r="J30" s="113" t="inlineStr">
        <is>
          <t>Not identified</t>
        </is>
      </c>
      <c r="K30" s="46" t="inlineStr">
        <is>
          <t>Korea</t>
        </is>
      </c>
      <c r="L30" s="47" t="inlineStr">
        <is>
          <t>https://vetsmall.cafe24.com</t>
        </is>
      </c>
      <c r="M30" s="113" t="inlineStr">
        <is>
          <t>NOT CONFIRMED</t>
        </is>
      </c>
      <c r="N30" s="113" t="inlineStr">
        <is>
          <t>NOT CONFIRMED</t>
        </is>
      </c>
      <c r="O30" s="113" t="inlineStr">
        <is>
          <t>Korea</t>
        </is>
      </c>
      <c r="P30" s="113" t="inlineStr">
        <is>
          <t>C — SITE LIVE, NOT OPENED</t>
        </is>
      </c>
      <c r="Q30" s="113" t="inlineStr">
        <is>
          <t>Long-tail online channel. Low priority until an importer exists, then useful for reach into small clinics.</t>
        </is>
      </c>
      <c r="R30" s="113" t="inlineStr">
        <is>
          <t>SonoEye P3 VET</t>
        </is>
      </c>
      <c r="S30" s="55" t="inlineStr">
        <is>
          <t>TIER 3</t>
        </is>
      </c>
      <c r="T30" s="54" t="inlineStr">
        <is>
          <t>LOW — long-tail online channel; useful only once an importer exists.</t>
        </is>
      </c>
      <c r="U30" s="113" t="inlineStr">
        <is>
          <t>D</t>
        </is>
      </c>
      <c r="V30" s="113" t="inlineStr">
        <is>
          <t>Verified site (search-indexed)</t>
        </is>
      </c>
      <c r="W30" s="50" t="inlineStr">
        <is>
          <t>Vetsmall: a second capital line for the customers you already have</t>
        </is>
      </c>
      <c r="X30" s="50" t="inlineStr">
        <is>
          <t>Dear 벳스몰 (Vetsmall) team,
My name is Casper Tan, Senior Regional Sales Manager at AstraMed Healthcare, a subsidiary of CHISON Medical Technologies. I cover Japan, South Korea, Taiwan and Singapore for CHISON veterinary ultrasound. I am writing to Vetsmall specifically, not to a list. You supply Korean animal hospitals online at volume.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31" ht="165" customHeight="1" s="114">
      <c r="A31" s="113" t="n">
        <v>12</v>
      </c>
      <c r="B31" s="113" t="inlineStr">
        <is>
          <t>VITSHOP (Veterflix)</t>
        </is>
      </c>
      <c r="C31" s="113" t="inlineStr">
        <is>
          <t>VITSHOP / Veterflix</t>
        </is>
      </c>
      <c r="D31" s="42" t="inlineStr">
        <is>
          <t>Not started</t>
        </is>
      </c>
      <c r="E31" s="43" t="n"/>
      <c r="F31" s="44" t="inlineStr">
        <is>
          <t>Clear with Jerry before first contact</t>
        </is>
      </c>
      <c r="G31" s="45" t="n"/>
      <c r="H31" s="46" t="inlineStr">
        <is>
          <t>Korean veterinary device retailer listing animal ultrasound, surgical equipment, imaging equipment and sterilisation equipment. RELEVANCE: they already sell scanners online, which proves the format works. Qualify which brands and at what price — if they are moving grey-market or entry-level Chinese units, a properly supported CHISON line with Korean service behind it is a straightforward upgrade for them rather than a competitive threat.</t>
        </is>
      </c>
      <c r="I31" s="113" t="inlineStr">
        <is>
          <t>Veterinary device retailer: animal ultrasound, surgical equipment, imaging equipment, sterilisation equipment.</t>
        </is>
      </c>
      <c r="J31" s="113" t="inlineStr">
        <is>
          <t>YES — already lists animal ultrasound</t>
        </is>
      </c>
      <c r="K31" s="46" t="inlineStr">
        <is>
          <t>Korea</t>
        </is>
      </c>
      <c r="L31" s="47" t="inlineStr">
        <is>
          <t>https://veterflix.shop</t>
        </is>
      </c>
      <c r="M31" s="113" t="inlineStr">
        <is>
          <t>NOT CONFIRMED</t>
        </is>
      </c>
      <c r="N31" s="113" t="inlineStr">
        <is>
          <t>NOT CONFIRMED</t>
        </is>
      </c>
      <c r="O31" s="113" t="inlineStr">
        <is>
          <t>Korea</t>
        </is>
      </c>
      <c r="P31" s="113" t="inlineStr">
        <is>
          <t>C — SITE LIVE, NOT OPENED</t>
        </is>
      </c>
      <c r="Q31" s="113" t="inlineStr">
        <is>
          <t>Already retails ultrasound online, so the mechanics are proven. Qualify which brands and at what price — if they are selling grey or entry Chinese units, CHISON with a real Korean service backup is an easy upgrade for them.</t>
        </is>
      </c>
      <c r="R31" s="113" t="inlineStr">
        <is>
          <t>SonoEye P3 VET</t>
        </is>
      </c>
      <c r="S31" s="55" t="inlineStr">
        <is>
          <t>TIER 3</t>
        </is>
      </c>
      <c r="T31" s="52" t="inlineStr">
        <is>
          <t>MEDIUM — already retails ultrasound online, so the mechanics are proven.</t>
        </is>
      </c>
      <c r="U31" s="113" t="inlineStr">
        <is>
          <t>B</t>
        </is>
      </c>
      <c r="V31" s="113" t="inlineStr">
        <is>
          <t>Verified site (search-indexed) · v11 CHECK 27 Sep 2026: veterflix.shop did not resolve in DNS; the site may have moved or closed, confirm before relying on it.</t>
        </is>
      </c>
      <c r="W31" s="50" t="inlineStr">
        <is>
          <t>VITSHOP / Veterflix: not a replacement for your ultrasound line, the tier below it</t>
        </is>
      </c>
      <c r="X31" s="50" t="inlineStr">
        <is>
          <t>Dear VITSHOP (VITSHOP / Veterflix) team,
My name is Casper Tan, Senior Regional Sales Manager at AstraMed Healthcare, a subsidiary of CHISON Medical Technologies. I cover Japan, South Korea, Taiwan and Singapore for CHISON veterinary ultrasound. I am writing to VITSHOP / Veterflix specifically, not to a list. You already retail animal ultrasound online, so the mechanics are proven at your end. The question is whether what you are listing today comes with real Korean service behind it.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Would twenty minutes be worth it, to see whether this protects your top-tier margin rather than competing with it?
Best regards,
Casper Tan
Senior Regional Sales Manager
AstraMed Healthcare, a subsidiary of CHISON Medical Technologies
casper@astramed.sg | +65 8719 0121</t>
        </is>
      </c>
    </row>
    <row r="32" ht="165" customHeight="1" s="114">
      <c r="A32" s="113" t="n">
        <v>10</v>
      </c>
      <c r="B32" s="41" t="inlineStr">
        <is>
          <t>위드벳</t>
        </is>
      </c>
      <c r="C32" s="113" t="inlineStr">
        <is>
          <t>WithVet</t>
        </is>
      </c>
      <c r="D32" s="42" t="inlineStr">
        <is>
          <t>Not started</t>
        </is>
      </c>
      <c r="E32" s="43" t="n"/>
      <c r="F32" s="44" t="inlineStr">
        <is>
          <t>Clear with Jerry before first contact</t>
        </is>
      </c>
      <c r="G32" s="45" t="n"/>
      <c r="H32" s="46" t="inlineStr">
        <is>
          <t>Animal-hospital e-commerce business selling veterinary devices, equipment, animal drugs and supplies. RELEVANCE: a volume supply channel into independent clinics. Suitable for gel, probe covers and carry cases alongside a unit sale; not a candidate for the primary distribution appointment.</t>
        </is>
      </c>
      <c r="I32" s="113" t="inlineStr">
        <is>
          <t>Animal-hospital e-commerce: veterinary devices, equipment, animal drugs and supplies.</t>
        </is>
      </c>
      <c r="J32" s="113" t="inlineStr">
        <is>
          <t>Not identified</t>
        </is>
      </c>
      <c r="K32" s="46" t="inlineStr">
        <is>
          <t>Korea</t>
        </is>
      </c>
      <c r="L32" s="47" t="inlineStr">
        <is>
          <t>http://www.withvet.co.kr</t>
        </is>
      </c>
      <c r="M32" s="113" t="inlineStr">
        <is>
          <t>NOT CONFIRMED</t>
        </is>
      </c>
      <c r="N32" s="113" t="inlineStr">
        <is>
          <t>NOT CONFIRMED</t>
        </is>
      </c>
      <c r="O32" s="113" t="inlineStr">
        <is>
          <t>Korea</t>
        </is>
      </c>
      <c r="P32" s="113" t="inlineStr">
        <is>
          <t>C — SITE LIVE, NOT OPENED</t>
        </is>
      </c>
      <c r="Q32" s="113" t="inlineStr">
        <is>
          <t>Volume supply channel to independent clinics. Suitable for consumables-and-accessories attach (gel, probe covers, carry cases) alongside a unit sale rather than as the primary appointment.</t>
        </is>
      </c>
      <c r="R32" s="113" t="inlineStr">
        <is>
          <t>SonoEye P3 VET + accessories</t>
        </is>
      </c>
      <c r="S32" s="55" t="inlineStr">
        <is>
          <t>TIER 3</t>
        </is>
      </c>
      <c r="T32" s="54" t="inlineStr">
        <is>
          <t>LOW — consumables and accessories attach rather than a primary appointment.</t>
        </is>
      </c>
      <c r="U32" s="113" t="inlineStr">
        <is>
          <t>D</t>
        </is>
      </c>
      <c r="V32" s="113" t="inlineStr">
        <is>
          <t>Verified site (search-indexed)</t>
        </is>
      </c>
      <c r="W32" s="50" t="inlineStr">
        <is>
          <t>WithVet: a second capital line for the customers you already have</t>
        </is>
      </c>
      <c r="X32" s="50" t="inlineStr">
        <is>
          <t>Dear 위드벳 (WithVet) team,
My name is Casper Tan, Senior Regional Sales Manager at AstraMed Healthcare, a subsidiary of CHISON Medical Technologies. I cover Japan, South Korea, Taiwan and Singapore for CHISON veterinary ultrasound. I am writing to WithVet specifically, not to a list. You reach independent Korean clinics with devices, equipment and supplies at volume.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and accessories.
If it is of interest I will send the line card and dealer terms, no obligation, and you can decide from the numbers.
Best regards,
Casper Tan
Senior Regional Sales Manager
AstraMed Healthcare, a subsidiary of CHISON Medical Technologies
casper@astramed.sg | +65 8719 0121</t>
        </is>
      </c>
    </row>
    <row r="33" ht="165" customHeight="1" s="114">
      <c r="A33" s="113" t="n">
        <v>29</v>
      </c>
      <c r="B33" s="41" t="inlineStr">
        <is>
          <t>DK메디칼시스템 (동물용 등록 미확인)</t>
        </is>
      </c>
      <c r="C33" s="113" t="inlineStr">
        <is>
          <t>DK Medical Systems — VETERINARY REGISTRATION UNVERIFIED</t>
        </is>
      </c>
      <c r="D33" s="42" t="inlineStr">
        <is>
          <t>Not started</t>
        </is>
      </c>
      <c r="E33" s="43" t="n"/>
      <c r="F33" s="44" t="inlineStr">
        <is>
          <t>Clear with Jerry before first contact</t>
        </is>
      </c>
      <c r="G33" s="45" t="n"/>
      <c r="H33" s="113" t="inlineStr">
        <is>
          <t>Korean diagnostic-imaging maker and distributor operating since 1992 — digital X-ray and fluoroscopy — with a related entity, DK Medical Solution (dkms.co.kr), active in intelligent X-ray and South-East Asian export. CARRIED ACROSS WITH A CORRECTION: the Market Development list v3 graded this a Tier 1 Korean target on the basis that it is 'ALSO registered for veterinary devices (동물용의료용구)'. That claim could NOT be verified in this pass — see the CONTACT CONFIDENCE and fit-note columns. It is carried at TIER 3 / VERIFY FIRST rather than dropped, because if the registration is real the company belongs near the top of this tab.</t>
        </is>
      </c>
      <c r="I33" s="113" t="inlineStr">
        <is>
          <t>Digital X-ray and fluoroscopy manufacture and distribution. Veterinary device registration CLAIMED, NOT VERIFIED.</t>
        </is>
      </c>
      <c r="J33" s="113" t="inlineStr">
        <is>
          <t>No ultrasound line identified — meaning we did not find one, not that none exists.</t>
        </is>
      </c>
      <c r="K33" s="46" t="inlineStr">
        <is>
          <t>Seoul; related entity DK Medical Solution</t>
        </is>
      </c>
      <c r="L33" s="47" t="inlineStr">
        <is>
          <t>http://www.dk.co.kr (SEE NOTE) · related: https://www.dkms.co.kr</t>
        </is>
      </c>
      <c r="M33" s="113" t="inlineStr">
        <is>
          <t>NOT CONFIRMED</t>
        </is>
      </c>
      <c r="N33" s="113" t="inlineStr">
        <is>
          <t>NOT CONFIRMED</t>
        </is>
      </c>
      <c r="O33" s="41" t="inlineStr">
        <is>
          <t>Seoul (exact address not confirmed)</t>
        </is>
      </c>
      <c r="P33" s="113" t="inlineStr">
        <is>
          <t>D — NOT VERIFIED. On 8 Aug 2026 dk.co.kr could not be opened at all: the TLS certificate was rejected as too weak. Searches surfaced only DK Medical Solution X-ray material, with no veterinary page and no QIA entry found. Confirm the company trades, and confirm the veterinary registration, BEFORE contacting.</t>
        </is>
      </c>
      <c r="Q33" s="113" t="inlineStr">
        <is>
          <t>CORRECTION ROW. The older list's Tier 1 grade rested entirely on an unverified veterinary registration, and a Tier 1 grade should never rest on a claim nobody has checked. THE ACTION IS A LOOKUP, NOT A CALL: search the QIA 동물용의료기기 업허가·품목등록 현황 register at qia.go.kr for the company. If the registration is there and current, this is a Korean X-ray manufacturer with veterinary licensing and no ultrasound — the same structural opportunity as Woorien and JPI, and it should be re-tiered to TIER 1 immediately. If it is not there, delete the row. Do not spend a call finding out what a register will tell you in five minutes.</t>
        </is>
      </c>
      <c r="R33" s="113" t="inlineStr">
        <is>
          <t>SonoEye P3 VET + EBit 50 VET (only once the veterinary registration is confirmed)</t>
        </is>
      </c>
      <c r="S33" s="48" t="inlineStr">
        <is>
          <t>TIER 3</t>
        </is>
      </c>
      <c r="T33" s="49" t="inlineStr">
        <is>
          <t>LOW until verified — the entity and its veterinary registration are both unconfirmed. Re-grade to HIGH and TIER 1 if the QIA register confirms the registration.</t>
        </is>
      </c>
      <c r="U33" s="113" t="inlineStr">
        <is>
          <t>F</t>
        </is>
      </c>
      <c r="V33" s="113" t="inlineStr">
        <is>
          <t>CARRIED WITH CORRECTION IN v9 from Market Development Target List v3, Korea Dealers row 21. Verification attempted 8 Aug 2026 and FAILED: dk.co.kr unreachable (TLS certificate rejected), no veterinary page or QIA entry located.</t>
        </is>
      </c>
      <c r="W33" s="50" t="inlineStr">
        <is>
          <t>DK메디칼시스템 (DK Medical Systems): a second capital line for the animal hospitals you already reach</t>
        </is>
      </c>
      <c r="X33" s="50" t="inlineStr">
        <is>
          <t>Dear DK메디칼시스템 (DK Medical Systems) team,
My name is Casper Tan, Senior Regional Sales Manager at AstraMed Healthcare, a subsidiary of CHISON Medical Technologies. I cover Japan, South Korea, Taiwan and Singapore for CHISON veterinary ultrasound.
You are on our list as a Korean diagnostic X-ray manufacturer holding a veterinary device registration. If that is still current, it is the profile we look for hardest: an imaging company with real access to animal hospitals and no ultrasound line of its own to defend.
CHISON manufactures a dedicated veterinary ultrasound range, pocket units through portables, with animal presets rather than human systems relabelled. Beside an X-ray room it completes the diagnostic picture instead of competing with it, and it gives an existing salesforce a second capital product for customers they already visit.
Before taking up more of your time, could you confirm two things, that the veterinary registration is current, and who in your organisation owns the animal-hospital business? Nothing can be supplied into Korea until a Korean entity holds the QIA veterinary device import business licence, so this is a fit conversation only.
VERIFY FIRST, do not send this until the QIA register confirms the veterinary registration and a working address is found.
Casper Tan
Senior Regional Sales Manager
AstraMed Healthcare, a subsidiary of CHISON Medical Technologies
casper@astramed.sg | +65 8719 0121</t>
        </is>
      </c>
    </row>
    <row r="34" ht="165" customHeight="1" s="114">
      <c r="A34" s="113" t="n">
        <v>30</v>
      </c>
      <c r="B34" s="41" t="inlineStr">
        <is>
          <t>㈜브이에스아이</t>
        </is>
      </c>
      <c r="C34" s="113" t="inlineStr">
        <is>
          <t>VSI Co., Ltd.</t>
        </is>
      </c>
      <c r="D34" s="42" t="inlineStr">
        <is>
          <t>Contacted</t>
        </is>
      </c>
      <c r="E34" s="43" t="inlineStr">
        <is>
          <t>Casper</t>
        </is>
      </c>
      <c r="F34" s="44" t="inlineStr">
        <is>
          <t>Intro email sent 28 Sep 2026 from casper@astramed.sg with CHISON VET Introduction 2027 attached. Follow up by phone or email if no reply</t>
        </is>
      </c>
      <c r="G34" s="121" t="n">
        <v>46300</v>
      </c>
      <c r="H34" s="113" t="inlineStr">
        <is>
          <t>Cheongju based maker of portable X-ray with 30 plus years in human, dental and veterinary portables. Its VX-100vet weighs 2.5 kg, uses a carbon nanotube tube, works one handed with wireless image transfer, and is sold to small animal clinics, farms and emergency care in Korea and abroad.</t>
        </is>
      </c>
      <c r="I34" s="113" t="inlineStr">
        <is>
          <t>Portable veterinary X-ray maker (VX-100vet)</t>
        </is>
      </c>
      <c r="J34" s="113" t="inlineStr">
        <is>
          <t>NO · X-ray only</t>
        </is>
      </c>
      <c r="K34" s="113" t="inlineStr">
        <is>
          <t>Korea, exports worldwide</t>
        </is>
      </c>
      <c r="L34" s="108" t="inlineStr">
        <is>
          <t>https://www.vsi.co.kr/ko/</t>
        </is>
      </c>
      <c r="M34" s="113" t="inlineStr">
        <is>
          <t>TEL 043-267-9039 · FAX 043-269-4039</t>
        </is>
      </c>
      <c r="N34" s="113" t="inlineStr">
        <is>
          <t>sales2@vsi.co.kr · sales@vsi.co.kr</t>
        </is>
      </c>
      <c r="O34" s="113" t="inlineStr">
        <is>
          <t>충청북도 청주시 서원구 남이면 남석로 151-33 (28182)</t>
        </is>
      </c>
      <c r="P34" s="113" t="inlineStr">
        <is>
          <t>A · VERIFIED DIRECT (medical device sales email and phone off the company location page, opened 27 Sep 2026)</t>
        </is>
      </c>
      <c r="Q34" s="113" t="inlineStr">
        <is>
          <t>Portable X-ray plus portable ultrasound is the complete house call and farm imaging kit. A co-selling partner with a veterinary customer base and export channel.</t>
        </is>
      </c>
      <c r="R34" s="113" t="inlineStr">
        <is>
          <t>SonoEye P6 VET for clinic and house call work and the SonoEye P7 VET rectal probe for farm reproduction, both of which pair well with portable X-ray</t>
        </is>
      </c>
      <c r="S34" s="109" t="inlineStr">
        <is>
          <t>TIER 2</t>
        </is>
      </c>
      <c r="T34" s="52" t="inlineStr">
        <is>
          <t>MEDIUM · co-selling partner rather than distributor</t>
        </is>
      </c>
      <c r="U34" s="113" t="inlineStr">
        <is>
          <t>F</t>
        </is>
      </c>
      <c r="V34" s="113" t="inlineStr">
        <is>
          <t>New in v11 · location page fetched 27 Sep 2026; product reported by Dailygaewon</t>
        </is>
      </c>
      <c r="W34" s="50" t="inlineStr">
        <is>
          <t>VSI Co., Ltd.: portable ultrasound to sit beside the VX-100vet</t>
        </is>
      </c>
      <c r="X34" s="50" t="inlineStr">
        <is>
          <t>Dear ㈜브이에스아이 (VSI Co., Ltd.) team,
My name is Casper Tan, Senior Regional Sales Manager at AstraMed Healthcare, a subsidiary of CHISON Medical Technologies. I cover Japan, South Korea, Taiwan and Singapore for CHISON veterinary ultrasound. I am writing to VSI Co., Ltd. specifically, not to a list. The VX-100vet has made X-ray genuinely portable for house calls, farms and emergency work, and the obvious companion in that bag is an ultrasound unit.
You already sell the imaging decision in a veterinary clinic. Ultrasound is the other half of that decision, and CHISON's handheld and portable range sits naturally beside an X-ray line without competing with it.
For context: we have no appointed veterinary distributor in Korea yet. Veterinary devices there are licensed through QIA rather than MFDS, and we would want a partner who already understands that route.
The product I would put in front of you first is the SonoEye P6 VET for clinic and house call work and the SonoEye P7 VET rectal probe for farm reproduction, both of which pair well with portable X-ray.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5" ht="165" customHeight="1" s="114">
      <c r="A35" s="113" t="n">
        <v>31</v>
      </c>
      <c r="B35" s="41" t="inlineStr">
        <is>
          <t>㈜베텍코리아 (블루벳)</t>
        </is>
      </c>
      <c r="C35" s="113" t="inlineStr">
        <is>
          <t>Vetteckorea Co., Ltd. (BlueVet)</t>
        </is>
      </c>
      <c r="D35" s="42" t="inlineStr">
        <is>
          <t>Contacted</t>
        </is>
      </c>
      <c r="E35" s="43" t="inlineStr">
        <is>
          <t>Casper</t>
        </is>
      </c>
      <c r="F35" s="44" t="inlineStr">
        <is>
          <t>Intro email sent 28 Sep 2026 from casper@astramed.sg with CHISON VET Introduction 2027 attached. Follow up by phone or email if no reply</t>
        </is>
      </c>
      <c r="G35" s="121" t="n">
        <v>46300</v>
      </c>
      <c r="H35" s="113" t="inlineStr">
        <is>
          <t>Operator of BlueVet, a closed B2B e-commerce platform for licensed Korean animal hospitals selling veterinary drugs, consumables and medical devices, founded 2021 by a former multinational pharma executive (profiled by Dailyvet).</t>
        </is>
      </c>
      <c r="I35" s="113" t="inlineStr">
        <is>
          <t>Animal hospital only procurement platform</t>
        </is>
      </c>
      <c r="J35" s="113" t="inlineStr">
        <is>
          <t>Not identified</t>
        </is>
      </c>
      <c r="K35" s="113" t="inlineStr">
        <is>
          <t>Korea, national (HQ Suwon)</t>
        </is>
      </c>
      <c r="L35" s="108" t="inlineStr">
        <is>
          <t>https://bluevet.co.kr/</t>
        </is>
      </c>
      <c r="M35" s="113" t="inlineStr">
        <is>
          <t>TEL 1833-2085</t>
        </is>
      </c>
      <c r="N35" s="113" t="inlineStr">
        <is>
          <t>bluevet@vettec.co.kr</t>
        </is>
      </c>
      <c r="O35" s="113" t="inlineStr">
        <is>
          <t>경기도 수원시 영통구 청명로21번길 15, 해광빌딩 408호</t>
        </is>
      </c>
      <c r="P35" s="113" t="inlineStr">
        <is>
          <t>A · VERIFIED DIRECT (email and phone off the site's privacy page, opened 27 Sep 2026)</t>
        </is>
      </c>
      <c r="Q35" s="113" t="inlineStr">
        <is>
          <t>Archetype E. Visibility at the point where hospitals already buy; not a service partner.</t>
        </is>
      </c>
      <c r="R35" s="113" t="inlineStr">
        <is>
          <t>SonoEye P6 VET handheld</t>
        </is>
      </c>
      <c r="S35" s="109" t="inlineStr">
        <is>
          <t>TIER 2</t>
        </is>
      </c>
      <c r="T35" s="52" t="inlineStr">
        <is>
          <t>MEDIUM · platform listing, no field service</t>
        </is>
      </c>
      <c r="U35" s="113" t="inlineStr">
        <is>
          <t>E</t>
        </is>
      </c>
      <c r="V35" s="113" t="inlineStr">
        <is>
          <t>New in v11 · site fetched 27 Sep 2026</t>
        </is>
      </c>
      <c r="W35" s="50" t="inlineStr">
        <is>
          <t>BlueVet: a veterinary handheld for your animal hospital members</t>
        </is>
      </c>
      <c r="X35" s="50" t="inlineStr">
        <is>
          <t>Dear ㈜베텍코리아 (Vetteckorea Co., Ltd.) team,
My name is Casper Tan, Senior Regional Sales Manager at AstraMed Healthcare, a subsidiary of CHISON Medical Technologies. I cover Japan, South Korea, Taiwan and Singapore for CHISON veterinary ultrasound. I am writing to Vetteckorea Co., Ltd. specifically, not to a list. BlueVet has become a place where Korean animal hospitals buy on price and convenience, and your plans include more device categories.
CHISON's veterinary handhelds and portables are an easy second line for a house that already calls on animal hospitals: same buyer, a short sales cycle, and nothing that overlaps with what you carry today.
For context: we have no appointed veterinary distributor in Korea yet. Veterinary devices there are licensed through QIA rather than MFDS, and we would want a partner who already understands that route.
The product I would put in front of you first is the SonoEye P6 VET handheld.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6" ht="165" customHeight="1" s="114">
      <c r="A36" s="113" t="n">
        <v>32</v>
      </c>
      <c r="B36" s="41" t="inlineStr">
        <is>
          <t>벳온</t>
        </is>
      </c>
      <c r="C36" s="113" t="inlineStr">
        <is>
          <t>VETON</t>
        </is>
      </c>
      <c r="D36" s="42" t="inlineStr">
        <is>
          <t>Contacted</t>
        </is>
      </c>
      <c r="E36" s="43" t="inlineStr">
        <is>
          <t>Casper</t>
        </is>
      </c>
      <c r="F36" s="44" t="inlineStr">
        <is>
          <t>Intro email sent 28 Sep 2026 from casper@astramed.sg with CHISON VET Introduction 2027 attached. Follow up by phone or email if no reply</t>
        </is>
      </c>
      <c r="G36" s="121" t="n">
        <v>46300</v>
      </c>
      <c r="H36" s="113" t="inlineStr">
        <is>
          <t>Seongnam based distributor describing itself as Korea's first specialist in veterinary dermatology treatment devices (ORO LASER, EVEXIA VET), with a research backed sales approach.</t>
        </is>
      </c>
      <c r="I36" s="113" t="inlineStr">
        <is>
          <t>Veterinary dermatology laser and treatment devices</t>
        </is>
      </c>
      <c r="J36" s="113" t="inlineStr">
        <is>
          <t>NO</t>
        </is>
      </c>
      <c r="K36" s="113" t="inlineStr">
        <is>
          <t>Korea (Seongnam)</t>
        </is>
      </c>
      <c r="L36" s="108" t="inlineStr">
        <is>
          <t>https://veton.kr/</t>
        </is>
      </c>
      <c r="M36" s="113" t="inlineStr">
        <is>
          <t>TEL +82 70 7773 2733</t>
        </is>
      </c>
      <c r="N36" s="113" t="inlineStr">
        <is>
          <t>office@vetonkorea.com</t>
        </is>
      </c>
      <c r="O36" s="41" t="inlineStr">
        <is>
          <t>경기도 성남시 분당구 구미동 158, 309호</t>
        </is>
      </c>
      <c r="P36" s="113" t="inlineStr">
        <is>
          <t>A · VERIFIED DIRECT (email and phone off the site footer, opened 27 Sep 2026)</t>
        </is>
      </c>
      <c r="Q36" s="113" t="inlineStr">
        <is>
          <t>Archetype D. A small device house already selling capital equipment into animal hospitals. Long tail.</t>
        </is>
      </c>
      <c r="R36" s="113" t="inlineStr">
        <is>
          <t>SonoEye P2 VET, a 7.5 MHz linear handheld suited to skin and superficial work</t>
        </is>
      </c>
      <c r="S36" s="111" t="inlineStr">
        <is>
          <t>TIER 3</t>
        </is>
      </c>
      <c r="T36" s="54" t="inlineStr">
        <is>
          <t>LOW · niche device house</t>
        </is>
      </c>
      <c r="U36" s="113" t="inlineStr">
        <is>
          <t>D</t>
        </is>
      </c>
      <c r="V36" s="113" t="inlineStr">
        <is>
          <t>New in v11 · site fetched 27 Sep 2026</t>
        </is>
      </c>
      <c r="W36" s="50" t="inlineStr">
        <is>
          <t>VETON: a high frequency handheld for dermatology cases</t>
        </is>
      </c>
      <c r="X36" s="50" t="inlineStr">
        <is>
          <t>Dear 벳온 (VETON) team,
My name is Casper Tan, Senior Regional Sales Manager at AstraMed Healthcare, a subsidiary of CHISON Medical Technologies. I cover Japan, South Korea, Taiwan and Singapore for CHISON veterinary ultrasound. I am writing to VETON specifically, not to a list. You built a specialist device business around veterinary dermatology, where superficial lesions and lymph nodes are routinely checked with high frequency ultrasound.
CHISON's veterinary handhelds and portables are an easy second line for a house that already calls on animal hospitals: same buyer, a short sales cycle, and nothing that overlaps with what you carry today.
For context: we have no appointed veterinary distributor in Korea yet. Veterinary devices there are licensed through QIA rather than MFDS, and we would want a partner who already understands that route.
The product I would put in front of you first is the SonoEye P2 VET, a 7.5 MHz linear handheld suited to skin and superficial work.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7" ht="14.25" customHeight="1" s="114"/>
    <row r="38" ht="14.25" customHeight="1" s="114">
      <c r="A38" s="10">
        <f>COUNTIF(S5:S36,"TIER 1")</f>
        <v/>
      </c>
      <c r="B38" s="10" t="inlineStr">
        <is>
          <t>Tier 1: contact first</t>
        </is>
      </c>
    </row>
    <row r="39" ht="14.25" customHeight="1" s="114">
      <c r="A39" s="10">
        <f>COUNTIF(S5:S36,"TIER 2")</f>
        <v/>
      </c>
      <c r="B39" s="10" t="inlineStr">
        <is>
          <t>Tier 2: qualify first</t>
        </is>
      </c>
    </row>
    <row r="40" ht="14.25" customHeight="1" s="114">
      <c r="A40" s="10">
        <f>COUNTIF(S5:S36,"TIER 3")</f>
        <v/>
      </c>
      <c r="B40" s="10" t="inlineStr">
        <is>
          <t>Tier 3: long tail</t>
        </is>
      </c>
    </row>
    <row r="41" ht="14.25" customHeight="1" s="114">
      <c r="A41" s="10">
        <f>COUNTIF(S5:S36,"MFR*")</f>
        <v/>
      </c>
      <c r="B41" s="10" t="inlineStr">
        <is>
          <t>MFR: manufacturer or supplier, complementary line only</t>
        </is>
      </c>
    </row>
    <row r="42" ht="14.25" customHeight="1" s="114"/>
    <row r="43" ht="14.25" customHeight="1" s="114">
      <c r="A43" s="10">
        <f>COUNTIF(T5:T36,"HIGH*")</f>
        <v/>
      </c>
      <c r="B43" s="10" t="inlineStr">
        <is>
          <t>Buying / distribution potential HIGH</t>
        </is>
      </c>
    </row>
    <row r="44" ht="14.25" customHeight="1" s="114">
      <c r="A44" s="10">
        <f>COUNTIF(T5:T36,"MEDIUM*")</f>
        <v/>
      </c>
      <c r="B44" s="10" t="inlineStr">
        <is>
          <t>Buying / distribution potential MEDIUM</t>
        </is>
      </c>
    </row>
    <row r="45" ht="14.25" customHeight="1" s="114">
      <c r="A45" s="10">
        <f>COUNTIF(T5:T36,"LOW*")</f>
        <v/>
      </c>
      <c r="B45" s="10" t="inlineStr">
        <is>
          <t>Buying / distribution potential LOW</t>
        </is>
      </c>
    </row>
    <row r="46" ht="14.25" customHeight="1" s="114"/>
    <row r="47" ht="14.25" customHeight="1" s="114">
      <c r="A47" s="10">
        <f>COUNTIF(P5:P36,"A*")</f>
        <v/>
      </c>
      <c r="B47" s="10" t="inlineStr">
        <is>
          <t>Contacts graded A: verified phone and/or email</t>
        </is>
      </c>
    </row>
    <row r="48" ht="14.25" customHeight="1" s="114">
      <c r="A48" s="10">
        <f>COUNTIF(P5:P36,"B*")</f>
        <v/>
      </c>
      <c r="B48" s="10" t="inlineStr">
        <is>
          <t>Contacts graded B: site verified, enquiry form or partial</t>
        </is>
      </c>
    </row>
    <row r="49" ht="14.25" customHeight="1" s="114">
      <c r="A49" s="10">
        <f>COUNTIF(P5:P36,"C*")</f>
        <v/>
      </c>
      <c r="B49" s="10" t="inlineStr">
        <is>
          <t>Contacts graded C: site live or listed, not opened by us</t>
        </is>
      </c>
    </row>
    <row r="50">
      <c r="A50" s="10">
        <f>COUNTIF(P5:P36,"D*")</f>
        <v/>
      </c>
      <c r="B50" s="10" t="inlineStr">
        <is>
          <t>Contacts graded D: NOT VERIFIED, confirm before contacting</t>
        </is>
      </c>
    </row>
    <row r="51">
      <c r="A51" s="10">
        <f>COUNTIF(N5:N36,"*@*")</f>
        <v/>
      </c>
      <c r="B51" s="10" t="inlineStr">
        <is>
          <t>Rows with a real email address in column N (ready for Winmail drafting)</t>
        </is>
      </c>
    </row>
    <row r="52"/>
    <row r="53">
      <c r="A53" s="10">
        <f>COUNTA(B5:B36)</f>
        <v/>
      </c>
      <c r="B53" s="10" t="inlineStr">
        <is>
          <t>TOTAL companies on this tab, every one with a ready to send email</t>
        </is>
      </c>
    </row>
  </sheetData>
  <autoFilter ref="A4:X36">
    <sortState ref="A5:X33">
      <sortCondition ref="S4:S33"/>
    </sortState>
  </autoFilter>
  <conditionalFormatting sqref="D5:D36">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36" showDropDown="0" showInputMessage="0" showErrorMessage="0" allowBlank="1" type="list">
      <formula1>"Not started,Contacted,Meeting booked,Meeting held,Evaluation placed,Quoted,Won,Declined,Parked"</formula1>
      <formula2>0</formula2>
    </dataValidation>
    <dataValidation sqref="E5:E36"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Seoul veterinary ultrasound training academy running small-group hands-on courses — abdominal completion, cardiac completion, feline comprehensive, canine intermediate, POCUS and small-animal practical — taught by Prof. Choi Min-cheol of the SNU College of Veterinary Medicine, with affiliated supply of units. RELEVANCE: Prof. Choi has published the argument himself, stating that ultrasound ought to be the best value-for-money device in an animal hospital and in practice is not, and setting out his buying criteria as image quality within a price band and probe frequency range. That is CHISON's positioning stated by a Korean KOL before you walk in. Training academies also convert unusually well: every student scans on the machine in the room." r:id="rId1"/>
    <hyperlink xmlns:r="http://schemas.openxmlformats.org/officeDocument/2006/relationships" ref="H6" display="KOSPI-listed (377740, listed December 2022), founded 2003, headquartered in Hwaseong, Gyeonggi. Develops, manufactures and DISTRIBUTES veterinary diagnostic reagents and instruments built on recombinant antigen and antibody technology, and holds the number-one global market share in its niche. RELEVANCE: a listed company with a real distribution organisation reaching Korean animal hospitals and export markets, and nothing at all in imaging. Their point-of-care philosophy — the answer at the patient rather than in a lab — is the same sentence a handheld scanner sells on." r:id="rId2"/>
    <hyperlink xmlns:r="http://schemas.openxmlformats.org/officeDocument/2006/relationships" ref="H7" display="Korean diagnostic X-ray manufacturer with a dedicated veterinary system line (VXR-E / VXR-EC) on its healthcare site, supplying veterinary supply companies that serve animal hospitals. RELEVANCE: the veterinary channel and the regulatory groundwork already exist, and there is no ultrasound to defend. Same structural fit as Woorien and Genoray — a complete imaging line missing one modality." r:id="rId3"/>
    <hyperlink xmlns:r="http://schemas.openxmlformats.org/officeDocument/2006/relationships" ref="H8" display="Korean digital X-ray specialist founded 2001, researching, manufacturing and selling C-arms, mammography, 3D CT, panoramic dental and portable X-ray, and publishing a veterinary product line including the Oscar Classic C-arm. RELEVANCE: a C-arm customer is a surgical or interventional veterinary hospital — exactly the account that also wants a pocket scanner for vascular access and guidance. Manufacturer-to-manufacturer conversations move faster than dealer negotiations because both sides understand the regulatory work." r:id="rId4"/>
    <hyperlink xmlns:r="http://schemas.openxmlformats.org/officeDocument/2006/relationships" ref="H9" display="Korean manufacturer founded 2004 making orthopaedic, spinal, ENT and veterinary products — surgical handpieces, blades, balloon catheters and veterinary implants. Holds CE, US FDA, MDSAP and ISO 13485 and exports to more than 40 countries. Publicly expanding into companion-animal diagnostics. RELEVANCE: they already understand device registration and hold their own quality system, which is directly useful given Korea's QIA import-licence requirement. An imaging line fits the diversification they have already announced." r:id="rId5"/>
    <hyperlink xmlns:r="http://schemas.openxmlformats.org/officeDocument/2006/relationships" ref="H10" display="Seoul-based veterinary distributor of premium surgical and interventional equipment, and official partner for Medtronic, Johnson &amp; Johnson MedTech (Ethicon, DePuy Synthes), Stryker, Boston Scientific and B.Braun. Runs medileimall.com with a diagnostic and imaging equipment category. RELEVANCE: they sell the highest-value surgical kit in Korean veterinary practice, so the buying committee already trusts them on capital goods. A pocket scanner for vascular access, nerve block and interventional guidance rides on a sale they are already making. Confirm whether their imaging category already includes ultrasound before pitching." r:id="rId6"/>
    <hyperlink xmlns:r="http://schemas.openxmlformats.org/officeDocument/2006/relationships" ref="H11" display="Korean medical device manufacturer specialising in ultra-low-dose, ultra-lightweight battery-powered portable X-ray that runs without mains power or a shielded room. Published application areas include emergency and intensive care, disaster response and veterinary. Exports widely. RELEVANCE: they have built an entire business on the argument that imaging should be battery-powered, portable and usable outside a fixed room — which is precisely the argument a handheld scanner makes. They already sell into veterinary and they have no ultrasound. The strategic case does not need to be explained to them." r:id="rId7"/>
    <hyperlink xmlns:r="http://schemas.openxmlformats.org/officeDocument/2006/relationships" ref="H12" display="Veterinary imaging and diagnostic specialist, part of the listed VATECH NETWORKS group (VATECH, Rayence, VATECH Korea, Ewoosoft, VATECH E&amp;G). CEO Ko Seok-bin. Sells myvet CT, dental CT, surgical DR and DR solutions plus radiology reading services, exports to North America, runs a national service organisation and reaches roughly 1,800 Korean clinics through its own EMR product. RELEVANCE: they own the imaging conversation inside Korean animal hospitals, they have manufacturing and detector capability behind them, they have service engineers in the field — and there is no ultrasound anywhere on their imaging menu. That is a complete imaging line missing exactly the one modality CHISON makes." r:id="rId8"/>
    <hyperlink xmlns:r="http://schemas.openxmlformats.org/officeDocument/2006/relationships" ref="L13" r:id="rId9"/>
    <hyperlink xmlns:r="http://schemas.openxmlformats.org/officeDocument/2006/relationships" ref="H15" display="Vet-led animal hospital network and alliance (Co-work + Veterinarian) offering members joint marketing, HR, tax and legal services, JOINT PURCHASING of drugs and consumables, on- and offline veterinary education and staff CS training. Distributes SK Telecom's X-Caliber AI radiography product. RELEVANCE: group purchasing gives them reach into independent Korean clinics that no single dealer has, and they already run an ultrasound education programme — with Samsung, which is the conflict. The wedge is the price tier Samsung does not build: a handheld their member clinics can afford as a second unit rather than as the hospital machine." r:id="rId10"/>
    <hyperlink xmlns:r="http://schemas.openxmlformats.org/officeDocument/2006/relationships" ref="H16" display="Korean X-ray imaging manufacturer built on generator technology, publishing a dedicated 동물용 엑스레이 (veterinary X-ray) category, with portable generators also used in human emergency and field settings. RELEVANCE: a veterinary line already in the catalogue and a portable-first engineering culture. Smaller companies take second lines more readily and decide faster than the market leaders." r:id="rId11"/>
    <hyperlink xmlns:r="http://schemas.openxmlformats.org/officeDocument/2006/relationships" ref="H18" display="Global point-of-care diagnostics company with a veterinary range including the i-Smart 300VET blood gas analyser and CareSign-V, and the first company worldwide to release a point-of-care analyser for early CKD markers in animals. RELEVANCE: real regulatory competence, and their customer is the emergency and critical-care vet — precisely where a cage-side handheld is used. Nothing in imaging to defend, so a bundled point-of-care diagnostics plus POCUS proposition is a genuine conversation rather than a stretch." r:id="rId12"/>
    <hyperlink xmlns:r="http://schemas.openxmlformats.org/officeDocument/2006/relationships" ref="H20" display="Digital X-ray detector and system manufacturer, part of VATECH NETWORKS, publishing a dedicated veterinary detector range and supplying the CSI detector inside Woorien's MyVet DR system. RELEVANCE AND GROUP OVERLAP: Rayence and Woorien are both VATECH group companies — Rayence is the component and systems side, Woorien the veterinary channel side. Approaching both independently is one conversation with two doors and looks like poor homework. Woorien is the better first door." r:id="rId13"/>
    <hyperlink xmlns:r="http://schemas.openxmlformats.org/officeDocument/2006/relationships" ref="H21" display="Korean veterinary medical device company with a clinical-pathology and in-house laboratory focus. RELEVANCE: the vet who buys an analyser is the vet building in-house diagnostic capability, and ultrasound is the next line in that same budget. No imaging line identified to conflict with." r:id="rId14"/>
    <hyperlink xmlns:r="http://schemas.openxmlformats.org/officeDocument/2006/relationships" ref="L25" r:id="rId15"/>
    <hyperlink xmlns:r="http://schemas.openxmlformats.org/officeDocument/2006/relationships" ref="H29" display="Korean healthcare IT group providing veterinary practice-management software and connected clinic services. RELEVANCE: they will not buy or stock scanners. What they have is a position inside the daily workflow of a large number of Korean animal hospitals, which makes image capture into the patient record a real conversation — endorsement and reach rather than logistics. Qualify what a hardware partnership would even look like before investing time." r:id="rId16"/>
    <hyperlink xmlns:r="http://schemas.openxmlformats.org/officeDocument/2006/relationships" ref="H30" r:id="rId17"/>
    <hyperlink xmlns:r="http://schemas.openxmlformats.org/officeDocument/2006/relationships" ref="H31" display="Korean veterinary device retailer listing animal ultrasound, surgical equipment, imaging equipment and sterilisation equipment. RELEVANCE: they already sell scanners online, which proves the format works. Qualify which brands and at what price — if they are moving grey-market or entry-level Chinese units, a properly supported CHISON line with Korean service behind it is a straightforward upgrade for them rather than a competitive threat." r:id="rId18"/>
    <hyperlink xmlns:r="http://schemas.openxmlformats.org/officeDocument/2006/relationships" ref="H32" display="Animal-hospital e-commerce business selling veterinary devices, equipment, animal drugs and supplies. RELEVANCE: a volume supply channel into independent clinics. Suitable for gel, probe covers and carry cases alongside a unit sale; not a candidate for the primary distribution appointment." r:id="rId19"/>
    <hyperlink xmlns:r="http://schemas.openxmlformats.org/officeDocument/2006/relationships" ref="L33" r:id="rId20"/>
    <hyperlink xmlns:r="http://schemas.openxmlformats.org/officeDocument/2006/relationships" ref="L34" r:id="rId21"/>
    <hyperlink xmlns:r="http://schemas.openxmlformats.org/officeDocument/2006/relationships" ref="L35" r:id="rId22"/>
    <hyperlink xmlns:r="http://schemas.openxmlformats.org/officeDocument/2006/relationships" ref="L36" r:id="rId23"/>
  </hyperlink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xSplit="7" ySplit="4" topLeftCell="H5" activePane="bottomRight" state="frozen"/>
      <selection pane="topRight" activeCell="H1" sqref="H1"/>
      <selection pane="bottomLeft" activeCell="A5" sqref="A5"/>
      <selection pane="bottomRight" activeCell="D5" sqref="D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TAIWAN — VETERINARY DEALER / DISTRIBUTOR TARGETS</t>
        </is>
      </c>
    </row>
    <row r="2" ht="30" customHeight="1" s="114">
      <c r="A2" s="17" t="inlineStr">
        <is>
          <t>Dealer model. No animal-only device registration regime identified, but import permission for Chinese-origin goods under the relevant commodity code is UNRESOLVED — a customs question, not a device question. Do not quote a landed price until it is confirmed in writing.</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19</v>
      </c>
      <c r="B5" s="41" t="inlineStr">
        <is>
          <t>三怡水族寵物用品有限公司</t>
        </is>
      </c>
      <c r="C5" s="113" t="inlineStr">
        <is>
          <t>Champ-E Aquarium &amp; Pet Supplies Co., Ltd.</t>
        </is>
      </c>
      <c r="D5" s="42" t="inlineStr">
        <is>
          <t>Not started</t>
        </is>
      </c>
      <c r="E5" s="43" t="n"/>
      <c r="F5" s="44" t="n"/>
      <c r="G5" s="45" t="n"/>
      <c r="H5" s="46" t="inlineStr">
        <is>
          <t>Taiwanese pet and aquatic supplies trading company. RELEVANCE: aquatic and exotic species are a real high-frequency imaging niche and the SonoEye P5 suits them — but this is a retail supplies business without clinical customers or service capability. Weakest commercial fit on this tab; qualify only after everything above it has been worked.</t>
        </is>
      </c>
      <c r="I5" s="113" t="inlineStr">
        <is>
          <t>Pet and aquatic supplies trading company.</t>
        </is>
      </c>
      <c r="J5" s="113" t="inlineStr">
        <is>
          <t>NO</t>
        </is>
      </c>
      <c r="K5" s="46" t="inlineStr">
        <is>
          <t>Taiwan</t>
        </is>
      </c>
      <c r="L5" s="47" t="inlineStr">
        <is>
          <t>http://www.champ-e.com.tw</t>
        </is>
      </c>
      <c r="M5" s="113" t="inlineStr">
        <is>
          <t>NOT CONFIRMED</t>
        </is>
      </c>
      <c r="N5" s="113" t="inlineStr">
        <is>
          <t>NOT CONFIRMED</t>
        </is>
      </c>
      <c r="O5" s="113" t="inlineStr">
        <is>
          <t>Taiwan</t>
        </is>
      </c>
      <c r="P5" s="113" t="inlineStr">
        <is>
          <t>C — SITE LIVE, NOT OPENED</t>
        </is>
      </c>
      <c r="Q5" s="113" t="inlineStr">
        <is>
          <t>Long tail. Aquatic and exotic species are a high-frequency imaging niche, but this is a supplies business rather than a medical channel. Qualify only after the Tier 1 and Tier 2 names have been worked.</t>
        </is>
      </c>
      <c r="R5" s="113" t="inlineStr">
        <is>
          <t>SonoEye P5 VET (aquatic / exotic niche)</t>
        </is>
      </c>
      <c r="S5" s="55" t="inlineStr">
        <is>
          <t>TIER 3</t>
        </is>
      </c>
      <c r="T5" s="54" t="inlineStr">
        <is>
          <t>LOW — a supplies business, not a medical channel. Work only after the Tier 1 and 2 names.</t>
        </is>
      </c>
      <c r="U5" s="113" t="inlineStr">
        <is>
          <t>D</t>
        </is>
      </c>
      <c r="V5" s="113" t="inlineStr">
        <is>
          <t>Verified site (search-indexed) — veterinary channel NOT confirmed</t>
        </is>
      </c>
      <c r="W5" s="50" t="inlineStr">
        <is>
          <t>Champ-E Aquarium &amp; Pet Supplies Co., Ltd.: a second capital line for the customers you already have</t>
        </is>
      </c>
      <c r="X5" s="50" t="inlineStr">
        <is>
          <t>Dear 三怡水族寵物用品有限公司 (Champ-E Aquarium &amp; Pet Supplies Co., Ltd.) team,
My name is Casper Tan, Senior Regional Sales Manager at AstraMed Healthcare, a subsidiary of CHISON Medical Technologies. I cover Japan, South Korea, Taiwan and Singapore for CHISON veterinary ultrasound. I am writing to Champ-E Aquarium &amp; Pet Supplies Co., Ltd. specifically, not to a list. You supply the aquatic and exotic pet segment, where imaging means small patients and shallow structures, a high-frequency problem rather than a general-purpose one.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P5 VET (aquatic / exotic niche).
If it is of interest I will send the line card and dealer terms, no obligation, and you can decide from the numbers.
Best regards,
Casper Tan
Senior Regional Sales Manager
AstraMed Healthcare, a subsidiary of CHISON Medical Technologies
casper@astramed.sg | +65 8719 0121</t>
        </is>
      </c>
    </row>
    <row r="6" ht="165" customHeight="1" s="114">
      <c r="A6" s="113" t="n">
        <v>15</v>
      </c>
      <c r="B6" s="41" t="inlineStr">
        <is>
          <t>健聖興業股份有限公司（OpenVet）</t>
        </is>
      </c>
      <c r="C6" s="113" t="inlineStr">
        <is>
          <t>Cheng Shen Agri-Med Co., Ltd. (OpenVet)</t>
        </is>
      </c>
      <c r="D6" s="42" t="inlineStr">
        <is>
          <t>Contacted</t>
        </is>
      </c>
      <c r="E6" s="43" t="inlineStr">
        <is>
          <t>Casper</t>
        </is>
      </c>
      <c r="F6" s="44" t="inlineStr">
        <is>
          <t>Intro email sent 28 Sep 2026 from casper@astramed.sg with CHISON VET Introduction 2027 attached. Follow up by phone or email if no reply</t>
        </is>
      </c>
      <c r="G6" s="121" t="n">
        <v>46300</v>
      </c>
      <c r="H6" s="46" t="inlineStr">
        <is>
          <t>Taiwanese importer and exporter established 1990 handling pet food, supplements and animal medicines through two channels: veterinary clinics (injectables, medicines, supplements, prescription food, cleaning products) and pet shops. Physical distribution across all seventeen counties and cities. RELEVANCE: thirty-five years old with the broadest published coverage of any company here, an established seminar programme that can carry clinical education, no equipment line to conflict with — and a phone number published specifically for distribution partnership enquiries, which is an open door.</t>
        </is>
      </c>
      <c r="I6" s="113" t="inlineStr">
        <is>
          <t>Established 1990. Import and export of pet food, supplements and ANIMAL MEDICINES. Two channels: veterinary clinics (injectables, medicines, supplements, prescription food, cleaning products) and pet shops. Physical distribution across the entire island — Taipei, New Taipei, Keelung, Taoyuan, Hsinchu, Miaoli, Taichung, Changhua, Nantou, Yunlin, Chiayi, Tainan, Kaohsiung, Pingtung, Yilan, Hualien and Taitung. Runs veterinary seminars and exhibits at pet shows. Publishes a dedicated distribution-cooperation line.</t>
        </is>
      </c>
      <c r="J6" s="113" t="inlineStr">
        <is>
          <t>NO — medicines, nutrition and consumables only</t>
        </is>
      </c>
      <c r="K6" s="46" t="inlineStr">
        <is>
          <t>Taiwan — all 17 counties/cities listed</t>
        </is>
      </c>
      <c r="L6" s="47" t="inlineStr">
        <is>
          <t>https://openvet.com</t>
        </is>
      </c>
      <c r="M6" s="113" t="inlineStr">
        <is>
          <t>TEL 02-2625-7555 · freephone 0800-291-166 · FAX 02-2625-7966 · central branch 翔聖實業 04-2246-0088 · south 喫料企業行 07-269-1279</t>
        </is>
      </c>
      <c r="N6" s="113" t="inlineStr">
        <is>
          <t>service@openvet.com</t>
        </is>
      </c>
      <c r="O6" s="113" t="inlineStr">
        <is>
          <t>Taiwan · est. 1990 · channel in all 17 counties/cities</t>
        </is>
      </c>
      <c r="P6" s="113" t="inlineStr">
        <is>
          <t>A · VERIFIED DIRECT (email and all branch phones off the company site, opened 27 Sep 2026)</t>
        </is>
      </c>
      <c r="Q6" s="113" t="inlineStr">
        <is>
          <t>Thirty-five years old with the broadest published physical coverage of any company on this tab — every county in Taiwan — plus an established seminar programme and a phone number specifically published for distribution partnerships. No equipment line, so no conflict, and the seminar programme is a ready-made demo stage. Because they already run an import function, the Chinese-origin customs question is one they will understand immediately.</t>
        </is>
      </c>
      <c r="R6" s="113" t="inlineStr">
        <is>
          <t>SonoEye P6 VET for small animal clinics and the SonoEye P7 VET rectal probe for livestock reproduction</t>
        </is>
      </c>
      <c r="S6" s="48" t="inlineStr">
        <is>
          <t>TIER 1</t>
        </is>
      </c>
      <c r="T6" s="49" t="inlineStr">
        <is>
          <t>HIGH — broadest physical coverage on this tab, a seminar programme, and a published partnership line.</t>
        </is>
      </c>
      <c r="U6" s="113" t="inlineStr">
        <is>
          <t>A</t>
        </is>
      </c>
      <c r="V6" s="113" t="inlineStr">
        <is>
          <t>Verified — corporate site, channel pages by county, published distribution line</t>
        </is>
      </c>
      <c r="W6" s="50" t="inlineStr">
        <is>
          <t>Cheng Shen Agri-Med Co., Ltd. (OpenVet): a first scanner for the clinics you equip</t>
        </is>
      </c>
      <c r="X6" s="50" t="inlineStr">
        <is>
          <t>Dear 健聖興業股份有限公司 (Cheng Shen Agri-Med Co., Ltd.) team,
My name is Casper Tan, Senior Regional Sales Manager at AstraMed Healthcare, a subsidiary of CHISON Medical Technologies. I cover Japan, South Korea, Taiwan and Singapore for CHISON veterinary ultrasound. I am writing to Cheng Shen Agri-Med Co., Ltd. specifically, not to a list. You have supplied Taiwanese veterinary clinics since 1990 with physical coverage in every county from Keelung to Taitung, you run veterinary seminars, and you publish a phone line specifically for distribution cooperation. I am using it.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for small animal clinics and the SonoEye P7 VET rectal probe for livestock reproduction.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7" ht="165" customHeight="1" s="114">
      <c r="A7" s="113" t="n">
        <v>23</v>
      </c>
      <c r="B7" s="113" t="inlineStr">
        <is>
          <t>Folibio（台北）</t>
        </is>
      </c>
      <c r="C7" s="113" t="inlineStr">
        <is>
          <t>Folibio (Taipei)</t>
        </is>
      </c>
      <c r="D7" s="42" t="inlineStr">
        <is>
          <t>Not started</t>
        </is>
      </c>
      <c r="E7" s="43" t="n"/>
      <c r="F7" s="44" t="n"/>
      <c r="G7" s="45" t="n"/>
      <c r="H7" s="113" t="inlineStr">
        <is>
          <t>Veterinary and life-science distributor in Taipei. RELEVANCE: the life-science weighting means their reach may be into laboratory and research customers rather than clinical animal hospitals. Research imaging is a genuine segment for high-frequency probes, so the SonoEye P5 is the right lead — but qualify whether they serve clinical practices at all before investing. The individual named in the older source file is unverified and must not be used.</t>
        </is>
      </c>
      <c r="I7" s="113" t="inlineStr">
        <is>
          <t>Veterinary and life-science distributor, Taipei.</t>
        </is>
      </c>
      <c r="J7" s="113" t="inlineStr">
        <is>
          <t>Not identified — confirm on first contact</t>
        </is>
      </c>
      <c r="K7" s="113" t="inlineStr">
        <is>
          <t>Taipei</t>
        </is>
      </c>
      <c r="L7" s="113" t="inlineStr">
        <is>
          <t>NOT CONFIRMED — search Folibio 台北</t>
        </is>
      </c>
      <c r="M7" s="113" t="inlineStr">
        <is>
          <t>NOT CONFIRMED</t>
        </is>
      </c>
      <c r="N7" s="113" t="inlineStr">
        <is>
          <t>NOT CONFIRMED (a contact named 'Jovi Peng' appears in the Market Development list and has NOT been verified — do not use)</t>
        </is>
      </c>
      <c r="O7" s="113" t="inlineStr">
        <is>
          <t>Taipei, Taiwan</t>
        </is>
      </c>
      <c r="P7" s="113" t="inlineStr">
        <is>
          <t>D — NOT VERIFIED (name and city only; the individual named in the earlier list is unverified)</t>
        </is>
      </c>
      <c r="Q7" s="113" t="inlineStr">
        <is>
          <t>CORRECTION FLAG: the earlier list carried an unverified individual for this company. Do not use that name. Life-science weighting means the veterinary clinical channel may be thin — qualify before investing.</t>
        </is>
      </c>
      <c r="R7" s="113" t="inlineStr">
        <is>
          <t>SonoEye P5 VET (high-frequency, exotics and feline)</t>
        </is>
      </c>
      <c r="S7" s="55" t="inlineStr">
        <is>
          <t>TIER 3</t>
        </is>
      </c>
      <c r="T7" s="54" t="inlineStr">
        <is>
          <t>LOW — life-science weighted, so the veterinary clinical channel may be thin.</t>
        </is>
      </c>
      <c r="U7" s="113" t="inlineStr">
        <is>
          <t>A</t>
        </is>
      </c>
      <c r="V7" s="113" t="inlineStr">
        <is>
          <t>Carried from CHISON_Market_Development_Target_List_v2 (merged into v6, 6 Aug 2026) — individual UNVERIFIED</t>
        </is>
      </c>
      <c r="W7" s="50" t="inlineStr">
        <is>
          <t>Folibio (Taipei): CHISON veterinary ultrasound, an introduction</t>
        </is>
      </c>
      <c r="X7" s="50" t="inlineStr">
        <is>
          <t>Dear Folibio team,
My name is Casper Tan, Senior Regional Sales Manager at AstraMed Healthcare, a subsidiary of CHISON Medical Technologies. I cover Singapore, Japan, South Korea and Taiwan for CHISON veterinary ultrasound.
Folibio's life-science and veterinary distribution reaches laboratory and exotic-species work, where a high-frequency handheld is more useful than a general abdominal scanner.
To be simple: the import route for the goods is still being confirmed, so this note is about the relationship and an evaluation, not an order.
The product I would lead with for you is SonoEye P5 VET (high-frequency, exotics and feline).
Would a short introductory call be welcome, and could you confirm whether you serve clinical animal hospitals as well as laboratory customers?
Kind regards,
Casper Tan
Senior Regional Sales Manager, AstraMed Healthcare
CHISON veterinary ultrasound (Singapore · Japan · South Korea · Taiwan)
casper@astramed.sg</t>
        </is>
      </c>
    </row>
    <row r="8" ht="165" customHeight="1" s="114">
      <c r="A8" s="113" t="n">
        <v>9</v>
      </c>
      <c r="B8" s="41" t="inlineStr">
        <is>
          <t>富邦國際生醫科技有限公司 — AHOSS</t>
        </is>
      </c>
      <c r="C8" s="113" t="inlineStr">
        <is>
          <t>Fubon International Biomedical — AHOSS procurement platform</t>
        </is>
      </c>
      <c r="D8" s="42" t="inlineStr">
        <is>
          <t>Contacted</t>
        </is>
      </c>
      <c r="E8" s="43" t="inlineStr">
        <is>
          <t>Casper</t>
        </is>
      </c>
      <c r="F8" s="44" t="inlineStr">
        <is>
          <t>Intro email sent 28 Sep 2026 from casper@astramed.sg with CHISON VET Introduction 2027 attached. Follow up by phone or email if no reply</t>
        </is>
      </c>
      <c r="G8" s="121" t="n">
        <v>46300</v>
      </c>
      <c r="H8" s="46" t="inlineStr">
        <is>
          <t>Operator of the AHOSS animal-hospital procurement platform for veterinary consumables, supplements and instruments. RELEVANCE UPGRADE: AHOSS is more than a shop. They import KRUUSE and BUSTER consumables, ASA (Italy) MLS class-4 therapy lasers, Assisi (USA) pulsed-electromagnetic-field devices, Antinol, and Korean and Japanese nutrition brands, and they run a regular veterinary webinar programme. Importing and supporting a class-4 therapy laser is real capital-equipment competence, and the webinar programme is a built-in education channel — a much better fit than the original 'procurement platform' reading suggested.</t>
        </is>
      </c>
      <c r="I8" s="113" t="inlineStr">
        <is>
          <t>AHOSS animal-hospital procurement platform for veterinary consumables, supplements and instruments.</t>
        </is>
      </c>
      <c r="J8" s="113" t="inlineStr">
        <is>
          <t>Not identified</t>
        </is>
      </c>
      <c r="K8" s="46" t="inlineStr">
        <is>
          <t>Taiwan</t>
        </is>
      </c>
      <c r="L8" s="47" t="inlineStr">
        <is>
          <t>https://www.ahoss.com.tw</t>
        </is>
      </c>
      <c r="M8" s="113" t="inlineStr">
        <is>
          <t>TEL 04-2258-6668 (09:00–17:00, weekdays) · LINE lin.ee/ZEOaMUt</t>
        </is>
      </c>
      <c r="N8" s="113" t="inlineStr">
        <is>
          <t>info@ahoss.com.tw</t>
        </is>
      </c>
      <c r="O8" s="41" t="inlineStr">
        <is>
          <t>台中市西屯區惠中路2段41號2樓 · 統編 53282605</t>
        </is>
      </c>
      <c r="P8" s="113" t="inlineStr">
        <is>
          <t>A — VERIFIED DIRECT (phone + email off the site footer)</t>
        </is>
      </c>
      <c r="Q8" s="113" t="inlineStr">
        <is>
          <t>UPGRADED IN v5 after opening the site. AHOSS is more than a shop: they import KRUUSE and BUSTER consumables, ASA (Italy) MLS class-4 therapy lasers, Assisi (USA) pulsed-electromagnetic-field devices, Antinol, and Korean and Japanese nutrition brands — and they run a REGULAR VETERINARY WEBINAR PROGRAMME with named specialists (rabbit orthopaedics, canine hip replacement, taught by board-certified surgeons). They already sell capital devices and already run the education channel that sells them. Registration is restricted to verified animal hospitals, so their member list is a clean veterinary audience.  ORIGINAL NOTE: Second procurement platform after ivetmall. List on both — they reach overlapping but not identical clinic sets, and listing costs almost nothing compared with a sales visit.</t>
        </is>
      </c>
      <c r="R8" s="113" t="inlineStr">
        <is>
          <t>Full VET range listing</t>
        </is>
      </c>
      <c r="S8" s="51" t="inlineStr">
        <is>
          <t>TIER 2</t>
        </is>
      </c>
      <c r="T8" s="49" t="inlineStr">
        <is>
          <t>MEDIUM-HIGH — upgraded: they import class-4 lasers and run a veterinary webinar programme.</t>
        </is>
      </c>
      <c r="U8" s="113" t="inlineStr">
        <is>
          <t>G</t>
        </is>
      </c>
      <c r="V8" s="113" t="inlineStr">
        <is>
          <t>Verified site (search-indexed)</t>
        </is>
      </c>
      <c r="W8" s="50" t="inlineStr">
        <is>
          <t>Fubon International Biomedical (AHOSS): veterinary ultrasound for your procurement platform</t>
        </is>
      </c>
      <c r="X8" s="50" t="inlineStr">
        <is>
          <t>Dear 富邦國際生醫科技有限公司 (Fubon International Biomedical) team,
My name is Casper Tan, Senior Regional Sales Manager at AstraMed Healthcare, a subsidiary of CHISON Medical Technologies. I cover Japan, South Korea, Taiwan and Singapore for CHISON veterinary ultrasound. I am writing to Fubon International Biomedical specifically, not to a list. AHOSS puts you in front of Taiwanese animal hospitals at the moment they are actually purchasing, which is a useful place for a brand whose argument is price-performance.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range I would put in front of you is the full CHISON veterinary line, listed on your platform.
I have also attached our CHISON VET introduction, which covers the full veterinary range from the SonoEye handhelds to the SonoMax cart.
Could we talk about what a sensible arrangement would look like?
Best regards,
Casper Tan
Senior Regional Sales Manager
AstraMed Healthcare, a subsidiary of CHISON Medical Technologies
casper@astramed.sg | +65 8719 0121</t>
        </is>
      </c>
    </row>
    <row r="9" ht="165" customHeight="1" s="114">
      <c r="A9" s="113" t="n">
        <v>11</v>
      </c>
      <c r="B9" s="41" t="inlineStr">
        <is>
          <t>巨研科技股份有限公司</t>
        </is>
      </c>
      <c r="C9" s="113" t="inlineStr">
        <is>
          <t>GETECH Technology Co., Ltd.</t>
        </is>
      </c>
      <c r="D9" s="42" t="inlineStr">
        <is>
          <t>Contacted</t>
        </is>
      </c>
      <c r="E9" s="43" t="inlineStr">
        <is>
          <t>Casper</t>
        </is>
      </c>
      <c r="F9" s="44" t="inlineStr">
        <is>
          <t>Intro email sent 28 Sep 2026 from casper@astramed.sg with CHISON VET Introduction 2027 attached. Follow up by phone or email if no reply</t>
        </is>
      </c>
      <c r="G9" s="121" t="n">
        <v>46300</v>
      </c>
      <c r="H9" s="46" t="inlineStr">
        <is>
          <t>New Taipei instrument agency of more than twenty years carrying Agilent, EXFO, Philips, GERSTEL and FLUKE, plus its own GETECH brand and FaPEx agricultural and veterinary drug rapid-test reagents. Runs a dedicated 動物醫療專區 and sells Philips Affiniti veterinary cardiac ultrasound. RELEVANCE: the Philips relationship rules out any console conversation. But they are an instrument house rather than a veterinary-native dealer, and their veterinary cardiac customer is exactly the referral-level buyer who takes a pocket echo device as a second unit for the ward. Narrow approach only.</t>
        </is>
      </c>
      <c r="I9" s="113" t="inlineStr">
        <is>
          <t>Instrument agency of 20+ years: Agilent, EXFO, PHILIPS, GERSTEL, FLUKE, plus own GETECH brand and FaPEx agricultural/veterinary drug rapid-test reagents. Runs a dedicated 動物醫療專區 and sells Philips Affiniti veterinary cardiac ultrasound.</t>
        </is>
      </c>
      <c r="J9" s="113" t="inlineStr">
        <is>
          <t>YES · Philips animal ultrasound and a cardiac ultrasound examination service (confirmed 27 Sep 2026)</t>
        </is>
      </c>
      <c r="K9" s="46" t="inlineStr">
        <is>
          <t>New Taipei; national</t>
        </is>
      </c>
      <c r="L9" s="47" t="inlineStr">
        <is>
          <t>https://www.getech.com.tw (animal: /edcontent_d.php?lang=tw&amp;tb=6&amp;id=1788)</t>
        </is>
      </c>
      <c r="M9" s="113" t="inlineStr">
        <is>
          <t>TEL +886-7-550-7380 · FAX +886-7-550-7480</t>
        </is>
      </c>
      <c r="N9" s="113" t="inlineStr">
        <is>
          <t>service@getech.com.tw</t>
        </is>
      </c>
      <c r="O9" s="113" t="inlineStr">
        <is>
          <t>14F, No. 392, Yucheng Rd., Zuoying District, Kaohsiung 813</t>
        </is>
      </c>
      <c r="P9" s="113" t="inlineStr">
        <is>
          <t>A · VERIFIED DIRECT (email and phone off the company site, opened 27 Sep 2026)</t>
        </is>
      </c>
      <c r="Q9" s="113" t="inlineStr">
        <is>
          <t>Philips at the cardiology end means a hard conflict on the console tier. But they are an instrument house rather than a vet-native dealer, and their vet cardiac customer is precisely the referral-level buyer who would take a pocket echo device as a second unit. Approach narrowly.</t>
        </is>
      </c>
      <c r="R9" s="113" t="inlineStr">
        <is>
          <t>SonoEye P3 VET, a phased array handheld for cardiac screening that works as a second unit alongside your existing systems</t>
        </is>
      </c>
      <c r="S9" s="51" t="inlineStr">
        <is>
          <t>TIER 2</t>
        </is>
      </c>
      <c r="T9" s="52" t="inlineStr">
        <is>
          <t>MEDIUM — Philips at the cardiology end is a hard console conflict. Approach narrowly, on the pocket echo case.</t>
        </is>
      </c>
      <c r="U9" s="113" t="inlineStr">
        <is>
          <t>B</t>
        </is>
      </c>
      <c r="V9" s="113" t="inlineStr">
        <is>
          <t>Verified site (search-indexed)</t>
        </is>
      </c>
      <c r="W9" s="50" t="inlineStr">
        <is>
          <t>GETECH Technology Co., Ltd.: not a replacement for your ultrasound line, the tier below it</t>
        </is>
      </c>
      <c r="X9" s="50" t="inlineStr">
        <is>
          <t>Dear 巨研科技股份有限公司 (GETECH Technology Co., Ltd.) team,
My name is Casper Tan, Senior Regional Sales Manager at AstraMed Healthcare, a subsidiary of CHISON Medical Technologies. I cover Japan, South Korea, Taiwan and Singapore for CHISON veterinary ultrasound. I am writing to GETECH Technology Co., Ltd. specifically, not to a list. You run a dedicated animal medical division inside a twenty-year instrument agency, and your veterinary cardiology customer is the referral-level buyer. You carry Philips there, so I will be narrow about this.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P3 VET, a phased array handheld for cardiac screening that works as a second unit alongside your existing systems.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0" ht="165" customHeight="1" s="114">
      <c r="A10" s="113" t="n">
        <v>1</v>
      </c>
      <c r="B10" s="41" t="inlineStr">
        <is>
          <t>國晉儀器有限公司</t>
        </is>
      </c>
      <c r="C10" s="113" t="inlineStr">
        <is>
          <t>Guojien Instrument Co., Ltd.</t>
        </is>
      </c>
      <c r="D10" s="42" t="inlineStr">
        <is>
          <t>Contacted</t>
        </is>
      </c>
      <c r="E10" s="43" t="inlineStr">
        <is>
          <t>Casper</t>
        </is>
      </c>
      <c r="F10" s="44" t="inlineStr">
        <is>
          <t>Intro email sent 28 Sep 2026 from casper@astramed.sg with CHISON VET Introduction 2027 attached. Follow up by phone or email if no reply</t>
        </is>
      </c>
      <c r="G10" s="121" t="n">
        <v>46300</v>
      </c>
      <c r="H10" s="46" t="inlineStr">
        <is>
          <t>Taichung-based veterinary supplier founded 1990, selling to animal hospitals nationwide as well as to government agencies and university departments. Catalogue covers surgical sutures and needles, orthopaedic instruments, urinary catheters, laboratory and test equipment, syringes and bandages. RELEVANCE: thirty-five years of animal-hospital relationships, an institutional customer base alongside clinics, and no ultrasound line anywhere in the published catalogue. The consumables cadence puts their rep in every clinic often enough to run a rolling demo, and a Taichung base covers central Taiwan, which a Taipei appointment would not.</t>
        </is>
      </c>
      <c r="I10" s="113" t="inlineStr">
        <is>
          <t>Founded 1990. Customers are animal hospitals nationwide plus government agencies and university departments. Catalogue: surgical sutures and needles, orthopaedic surgical instruments, urinary catheters, laboratory/test equipment, syringes, bandages, electric tables, consumable materials, home-care products. Tag line: 'the animal hospital's best partner, the veterinarian's good friend'.</t>
        </is>
      </c>
      <c r="J10" s="113" t="inlineStr">
        <is>
          <t>NO — confirmed absent from the published catalogue</t>
        </is>
      </c>
      <c r="K10" s="46" t="inlineStr">
        <is>
          <t>Taichung HQ (南屯區黎明路一段343-1號); national</t>
        </is>
      </c>
      <c r="L10" s="47" t="inlineStr">
        <is>
          <t>https://www.guojienmedical.com</t>
        </is>
      </c>
      <c r="M10" s="113" t="inlineStr">
        <is>
          <t>TEL 04-2479-3720 · FAX 04-2470-1701 · 諮詢專線/LINE 0931-952347</t>
        </is>
      </c>
      <c r="N10" s="113" t="inlineStr">
        <is>
          <t>guojien.huang@msa.hinet.net</t>
        </is>
      </c>
      <c r="O10" s="113" t="inlineStr">
        <is>
          <t>(40871) 台中市南屯區黎明路一段343-1號 · 統一編號 70633204</t>
        </is>
      </c>
      <c r="P10" s="113" t="inlineStr">
        <is>
          <t>A — VERIFIED DIRECT (phone, fax, email and LINE ID off the site footer)</t>
        </is>
      </c>
      <c r="Q10" s="113" t="inlineStr">
        <is>
          <t>Thirty-five years selling to Taiwanese animal hospitals, an institutional customer base as well as clinics, and no ultrasound line to defend — the cleanest recruit in Taiwan on conflict grounds. Consumables cadence puts their rep in every clinic often enough to run a rolling demo, and being Taichung-based gives coverage of central Taiwan that the Taipei houses under-serve.</t>
        </is>
      </c>
      <c r="R10" s="113" t="inlineStr">
        <is>
          <t>SonoEye P6 VET handheld and the SonoVet 8 for clinics that want one system to work as both cart and portable</t>
        </is>
      </c>
      <c r="S10" s="48" t="inlineStr">
        <is>
          <t>TIER 1</t>
        </is>
      </c>
      <c r="T10" s="49" t="inlineStr">
        <is>
          <t>HIGH — cleanest recruit in Taiwan on conflict grounds. Verified direct contacts.</t>
        </is>
      </c>
      <c r="U10" s="113" t="inlineStr">
        <is>
          <t>A</t>
        </is>
      </c>
      <c r="V10" s="113" t="inlineStr">
        <is>
          <t>Verified site — fetched 4 Aug 2026</t>
        </is>
      </c>
      <c r="W10" s="50" t="inlineStr">
        <is>
          <t>Guojien Instrument Co., Ltd.: a first scanner for the clinics you equip</t>
        </is>
      </c>
      <c r="X10" s="50" t="inlineStr">
        <is>
          <t>Dear 國晉儀器有限公司 (Guojien Instrument Co., Ltd.) team,
My name is Casper Tan, Senior Regional Sales Manager at AstraMed Healthcare, a subsidiary of CHISON Medical Technologies. I cover Japan, South Korea, Taiwan and Singapore for CHISON veterinary ultrasound. I am writing to Guojien Instrument Co., Ltd. specifically, not to a list. Thirty-five years selling to animal hospitals across Taiwan, plus government agencies and university departments, from a Taichung base that covers the centre of the island properly, and, as far as I can see from your catalogue, no ultrasound line at all.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handheld and the SonoVet 8 for clinics that want one system to work as both cart and portable.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11" ht="165" customHeight="1" s="114">
      <c r="A11" s="113" t="n">
        <v>16</v>
      </c>
      <c r="B11" s="41" t="inlineStr">
        <is>
          <t>宏瑋醫材股份有限公司（宏瑋寵物 KogiPet）</t>
        </is>
      </c>
      <c r="C11" s="113" t="inlineStr">
        <is>
          <t>Hong Wei Medical Materials Co., Ltd. (KogiPet)</t>
        </is>
      </c>
      <c r="D11" s="42" t="inlineStr">
        <is>
          <t>Contacted</t>
        </is>
      </c>
      <c r="E11" s="43" t="inlineStr">
        <is>
          <t>Casper</t>
        </is>
      </c>
      <c r="F11" s="44" t="inlineStr">
        <is>
          <t>Intro email sent 28 Sep 2026 from casper@astramed.sg with CHISON VET Introduction 2027 attached. Follow up by phone or email if no reply</t>
        </is>
      </c>
      <c r="G11" s="121" t="n">
        <v>46300</v>
      </c>
      <c r="H11" s="46" t="inlineStr">
        <is>
          <t>Medical-materials company in Wuri District, Taichung (unified business no. 54751197) operating KogiPet, marketed as Taiwan's only pet brand built specifically on medical-device expertise. RELEVANCE: they have already made the exact crossover CHISON is asking a dealer to make — medical device competence applied to the animal market — so the internal strategic argument does not need making. A central Taiwan base complements a Taipei or Kaohsiung appointment.</t>
        </is>
      </c>
      <c r="I11" s="113" t="inlineStr">
        <is>
          <t>Medical-materials company in Wuri District, Taichung (unified business no. 54751197) operating KogiPet, which it markets as Taiwan's only pet brand built specifically on medical-device expertise.</t>
        </is>
      </c>
      <c r="J11" s="113" t="inlineStr">
        <is>
          <t>NO · the site sells consumer pet products (litter, food, supplements)</t>
        </is>
      </c>
      <c r="K11" s="46" t="inlineStr">
        <is>
          <t>Taichung (Wuri)</t>
        </is>
      </c>
      <c r="L11" s="47" t="inlineStr">
        <is>
          <t>https://www.kogipet.com</t>
        </is>
      </c>
      <c r="M11" s="113" t="inlineStr">
        <is>
          <t>NOT CONFIRMED</t>
        </is>
      </c>
      <c r="N11" s="113" t="inlineStr">
        <is>
          <t>service02@kogimask.com.tw</t>
        </is>
      </c>
      <c r="O11" s="41" t="inlineStr">
        <is>
          <t>台中市烏日區溪南路一段682巷90-2號</t>
        </is>
      </c>
      <c r="P11" s="113" t="inlineStr">
        <is>
          <t>A · VERIFIED DIRECT (email off the site footer, opened 27 Sep 2026)</t>
        </is>
      </c>
      <c r="Q11" s="113" t="inlineStr">
        <is>
          <t>v11 CORRECTION: kogipet.com sells litter, food and supplements to consumers, with no clinical devices. Downgraded to Tier 3. A medical device company that deliberately built a veterinary/pet brand — the same crossover CHISON is asking a dealer to make, which means the strategic argument is already won internally. Central Taiwan base complements a Taipei or Kaohsiung appointment.</t>
        </is>
      </c>
      <c r="R11" s="113" t="inlineStr">
        <is>
          <t>SonoEye P6 VET handheld</t>
        </is>
      </c>
      <c r="S11" s="111" t="inlineStr">
        <is>
          <t>TIER 3</t>
        </is>
      </c>
      <c r="T11" s="52" t="inlineStr">
        <is>
          <t>LOW · consumer pet products, not a clinical channel</t>
        </is>
      </c>
      <c r="U11" s="113" t="inlineStr">
        <is>
          <t>D</t>
        </is>
      </c>
      <c r="V11" s="113" t="inlineStr">
        <is>
          <t>Verified — corporate site; company registration number published</t>
        </is>
      </c>
      <c r="W11" s="50" t="inlineStr">
        <is>
          <t>Hong Wei Medical Materials Co., Ltd. (KogiPet): a second capital line for the customers you already have</t>
        </is>
      </c>
      <c r="X11" s="50" t="inlineStr">
        <is>
          <t>Dear 宏瑋醫材股份有限公司 (Hong Wei Medical Materials Co., Ltd.) team,
My name is Casper Tan, Senior Regional Sales Manager at AstraMed Healthcare, a subsidiary of CHISON Medical Technologies. I cover Japan, South Korea, Taiwan and Singapore for CHISON veterinary ultrasound. I am writing to Hong Wei Medical Materials Co., Ltd. specifically, not to a list. You are a medical-materials company that deliberately built a pet brand on that expertise, which is exactly the crossover we would be asking a partner to make, except you have already made it.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handheld.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2" ht="165" customHeight="1" s="114">
      <c r="A12" s="113" t="n">
        <v>10</v>
      </c>
      <c r="B12" s="41" t="inlineStr">
        <is>
          <t>紘安醫療儀器有限公司</t>
        </is>
      </c>
      <c r="C12" s="113" t="inlineStr">
        <is>
          <t>Hungan Medical Instrument Co., Ltd.</t>
        </is>
      </c>
      <c r="D12" s="42" t="inlineStr">
        <is>
          <t>Contacted</t>
        </is>
      </c>
      <c r="E12" s="43" t="inlineStr">
        <is>
          <t>Casper</t>
        </is>
      </c>
      <c r="F12" s="44" t="inlineStr">
        <is>
          <t>Intro email sent 28 Sep 2026 from casper@astramed.sg with CHISON VET Introduction 2027 attached. Follow up by phone or email if no reply</t>
        </is>
      </c>
      <c r="G12" s="121" t="n">
        <v>46300</v>
      </c>
      <c r="H12" s="46" t="inlineStr">
        <is>
          <t>Taiwanese supplier of animal hospital medical consumables and instruments. RELEVANCE: real clinic access through a consumables cadence, but no evidence of capital-equipment capability or service engineers. Useful once a primary Taiwanese distributor is appointed and you need accessories coverage or regional fill-in.</t>
        </is>
      </c>
      <c r="I12" s="113" t="inlineStr">
        <is>
          <t>Animal hospital medical consumables and instruments.</t>
        </is>
      </c>
      <c r="J12" s="113" t="inlineStr">
        <is>
          <t>Not identified</t>
        </is>
      </c>
      <c r="K12" s="46" t="inlineStr">
        <is>
          <t>Taiwan</t>
        </is>
      </c>
      <c r="L12" s="47" t="inlineStr">
        <is>
          <t>https://www.hungan160.com.tw</t>
        </is>
      </c>
      <c r="M12" s="113" t="inlineStr">
        <is>
          <t>TEL 02-2999-2698 · LINE @842znmiu</t>
        </is>
      </c>
      <c r="N12" s="113" t="inlineStr">
        <is>
          <t>hungan160@gmail.com</t>
        </is>
      </c>
      <c r="O12" s="113" t="inlineStr">
        <is>
          <t>Taiwan</t>
        </is>
      </c>
      <c r="P12" s="113" t="inlineStr">
        <is>
          <t>A · VERIFIED DIRECT (email and phone off the company site, opened 27 Sep 2026)</t>
        </is>
      </c>
      <c r="Q12" s="113" t="inlineStr">
        <is>
          <t>Consumables-led. Useful as a sub-dealer or accessories partner once a primary Taiwanese distributor is appointed; not a primary appointment.</t>
        </is>
      </c>
      <c r="R12" s="113" t="inlineStr">
        <is>
          <t>SonoEye P6 VET, alongside the consumables you already supply</t>
        </is>
      </c>
      <c r="S12" s="55" t="inlineStr">
        <is>
          <t>TIER 3</t>
        </is>
      </c>
      <c r="T12" s="54" t="inlineStr">
        <is>
          <t>LOW — consumables-led. Sub-dealer or accessories partner, not a primary appointment.</t>
        </is>
      </c>
      <c r="U12" s="113" t="inlineStr">
        <is>
          <t>D</t>
        </is>
      </c>
      <c r="V12" s="113" t="inlineStr">
        <is>
          <t>Verified site (search-indexed)</t>
        </is>
      </c>
      <c r="W12" s="50" t="inlineStr">
        <is>
          <t>Hungan Medical Instrument Co., Ltd.: a second capital line for the customers you already have</t>
        </is>
      </c>
      <c r="X12" s="50" t="inlineStr">
        <is>
          <t>Dear 紘安醫療儀器有限公司 (Hungan Medical Instrument Co., Ltd.) team,
My name is Casper Tan, Senior Regional Sales Manager at AstraMed Healthcare, a subsidiary of CHISON Medical Technologies. I cover Japan, South Korea, Taiwan and Singapore for CHISON veterinary ultrasound. I am writing to Hungan Medical Instrument Co., Ltd. specifically, not to a list. You supply consumables and instruments to Taiwanese animal hospitals.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alongside the consumables you already supply.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3" ht="165" customHeight="1" s="114">
      <c r="A13" s="113" t="n">
        <v>4</v>
      </c>
      <c r="B13" s="41" t="inlineStr">
        <is>
          <t>威醫互聯 ivetmall（富研生技）</t>
        </is>
      </c>
      <c r="C13" s="113" t="inlineStr">
        <is>
          <t>ivetmall — veterinary-only procurement platform</t>
        </is>
      </c>
      <c r="D13" s="42" t="inlineStr">
        <is>
          <t>Not started</t>
        </is>
      </c>
      <c r="E13" s="43" t="n"/>
      <c r="F13" s="44" t="n"/>
      <c r="G13" s="45" t="n"/>
      <c r="H13" s="46" t="inlineStr">
        <is>
          <t>Taiwan's first veterinary-only online procurement platform, restricted to animal hospitals, with eight product classes including in-clinic instruments, surgical instruments and outpatient examination. Publishes the JVS clinical veterinary journal and hosts sponsor seminars. RELEVANCE: two things in one — a transactional channel reaching essentially every Taiwanese animal hospital, and a publishing and seminar platform for building clinical credibility. They openly invite new suppliers to list, so the barrier is low, and the enquiry flow it generates is exactly what a future exclusive distributor will want to see.</t>
        </is>
      </c>
      <c r="I13" s="113" t="inlineStr">
        <is>
          <t>Taiwan's first veterinary-only online procurement platform, restricted to animal hospitals. Eight product classes including 院內儀器 (in-clinic instruments), 外科器械, 門診檢查. Publishes the JVS clinical veterinary journal and hosts sponsor seminars (ZENOAQ Asia tour, ASVD dermatology summit). Free line 0800-265-169. Actively recruits suppliers ('廠商進駐').</t>
        </is>
      </c>
      <c r="J13" s="113" t="inlineStr">
        <is>
          <t>Not in the instrument listing — confirm</t>
        </is>
      </c>
      <c r="K13" s="46" t="inlineStr">
        <is>
          <t>Taiwan, nationwide</t>
        </is>
      </c>
      <c r="L13" s="47" t="inlineStr">
        <is>
          <t>https://www.ivetmall.com</t>
        </is>
      </c>
      <c r="M13" s="41" t="inlineStr">
        <is>
          <t>免費諮詢專線 0800-265-169 (09:00–17:30) · LINE @rxn9003u</t>
        </is>
      </c>
      <c r="N13" s="113" t="inlineStr">
        <is>
          <t>Not published — online consultation form</t>
        </is>
      </c>
      <c r="O13" s="113" t="inlineStr">
        <is>
          <t>Taiwan</t>
        </is>
      </c>
      <c r="P13" s="113" t="inlineStr">
        <is>
          <t>A — VERIFIED DIRECT (freephone + LINE off the site)</t>
        </is>
      </c>
      <c r="Q13" s="113" t="inlineStr">
        <is>
          <t>Two things in one: a transactional channel to essentially every Taiwanese animal hospital, and a publishing/seminar platform. They openly invite new suppliers to list. Cheapest possible market entry for a brand with no Taiwanese presence yet, and it generates the enquiry flow a future exclusive distributor would want to inherit.</t>
        </is>
      </c>
      <c r="R13" s="113" t="inlineStr">
        <is>
          <t>Full VET range listing + SonoEye P3 VET seminar unit</t>
        </is>
      </c>
      <c r="S13" s="48" t="inlineStr">
        <is>
          <t>TIER 1</t>
        </is>
      </c>
      <c r="T13" s="49" t="inlineStr">
        <is>
          <t>HIGH — cheapest possible market entry for a brand with no Taiwanese presence, and they invite new suppliers.</t>
        </is>
      </c>
      <c r="U13" s="113" t="inlineStr">
        <is>
          <t>G</t>
        </is>
      </c>
      <c r="V13" s="113" t="inlineStr">
        <is>
          <t>Verified site — fetched 4 Aug 2026</t>
        </is>
      </c>
      <c r="W13" s="50" t="inlineStr">
        <is>
          <t>ivetmall: veterinary-only procurement platform, equipment for your programme, not a sales call</t>
        </is>
      </c>
      <c r="X13" s="50" t="inlineStr">
        <is>
          <t>Dear 威醫互聯 ivetmall (ivetmall) team,
My name is Casper Tan, Senior Regional Sales Manager at AstraMed Healthcare, a subsidiary of CHISON Medical Technologies. I cover Japan, South Korea, Taiwan and Singapore for CHISON veterinary ultrasound. I am writing to ivetmall specifically, not to a list. You built Taiwan's first veterinary-only procurement platform, you publish the JVS clinical journal, you host the ZENOAQ and ASVD seminars, and you openly invite manufacturers to list. That is three things at once: a channel, a publication and a stage.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product I would put in front of you first is the Full VET range listing and SonoEye P3 VET seminar unit.
Could we talk about what a sensible arrangement would look like?
Best regards,
Casper Tan
Senior Regional Sales Manager
AstraMed Healthcare, a subsidiary of CHISON Medical Technologies
casper@astramed.sg | +65 8719 0121</t>
        </is>
      </c>
    </row>
    <row r="14" ht="165" customHeight="1" s="114">
      <c r="A14" s="113" t="n">
        <v>13</v>
      </c>
      <c r="B14" s="41" t="inlineStr">
        <is>
          <t>仁和生物科技股份有限公司（木入森 AH）</t>
        </is>
      </c>
      <c r="C14" s="113" t="inlineStr">
        <is>
          <t>Jen Ho Biotechnology Co., Ltd. (Murinsen AH)</t>
        </is>
      </c>
      <c r="D14" s="42" t="inlineStr">
        <is>
          <t>Not started</t>
        </is>
      </c>
      <c r="E14" s="43" t="n"/>
      <c r="F14" s="44" t="n"/>
      <c r="G14" s="45" t="n"/>
      <c r="H14" s="113" t="inlineStr">
        <is>
          <t>Taiwanese group operating small-animal nutrition products, consumables, a medical instruments company, an animal hospital and an education centre, and actively recruiting animal hospital and veterinary channel sales consultants by region (central Taiwan: Taichung and Changhua). RELEVANCE: an unusually useful shape — they can specify a product, demonstrate it in their own hospital and teach it in their own education centre, all inside one organisation. Hiring veterinary channel sales consultants is the clearest possible signal that they are expanding, which is exactly when a new line gets taken on.</t>
        </is>
      </c>
      <c r="I14" s="113" t="inlineStr">
        <is>
          <t>Group operating small-animal nutrition products, consumables, a MEDICAL INSTRUMENTS company, an animal hospital and an education centre. Recruits animal hospital / clinic / veterinary channel sales consultants by region (central Taiwan: Taichung and Changhua).</t>
        </is>
      </c>
      <c r="J14" s="113" t="inlineStr">
        <is>
          <t>Not identified</t>
        </is>
      </c>
      <c r="K14" s="113" t="inlineStr">
        <is>
          <t>Taiwan; central region sales team</t>
        </is>
      </c>
      <c r="L14" s="113" t="inlineStr">
        <is>
          <t>104.com.tw/company/1a2x6bjpqi (recruitment profile — corporate site not confirmed)</t>
        </is>
      </c>
      <c r="M14" s="113" t="inlineStr">
        <is>
          <t>NOT CONFIRMED</t>
        </is>
      </c>
      <c r="N14" s="113" t="inlineStr">
        <is>
          <t>NOT CONFIRMED</t>
        </is>
      </c>
      <c r="O14" s="113" t="inlineStr">
        <is>
          <t>Taiwan (central region sales team)</t>
        </is>
      </c>
      <c r="P14" s="113" t="inlineStr">
        <is>
          <t>D — NOT VERIFIED (found via a 104 recruitment listing; confirm the corporate entity first)</t>
        </is>
      </c>
      <c r="Q14" s="113" t="inlineStr">
        <is>
          <t>An unusual and useful shape: they own the channel, a hospital AND an education centre, so they can specify, demonstrate and teach on a product in one organisation. Their active hiring of vet-channel sales consultants says they are expanding, which is exactly when a new line gets taken on.</t>
        </is>
      </c>
      <c r="R14" s="113" t="inlineStr">
        <is>
          <t>SonoEye P3 VET + training-room unit</t>
        </is>
      </c>
      <c r="S14" s="51" t="inlineStr">
        <is>
          <t>TIER 2</t>
        </is>
      </c>
      <c r="T14" s="49" t="inlineStr">
        <is>
          <t>MEDIUM-HIGH — they own the channel, a hospital AND an education centre, and they are hiring vet-channel sales.</t>
        </is>
      </c>
      <c r="U14" s="113" t="inlineStr">
        <is>
          <t>G</t>
        </is>
      </c>
      <c r="V14" s="113" t="inlineStr">
        <is>
          <t>Verified — 104 recruitment listing; corporate entity to confirm</t>
        </is>
      </c>
      <c r="W14" s="50" t="inlineStr">
        <is>
          <t>Jen Ho Biotechnology Co., Ltd. (Murinsen AH): equipment for your programme, not a sales call</t>
        </is>
      </c>
      <c r="X14" s="50" t="inlineStr">
        <is>
          <t>Dear 仁和生物科技股份有限公司 (Jen Ho Biotechnology Co., Ltd.) team,
My name is Casper Tan, Senior Regional Sales Manager at AstraMed Healthcare, a subsidiary of CHISON Medical Technologies. I cover Japan, South Korea, Taiwan and Singapore for CHISON veterinary ultrasound. I am writing to Jen Ho Biotechnology Co., Ltd. specifically, not to a list. You are an unusual shape and a useful one: a channel, a medical instruments company, an animal hospital and an education centre inside one group. You can specify, demonstrate and teach on a product without leaving your own organisation, and you are actively hiring veterinary channel sales staff, which usually means expansion.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product I would put in front of you first is the SonoEye P3 VET and training-room unit.
Could we talk about what a sensible arrangement would look like?
Best regards,
Casper Tan
Senior Regional Sales Manager
AstraMed Healthcare, a subsidiary of CHISON Medical Technologies
casper@astramed.sg | +65 8719 0121</t>
        </is>
      </c>
    </row>
    <row r="15" ht="165" customHeight="1" s="114">
      <c r="A15" s="113" t="n">
        <v>8</v>
      </c>
      <c r="B15" s="41" t="inlineStr">
        <is>
          <t>每均國際貿易有限公司</t>
        </is>
      </c>
      <c r="C15" s="113" t="inlineStr">
        <is>
          <t>Meijin International Trading Co., Ltd.</t>
        </is>
      </c>
      <c r="D15" s="42" t="inlineStr">
        <is>
          <t>Contacted</t>
        </is>
      </c>
      <c r="E15" s="43" t="inlineStr">
        <is>
          <t>Casper</t>
        </is>
      </c>
      <c r="F15" s="44" t="inlineStr">
        <is>
          <t>Intro email sent 28 Sep 2026 from casper@astramed.sg with CHISON VET Introduction 2027 attached. Follow up by phone or email if no reply</t>
        </is>
      </c>
      <c r="G15" s="121" t="n">
        <v>46300</v>
      </c>
      <c r="H15" s="46" t="inlineStr">
        <is>
          <t>Taiwanese importer with a dedicated 動物醫院醫療器材 (animal hospital medical equipment) category. RELEVANCE CORRECTION: opening the site showed the business is primarily pet nutraceuticals — Nutramax (Denamarin, Dasuquin), AminAvast, fish oil, probiotics and pheromones — with a smaller medical equipment category and a published dealer-channel page. So the clinic relationships are real and regular, but the capital-equipment competence is unproven. Nutraceutical reps visit clinics monthly, which is worth something; do not expect them to service a scanner.</t>
        </is>
      </c>
      <c r="I15" s="113" t="inlineStr">
        <is>
          <t>Import/trade of animal hospital medical devices (dedicated 動物醫院醫療器材 category).</t>
        </is>
      </c>
      <c r="J15" s="113" t="inlineStr">
        <is>
          <t>Not identified</t>
        </is>
      </c>
      <c r="K15" s="46" t="inlineStr">
        <is>
          <t>Taiwan</t>
        </is>
      </c>
      <c r="L15" s="47" t="inlineStr">
        <is>
          <t>https://www.meijin.com.tw</t>
        </is>
      </c>
      <c r="M15" s="113" t="inlineStr">
        <is>
          <t>TEL 02-2595-7599 · FAX 02-2595-7593</t>
        </is>
      </c>
      <c r="N15" s="113" t="inlineStr">
        <is>
          <t>pace@meijin.com.tw</t>
        </is>
      </c>
      <c r="O15" s="41" t="inlineStr">
        <is>
          <t>台北市林森北路575號6樓之2 · 統編 25122162</t>
        </is>
      </c>
      <c r="P15" s="113" t="inlineStr">
        <is>
          <t>A — VERIFIED DIRECT (phone, fax and email off the site footer)</t>
        </is>
      </c>
      <c r="Q15" s="113" t="inlineStr">
        <is>
          <t>CORRECTED IN v5 after opening the site. Meijin is primarily a PET NUTRACEUTICAL importer — Nutramax (Denamarin, Dasuquin), AminAvast, fish oil, probiotics, pheromones — with a smaller 動物醫院醫療器材 (animal hospital medical equipment) category and a published dealer-channel page. So the veterinary clinic relationship is real and weekly, but they are not an equipment house. Pitch them as a supplements channel adding its first capital line, not as an equipment dealer.  ORIGINAL NOTE: An import trading company already categorised around animal-hospital equipment. Importing is their competence, which matters for the Chinese-origin customs question that is currently unresolved for Taiwan.</t>
        </is>
      </c>
      <c r="R15" s="113" t="inlineStr">
        <is>
          <t>SonoEye P6 VET handheld and the SonoVet 8 for clinics that want one system to work as both cart and portable</t>
        </is>
      </c>
      <c r="S15" s="51" t="inlineStr">
        <is>
          <t>TIER 2</t>
        </is>
      </c>
      <c r="T15" s="54" t="inlineStr">
        <is>
          <t>LOW-MEDIUM — CORRECTED: primarily a pet nutraceutical importer with a small device category.</t>
        </is>
      </c>
      <c r="U15" s="113" t="inlineStr">
        <is>
          <t>A</t>
        </is>
      </c>
      <c r="V15" s="113" t="inlineStr">
        <is>
          <t>Verified site (search-indexed)</t>
        </is>
      </c>
      <c r="W15" s="50" t="inlineStr">
        <is>
          <t>Meijin International Trading Co., Ltd.: a first scanner for the clinics you equip</t>
        </is>
      </c>
      <c r="X15" s="50" t="inlineStr">
        <is>
          <t>Dear 每均國際貿易有限公司 (Meijin International Trading Co., Ltd.) team,
My name is Casper Tan, Senior Regional Sales Manager at AstraMed Healthcare, a subsidiary of CHISON Medical Technologies. I cover Japan, South Korea, Taiwan and Singapore for CHISON veterinary ultrasound. I am writing to Meijin International Trading Co., Ltd. specifically, not to a list. You run a dedicated animal-hospital medical device category as an import trading company, and importing is the competence that matters here, because the customs position on Chinese-origin goods is the live question in Taiwan rather than device registration.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handheld and the SonoVet 8 for clinics that want one system to work as both cart and portable.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16" ht="165" customHeight="1" s="114">
      <c r="A16" s="113" t="n">
        <v>17</v>
      </c>
      <c r="B16" s="41" t="inlineStr">
        <is>
          <t>品約醫療儀器有限公司</t>
        </is>
      </c>
      <c r="C16" s="113" t="inlineStr">
        <is>
          <t>Pinyork Medical Instrument Co., Ltd.</t>
        </is>
      </c>
      <c r="D16" s="42" t="inlineStr">
        <is>
          <t>Contacted</t>
        </is>
      </c>
      <c r="E16" s="43" t="inlineStr">
        <is>
          <t>Casper</t>
        </is>
      </c>
      <c r="F16" s="44" t="inlineStr">
        <is>
          <t>Intro email sent 28 Sep 2026 from casper@astramed.sg with CHISON VET Introduction 2027 attached. Follow up by phone or email if no reply</t>
        </is>
      </c>
      <c r="G16" s="121" t="n">
        <v>46300</v>
      </c>
      <c r="H16" s="46" t="inlineStr">
        <is>
          <t>Taiwanese specialist supplier of medical ultrasound, human-medicine led. RELEVANCE: they already have ultrasound service engineers, probe knowledge and demonstration skill — the three things that take a general dealer years to build — and, as far as can be seen, no veterinary line. The veterinary segment would be new revenue rather than cannibalised revenue. Confirm which human brands they carry, since a strong human principal may restrict what they can add.</t>
        </is>
      </c>
      <c r="I16" s="113" t="inlineStr">
        <is>
          <t>Taiwanese specialist supplier of MEDICAL ULTRASOUND — human-medicine led.</t>
        </is>
      </c>
      <c r="J16" s="113" t="inlineStr">
        <is>
          <t>YES · human ultrasound: Fujifilm ARIETTA, Hitachi Aloka, Medisono; no veterinary business found</t>
        </is>
      </c>
      <c r="K16" s="46" t="inlineStr">
        <is>
          <t>Taiwan</t>
        </is>
      </c>
      <c r="L16" s="47" t="inlineStr">
        <is>
          <t>https://www.pinyork.com.tw</t>
        </is>
      </c>
      <c r="M16" s="113" t="inlineStr">
        <is>
          <t>TEL (02)2791-5535</t>
        </is>
      </c>
      <c r="N16" s="113" t="inlineStr">
        <is>
          <t>service@pinyork.com.tw</t>
        </is>
      </c>
      <c r="O16" s="113" t="inlineStr">
        <is>
          <t>台北市內湖區民權東路六段15巷16號3樓之一</t>
        </is>
      </c>
      <c r="P16" s="113" t="inlineStr">
        <is>
          <t>A · VERIFIED DIRECT (email and phone off the company site, opened 27 Sep 2026)</t>
        </is>
      </c>
      <c r="Q16" s="113" t="inlineStr">
        <is>
          <t>v11 CORRECTION: human medicine only, carrying Fujifilm and Hitachi Aloka ultrasound. Downgraded to Tier 3. An ultrasound specialist with, as far as we can see, no veterinary line. That is an unusual and useful shape: they already have the ultrasound service engineers, probe knowledge and demo skills, and the veterinary segment would be new revenue rather than cannibalised revenue. Confirm which human brands they carry before the call — that determines whether there is a conflict at all.</t>
        </is>
      </c>
      <c r="R16" s="113" t="inlineStr">
        <is>
          <t>SonoEye P6 VET and SonoEye P2 VET handhelds, as an entry into the veterinary segment</t>
        </is>
      </c>
      <c r="S16" s="111" t="inlineStr">
        <is>
          <t>TIER 3</t>
        </is>
      </c>
      <c r="T16" s="49" t="inlineStr">
        <is>
          <t>LOW · human only, competing brands</t>
        </is>
      </c>
      <c r="U16" s="113" t="inlineStr">
        <is>
          <t>D</t>
        </is>
      </c>
      <c r="V16" s="113" t="inlineStr">
        <is>
          <t>Verified site (search-indexed) — veterinary exposure NOT confirmed</t>
        </is>
      </c>
      <c r="W16" s="50" t="inlineStr">
        <is>
          <t>Pinyork Medical Instrument Co., Ltd.: a second capital line for the customers you already have</t>
        </is>
      </c>
      <c r="X16" s="50" t="inlineStr">
        <is>
          <t>Dear 品約醫療儀器有限公司 (Pinyork Medical Instrument Co., Ltd.) team,
My name is Casper Tan, Senior Regional Sales Manager at AstraMed Healthcare, a subsidiary of CHISON Medical Technologies. I cover Japan, South Korea, Taiwan and Singapore for CHISON veterinary ultrasound. I am writing to Pinyork Medical Instrument Co., Ltd. specifically, not to a list. You are an ultrasound specialist, which means you already have the probe knowledge, the service engineers and the demonstration skills that this product needs, and, as far as I can see, no veterinary line, so this would be new revenue rather than revenue moved from one pocket to another.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and SonoEye P2 VET handhelds, as an entry into the veterinary segment.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7" ht="165" customHeight="1" s="114">
      <c r="A17" s="113" t="n">
        <v>6</v>
      </c>
      <c r="B17" s="41" t="inlineStr">
        <is>
          <t>翔翼國際有限公司</t>
        </is>
      </c>
      <c r="C17" s="113" t="inlineStr">
        <is>
          <t>Shine Kochi International Co., Ltd.</t>
        </is>
      </c>
      <c r="D17" s="42" t="inlineStr">
        <is>
          <t>Not started</t>
        </is>
      </c>
      <c r="E17" s="43" t="n"/>
      <c r="F17" s="44" t="inlineStr">
        <is>
          <t>Not yet emailed: no draft was created on 28 Sep 2026. Email text is ready in column X</t>
        </is>
      </c>
      <c r="G17" s="45" t="n"/>
      <c r="H17" s="46" t="inlineStr">
        <is>
          <t>Changhua-based supplier of pet hospital medical equipment, veterinary endoscopy and laparoscopy, animal CT and human-device resale, with clinic opening planning and custom fit-out. Carries ASUS veterinary handheld ultrasound. RELEVANCE: the fact that they already sell a handheld veterinary scanner proves both that the segment exists in Taiwan and that they know how to sell it. ASUS is a Taiwanese-brand incumbent, so CHISON's counter has to be probe range (micro-convex, linear, rectal), veterinary presets and price. Qualify their ASUS margin before pitching.</t>
        </is>
      </c>
      <c r="I17" s="113" t="inlineStr">
        <is>
          <t>Pet hospital medical equipment, veterinary endoscopy and laparoscopy, animal CT, human-device resale, clinic opening planning and custom measurement/fit-out. Carries ASUS veterinary handheld ultrasound.</t>
        </is>
      </c>
      <c r="J17" s="113" t="inlineStr">
        <is>
          <t>YES — ASUS handheld veterinary ultrasound</t>
        </is>
      </c>
      <c r="K17" s="46" t="inlineStr">
        <is>
          <t>Changhua; national</t>
        </is>
      </c>
      <c r="L17" s="47" t="inlineStr">
        <is>
          <t>https://www.shine-kochi.com.tw</t>
        </is>
      </c>
      <c r="M17" s="113" t="inlineStr">
        <is>
          <t>TEL 04-873-0099 · FAX 04-873-0698 · LINE @f83708662 · 業務經理 余小姐 (Ms Yu, Sales Manager)</t>
        </is>
      </c>
      <c r="N17" s="113" t="inlineStr">
        <is>
          <t>cherry395858@gmail.com</t>
        </is>
      </c>
      <c r="O17" s="113" t="inlineStr">
        <is>
          <t>彰化縣社頭鄉社頭村三民路40號</t>
        </is>
      </c>
      <c r="P17" s="113" t="inlineStr">
        <is>
          <t>A · VERIFIED DIRECT (email, phone, fax off the company site, opened 27 Sep 2026)</t>
        </is>
      </c>
      <c r="Q17" s="113" t="inlineStr">
        <is>
          <t>They already sell a handheld vet scanner, which proves the segment exists and that they know how to sell it. ASUS is a Taiwanese-brand incumbent — CHISON's counter is probe range (micro-convex, linear, rectal), vet presets and price. Qualify their ASUS margin before pitching.</t>
        </is>
      </c>
      <c r="R17" s="113" t="inlineStr">
        <is>
          <t>SonoEye P6 VET handheld, with the SonoAir VET portable for your CT and endoscopy accounts</t>
        </is>
      </c>
      <c r="S17" s="51" t="inlineStr">
        <is>
          <t>TIER 2</t>
        </is>
      </c>
      <c r="T17" s="52" t="inlineStr">
        <is>
          <t>MEDIUM — they already sell a handheld vet scanner, which proves the segment and the skill. ASUS is the incumbent.</t>
        </is>
      </c>
      <c r="U17" s="113" t="inlineStr">
        <is>
          <t>B</t>
        </is>
      </c>
      <c r="V17" s="113" t="inlineStr">
        <is>
          <t>Verified site (search-indexed)</t>
        </is>
      </c>
      <c r="W17" s="50" t="inlineStr">
        <is>
          <t>Shine Kochi International Co., Ltd.: not a replacement for your ultrasound line, the tier below it</t>
        </is>
      </c>
      <c r="X17" s="50" t="inlineStr">
        <is>
          <t>Dear 翔翼國際有限公司 (Shine Kochi International Co., Ltd.) team,
My name is Casper Tan, Senior Regional Sales Manager at AstraMed Healthcare, a subsidiary of CHISON Medical Technologies. I cover Japan, South Korea, Taiwan and Singapore for CHISON veterinary ultrasound. I am writing to Shine Kochi International Co., Ltd. specifically, not to a list. You already sell a handheld veterinary scanner, which tells me you understand the segment and can sell it, most Taiwanese dealers still cannot. My interest is in what happens on probe range and on price.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P6 VET handheld, with the SonoAir VET portable for your CT and endoscopy accounts.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8" ht="165" customHeight="1" s="114">
      <c r="A18" s="113" t="n">
        <v>12</v>
      </c>
      <c r="B18" s="41" t="inlineStr">
        <is>
          <t>杏恩醫療儀器有限公司</t>
        </is>
      </c>
      <c r="C18" s="113" t="inlineStr">
        <is>
          <t>Shinn Medical Instrument Co., Ltd.</t>
        </is>
      </c>
      <c r="D18" s="42" t="inlineStr">
        <is>
          <t>Not started</t>
        </is>
      </c>
      <c r="E18" s="43" t="n"/>
      <c r="F18" s="44" t="n"/>
      <c r="G18" s="45" t="n"/>
      <c r="H18" s="46" t="inlineStr">
        <is>
          <t>Taiwanese supplier of medical devices, medical supplies and consumables, human-medicine led. RELEVANCE: a human-side dealer with no veterinary ultrasound line is the profile that produces the least channel conflict, which is the entire adjacent-segment strategy. The risk is that they have no veterinary customers to sell to — confirm that before spending a visit.</t>
        </is>
      </c>
      <c r="I18" s="113" t="inlineStr">
        <is>
          <t>Medical devices, medical supplies and consumables (human-medicine led).</t>
        </is>
      </c>
      <c r="J18" s="113" t="inlineStr">
        <is>
          <t>Not identified</t>
        </is>
      </c>
      <c r="K18" s="46" t="inlineStr">
        <is>
          <t>Taiwan</t>
        </is>
      </c>
      <c r="L18" s="47" t="inlineStr">
        <is>
          <t>https://www.shinn.com.tw</t>
        </is>
      </c>
      <c r="M18" s="113" t="inlineStr">
        <is>
          <t>NOT CONFIRMED</t>
        </is>
      </c>
      <c r="N18" s="113" t="inlineStr">
        <is>
          <t>NOT CONFIRMED</t>
        </is>
      </c>
      <c r="O18" s="41" t="inlineStr">
        <is>
          <t>台北市北投區</t>
        </is>
      </c>
      <c r="P18" s="113" t="inlineStr">
        <is>
          <t>C — SITE LIVE, NOT OPENED (human-medicine led; veterinary exposure unconfirmed)</t>
        </is>
      </c>
      <c r="Q18" s="113" t="inlineStr">
        <is>
          <t>Adjacent-segment recruit: a human-side dealer with no vet ultrasound line, which is the profile that produces the least channel conflict. Confirm whether they have any veterinary customers before spending a visit on them.</t>
        </is>
      </c>
      <c r="R18" s="113" t="inlineStr">
        <is>
          <t>SonoEye P3 VET (vet-segment entry)</t>
        </is>
      </c>
      <c r="S18" s="55" t="inlineStr">
        <is>
          <t>TIER 3</t>
        </is>
      </c>
      <c r="T18" s="54" t="inlineStr">
        <is>
          <t>LOW-MEDIUM — adjacent-segment recruit. Confirm they have any veterinary customers at all.</t>
        </is>
      </c>
      <c r="U18" s="113" t="inlineStr">
        <is>
          <t>D</t>
        </is>
      </c>
      <c r="V18" s="113" t="inlineStr">
        <is>
          <t>Verified site (search-indexed) — vet exposure unconfirmed</t>
        </is>
      </c>
      <c r="W18" s="50" t="inlineStr">
        <is>
          <t>Shinn Medical Instrument Co., Ltd.: a second capital line for the customers you already have</t>
        </is>
      </c>
      <c r="X18" s="50" t="inlineStr">
        <is>
          <t>Dear 杏恩醫療儀器有限公司 (Shinn Medical Instrument Co., Ltd.) team,
My name is Casper Tan, Senior Regional Sales Manager at AstraMed Healthcare, a subsidiary of CHISON Medical Technologies. I cover Japan, South Korea, Taiwan and Singapore for CHISON veterinary ultrasound. I am writing to Shinn Medical Instrument Co., Ltd. specifically, not to a list. You supply medical devices and consumables in Taiwan, and as far as I can see without a veterinary ultrasound line, which is the profile that produces the least channel conflict.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P3 VET (vet-segment entry).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9" ht="165" customHeight="1" s="114">
      <c r="A19" s="113" t="n">
        <v>20</v>
      </c>
      <c r="B19" s="41" t="inlineStr">
        <is>
          <t>總騰儀器有限公司</t>
        </is>
      </c>
      <c r="C19" s="113" t="inlineStr">
        <is>
          <t>SOAR Instrument-Tech Co., Ltd.</t>
        </is>
      </c>
      <c r="D19" s="42" t="inlineStr">
        <is>
          <t>Not started</t>
        </is>
      </c>
      <c r="E19" s="43" t="n"/>
      <c r="F19" s="44" t="n"/>
      <c r="G19" s="45" t="n"/>
      <c r="H19" s="46" t="inlineStr">
        <is>
          <t>Taiwanese veterinary equipment house selling CT, anaesthesia machines, monitoring and clinic fit-out to animal hospitals (uni-soar.com). RELEVANCE AND CORRECTION: the adjacent-segment profile is exactly right on paper — veterinary CT and anaesthesia already inside animal hospitals, with no ultrasound found. But uni-soar.com returned no content when fetched in August 2026, so the catalogue has NOT been verified and the earlier Tier 1 grade was too confident. Note also that SOAR (總騰) and SOARMED (欣大首美達, row 9) are different companies and must not be confused. Verify the catalogue on first contact; if there really is no ultrasound, this moves straight back to Tier 1.</t>
        </is>
      </c>
      <c r="I19" s="113" t="inlineStr">
        <is>
          <t>Veterinary equipment house: CT, anaesthesia machines, monitoring and clinic fit-out for animal hospitals.</t>
        </is>
      </c>
      <c r="J19" s="113" t="inlineStr">
        <is>
          <t>Not identified in the published catalogue — confirm</t>
        </is>
      </c>
      <c r="K19" s="46" t="inlineStr">
        <is>
          <t>Taiwan; national</t>
        </is>
      </c>
      <c r="L19" s="47" t="inlineStr">
        <is>
          <t>https://www.uni-soar.com</t>
        </is>
      </c>
      <c r="M19" s="113" t="inlineStr">
        <is>
          <t>NOT CONFIRMED — enquiry via site</t>
        </is>
      </c>
      <c r="N19" s="113" t="inlineStr">
        <is>
          <t>NOT CONFIRMED — enquiry via site</t>
        </is>
      </c>
      <c r="O19" s="113" t="inlineStr">
        <is>
          <t>Taiwan</t>
        </is>
      </c>
      <c r="P19" s="113" t="inlineStr">
        <is>
          <t>C — SITE LIVE, NOT OPENED (domain returned by search with real product content; page not opened by us)</t>
        </is>
      </c>
      <c r="Q19" s="113" t="inlineStr">
        <is>
          <t>DOWNGRADED IN v7 FROM TIER 1. The adjacent-segment profile is right on paper — veterinary CT and anaesthesia already in animal hospitals, no ultrasound found — but uni-soar.com returned no content when fetched on 6 Aug 2026, so the 'no ultrasound' claim is UNVERIFIED and the Tier 1 grade was over-confident. Ask on the first call whether they carry ultrasound; if they do not, promote straight back to Tier 1. Do not confuse SOAR (總騰) with SOARMED (欣大首美達) on row 5 — different companies.</t>
        </is>
      </c>
      <c r="R19" s="113" t="inlineStr">
        <is>
          <t>SonoEye P3 VET + SonoAir 70 VET (completes the imaging suite)</t>
        </is>
      </c>
      <c r="S19" s="51" t="inlineStr">
        <is>
          <t>TIER 2</t>
        </is>
      </c>
      <c r="T19" s="52" t="inlineStr">
        <is>
          <t>MEDIUM — DOWNGRADED FROM TIER 1: the site did not render on fetch, so the 'no ultrasound' claim is unverified.</t>
        </is>
      </c>
      <c r="U19" s="113" t="inlineStr">
        <is>
          <t>F</t>
        </is>
      </c>
      <c r="V19" s="113" t="inlineStr">
        <is>
          <t>Carried from CHISON_VET_Dealer_and_EndUser_Workbook_v2.0 (merged into v6, 6 Aug 2026)</t>
        </is>
      </c>
      <c r="W19" s="50" t="inlineStr">
        <is>
          <t>SOAR Instrument-Tech Co., Ltd.: CHISON veterinary ultrasound, an introduction</t>
        </is>
      </c>
      <c r="X19" s="50" t="inlineStr">
        <is>
          <t>Dear 總騰儀器有限公司 (SOAR Instrument-Tech Co., Ltd.) team,
My name is Casper Tan, Senior Regional Sales Manager at AstraMed Healthcare, a subsidiary of CHISON Medical Technologies. I cover Singapore, Japan, South Korea and Taiwan for CHISON veterinary ultrasound.
SOAR already puts CT and anaesthesia into Taiwanese animal hospitals, and from what we can see there is no ultrasound line in your range. That is a gap your customers fill with someone else's rep.
To be simple: the import route for the goods is still being confirmed, so this note is about the relationship and an evaluation, not an order.
The product I would lead with for you is SonoEye P3 VET + SonoAir 70 VET (completes the imaging suite).
Could we have a short call about carrying a veterinary ultrasound line alongside your CT and anaesthesia business? I would also welcome a correction if you do already carry ultrasound.
Kind regards,
Casper Tan
Senior Regional Sales Manager, AstraMed Healthcare
CHISON veterinary ultrasound (Singapore · Japan · South Korea · Taiwan)
casper@astramed.sg</t>
        </is>
      </c>
    </row>
    <row r="20" ht="165" customHeight="1" s="114">
      <c r="A20" s="113" t="n">
        <v>5</v>
      </c>
      <c r="B20" s="41" t="inlineStr">
        <is>
          <t>欣大首美達股份有限公司</t>
        </is>
      </c>
      <c r="C20" s="113" t="inlineStr">
        <is>
          <t>SOARMED (Shin Da Soar Medical Co., Ltd.)</t>
        </is>
      </c>
      <c r="D20" s="42" t="inlineStr">
        <is>
          <t>Not started</t>
        </is>
      </c>
      <c r="E20" s="43" t="n"/>
      <c r="F20" s="44" t="n"/>
      <c r="G20" s="45" t="n"/>
      <c r="H20" s="46" t="inlineStr">
        <is>
          <t>Taipei Neihu company founded 1996 doing veterinary equipment R&amp;D, agency and sales domestically and for export, with a Thailand operation. Line includes X-Ray RV-500, DR, CT, PORTA 120 HF portable X-ray, Penlon and own-brand anaesthesia workstations, RF electrosurgery, H-100B and iM8 VET monitors, ICU units and Fujifilm equipment — plus VINNO ultrasound across four models. RELEVANCE: the strongest veterinary equipment house in Taiwan by breadth and service capability, and they already carry a directly competing Chinese portable line, so a straight replacement pitch will fail. Two viable angles remain: the pocket and handheld tier VINNO does not cover, or a hard commercial comparison if their VINNO margin is thin.</t>
        </is>
      </c>
      <c r="I20" s="113" t="inlineStr">
        <is>
          <t>Founded 1996. Veterinary equipment R&amp;D, agency and sales, domestic and export. Line: X-Ray RV-500, DR, CT, PORTA 120 HF portable X-ray, Penlon and own-brand anaesthesia workstations, RF electrosurgery, H-100B / iM8 VET monitors, ICU units, Fujifilm endoscopy, laparoscopy, hydrotherapy and rehab, German gait analysis. ULTRASOUND: VINNO D6 VET, D350VET, D650VET, Vivet 300. Thailand subsidiary (SOAR MEDICAL TECH THAILAND). Exhibits FASAVA and WSAVA annually.</t>
        </is>
      </c>
      <c r="J20" s="113" t="inlineStr">
        <is>
          <t>YES — VINNO (Chinese brand) across four models</t>
        </is>
      </c>
      <c r="K20" s="46" t="inlineStr">
        <is>
          <t>Taipei Neihu HQ; national + Thailand</t>
        </is>
      </c>
      <c r="L20" s="47" t="inlineStr">
        <is>
          <t>https://soarmed.com</t>
        </is>
      </c>
      <c r="M20" s="113" t="inlineStr">
        <is>
          <t>TEL 02-2796-7222 · FAX 02-2796-6010 · Thailand: +66 2-212-6391</t>
        </is>
      </c>
      <c r="N20" s="113" t="inlineStr">
        <is>
          <t>Not published — Facebook/site enquiry</t>
        </is>
      </c>
      <c r="O20" s="41" t="inlineStr">
        <is>
          <t>台北市內湖區民權東路六段15巷16號4樓之3 · Thailand subsidiary in Sathorn, Bangkok</t>
        </is>
      </c>
      <c r="P20" s="113" t="inlineStr">
        <is>
          <t>A — VERIFIED DIRECT (phone + fax off the site footer)</t>
        </is>
      </c>
      <c r="Q20" s="113" t="inlineStr">
        <is>
          <t>The strongest vet equipment house in Taiwan by breadth and service — and they carry a directly competing Chinese portable line, so a straight replacement pitch will fail. Two viable angles: the pocket/handheld tier VINNO does not cover, or a hard commercial comparison if their VINNO margin is thin. Their Thailand arm also makes them a two-market conversation.</t>
        </is>
      </c>
      <c r="R20" s="113" t="inlineStr">
        <is>
          <t>SonoEye P3 / P5 VET (pocket tier only)</t>
        </is>
      </c>
      <c r="S20" s="51" t="inlineStr">
        <is>
          <t>TIER 2</t>
        </is>
      </c>
      <c r="T20" s="52" t="inlineStr">
        <is>
          <t>MEDIUM — strongest breadth and service in Taiwan, but they carry VINNO. Handheld tier or a hard commercial comparison.</t>
        </is>
      </c>
      <c r="U20" s="113" t="inlineStr">
        <is>
          <t>B</t>
        </is>
      </c>
      <c r="V20" s="113" t="inlineStr">
        <is>
          <t>Verified site — fetched 4 Aug 2026</t>
        </is>
      </c>
      <c r="W20" s="50" t="inlineStr">
        <is>
          <t>SOARMED (Shin Da Soar Medical Co., Ltd.): not a replacement for your ultrasound line, the tier below it</t>
        </is>
      </c>
      <c r="X20" s="50" t="inlineStr">
        <is>
          <t>Dear 欣大首美達股份有限公司 (SOARMED) team,
My name is Casper Tan, Senior Regional Sales Manager at AstraMed Healthcare, a subsidiary of CHISON Medical Technologies. I cover Japan, South Korea, Taiwan and Singapore for CHISON veterinary ultrasound. I am writing to SOARMED specifically, not to a list. You are, by some distance, the most complete veterinary equipment house in Taiwan, X-ray, CT, anaesthesia, electrosurgery, monitoring, rehabilitation, endoscopy, and a Thai subsidiary as well. You also carry VINNO, so I am not going to waste your time pitching a competing portable.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P3 / P5 VET (pocket tier only).
Would twenty minutes be worth it, to see whether this protects your top-tier margin rather than competing with it?
Best regards,
Casper Tan
Senior Regional Sales Manager
AstraMed Healthcare, a subsidiary of CHISON Medical Technologies
casper@astramed.sg | +65 8719 0121</t>
        </is>
      </c>
    </row>
    <row r="21" ht="165" customHeight="1" s="114">
      <c r="A21" s="113" t="n">
        <v>2</v>
      </c>
      <c r="B21" s="41" t="inlineStr">
        <is>
          <t>天鵬儀器有限公司</t>
        </is>
      </c>
      <c r="C21" s="113" t="inlineStr">
        <is>
          <t>Tengpon Instrument Co., Ltd.</t>
        </is>
      </c>
      <c r="D21" s="42" t="inlineStr">
        <is>
          <t>Not started</t>
        </is>
      </c>
      <c r="E21" s="43" t="n"/>
      <c r="F21" s="44" t="inlineStr">
        <is>
          <t>Not yet emailed: no draft was created on 28 Sep 2026. Email text is ready in column X</t>
        </is>
      </c>
      <c r="G21" s="45" t="n"/>
      <c r="H21" s="46" t="inlineStr">
        <is>
          <t>Kaohsiung-based instrument supplier founded 1988, with animal hospitals named as a core customer alongside major medical institutions, university veterinary departments and government units. Two divisions — equipment, and consumables and instruments — carrying 3M, laboratory instruments, sampling products and ultrasound gel. RELEVANCE: thirty-eight years in the market, an equipment division, animal hospitals as a named customer group, and ultrasound gel on the shelf without a scanner to go with it. Southern Taiwan coverage also complements a Taipei or Taichung appointment rather than competing with it.</t>
        </is>
      </c>
      <c r="I21" s="113" t="inlineStr">
        <is>
          <t>Founded 1988. Customers: major medical institutions, ANIMAL HOSPITALS, university veterinary departments and government units. Two divisions — 設備 (equipment) and 醫用耗材&amp;器械 (consumables and instruments). Range: 3M, lab instruments and consumables, sampling, pharmacy and lab supplies, gloves, bandages and splints, gauze, wound care, solutions, catheters and blood/infusion sets, needles and IV cannulae (BD, Terumo, Nipro, B.Braun, TOP), sutures and skin staplers, blades, ET tubes, drapes, sterilisation, dental, grooming, e-collars, surgical instruments across ENT/ophthalmic/dental/orthopaedic, stainless containers. Runs a member e-commerce site with quarterly spend promotions. NOTE: they already stock ULTRASOUND CONDUCTIVE GEL.</t>
        </is>
      </c>
      <c r="J21" s="113" t="inlineStr">
        <is>
          <t>NO scanner — but they already sell ultrasound gel, i.e. the consumable without the device</t>
        </is>
      </c>
      <c r="K21" s="46" t="inlineStr">
        <is>
          <t>Kaohsiung (左營區孔營路51巷6號); national</t>
        </is>
      </c>
      <c r="L21" s="47" t="inlineStr">
        <is>
          <t>https://www.tengpon.com</t>
        </is>
      </c>
      <c r="M21" s="113" t="inlineStr">
        <is>
          <t>TEL 07-581-5766</t>
        </is>
      </c>
      <c r="N21" s="113" t="inlineStr">
        <is>
          <t>tpm5815766@gmail.com</t>
        </is>
      </c>
      <c r="O21" s="41" t="inlineStr">
        <is>
          <t>高雄市左營區孔營路51巷6號 · est. 1988</t>
        </is>
      </c>
      <c r="P21" s="113" t="inlineStr">
        <is>
          <t>A — VERIFIED DIRECT (phone + email off the site footer)</t>
        </is>
      </c>
      <c r="Q21" s="113" t="inlineStr">
        <is>
          <t>Thirty-eight years, southern Taiwan base, animal hospitals as a named core customer, an equipment division — and no scanner despite already selling the gel that goes with one. That is as close to a stated gap as this research produced. Southern coverage also complements a Taipei or Taichung appointment rather than competing with it.</t>
        </is>
      </c>
      <c r="R21" s="113" t="inlineStr">
        <is>
          <t>SonoEye P2 VET linear handheld for peri operative guidance and the SonoVet 8 for the surgical suite</t>
        </is>
      </c>
      <c r="S21" s="48" t="inlineStr">
        <is>
          <t>TIER 1</t>
        </is>
      </c>
      <c r="T21" s="49" t="inlineStr">
        <is>
          <t>HIGH — they already sell the gel and not the scanner. That is as close to a stated gap as research produces.</t>
        </is>
      </c>
      <c r="U21" s="113" t="inlineStr">
        <is>
          <t>C</t>
        </is>
      </c>
      <c r="V21" s="113" t="inlineStr">
        <is>
          <t>Verified site — fetched 4 Aug 2026</t>
        </is>
      </c>
      <c r="W21" s="50" t="inlineStr">
        <is>
          <t>Tengpon Instrument Co., Ltd.: ultrasound guidance for the surgery you already equip</t>
        </is>
      </c>
      <c r="X21" s="50" t="inlineStr">
        <is>
          <t>Dear 天鵬儀器有限公司 (Tengpon Instrument Co., Ltd.) team,
My name is Casper Tan, Senior Regional Sales Manager at AstraMed Healthcare, a subsidiary of CHISON Medical Technologies. I cover Japan, South Korea, Taiwan and Singapore for CHISON veterinary ultrasound. I am writing to Tengpon Instrument Co., Ltd. specifically, not to a list. Since 1988 you have supplied animal hospitals, veterinary school departments and government units from Kaohsiung, across both equipment and instruments. You already stock ultrasound conductive gel. You do not, as far as I can tell, stock the scanner that uses it.
CHISON's SonoEye P2 VET is a pocket-sized veterinary linear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Taiwan and are choosing one this year.
The product I would put in front of you first is the SonoEye P2 VET linear handheld for peri operative guidance and the SonoVet 8 for the surgical suite.
I have also attached our CHISON VET introduction, which covers the full veterinary range from the SonoEye handhelds to the SonoMax cart.
Are you open to a short call? I would rather show you the block and the vascular-access demo than describe them.
Best regards,
Casper Tan
Senior Regional Sales Manager
AstraMed Healthcare, a subsidiary of CHISON Medical Technologies
casper@astramed.sg | +65 8719 0121</t>
        </is>
      </c>
    </row>
    <row r="22" ht="165" customHeight="1" s="114">
      <c r="A22" s="113" t="n">
        <v>22</v>
      </c>
      <c r="B22" s="41" t="inlineStr">
        <is>
          <t>拓博爾貿易有限公司</t>
        </is>
      </c>
      <c r="C22" s="113" t="inlineStr">
        <is>
          <t>Top Prior Trading Co., Ltd.</t>
        </is>
      </c>
      <c r="D22" s="42" t="inlineStr">
        <is>
          <t>Not started</t>
        </is>
      </c>
      <c r="E22" s="43" t="n"/>
      <c r="F22" s="44" t="n"/>
      <c r="G22" s="45" t="n"/>
      <c r="H22" s="113" t="inlineStr">
        <is>
          <t>Taiwanese trading company supplying veterinary and medical equipment to animal hospitals. Entity and scale not confirmed. RELEVANCE: the customer base is right if the veterinary weighting is real. Taiwanese dealers are strongly regional, so the first question is which counties they actually cover — a Taipei-only trading company adds little next to Guojien in Taichung and Tengpon in Kaohsiung.</t>
        </is>
      </c>
      <c r="I22" s="113" t="inlineStr">
        <is>
          <t>Trading company supplying veterinary and medical equipment to Taiwanese animal hospitals.</t>
        </is>
      </c>
      <c r="J22" s="113" t="inlineStr">
        <is>
          <t>Not identified; Taiwan distributor for YOULAN, REINNOVET, SUNKINGDOM, ENMIND and PRETTA</t>
        </is>
      </c>
      <c r="K22" s="113" t="inlineStr">
        <is>
          <t>Taiwan</t>
        </is>
      </c>
      <c r="L22" s="108" t="inlineStr">
        <is>
          <t>https://www.toppriortrading.com/</t>
        </is>
      </c>
      <c r="M22" s="113" t="inlineStr">
        <is>
          <t>TEL 0918-959-670</t>
        </is>
      </c>
      <c r="N22" s="113" t="inlineStr">
        <is>
          <t>NOT CONFIRMED (site shows only part of the address)</t>
        </is>
      </c>
      <c r="O22" s="113" t="inlineStr">
        <is>
          <t>新北市新店區新潭路1段78-10A</t>
        </is>
      </c>
      <c r="P22" s="113" t="inlineStr">
        <is>
          <t>B · VERIFIED PARTIAL (site opened 27 Sep 2026, phone and address published, email domain not shown)</t>
        </is>
      </c>
      <c r="Q22" s="113" t="inlineStr">
        <is>
          <t>Unqualified trading-company shape. Confirm the entity, the veterinary weighting and whether an imaging line already exists. Taiwanese dealers are strongly regional, so also establish which counties they actually cover.</t>
        </is>
      </c>
      <c r="R22" s="113" t="inlineStr">
        <is>
          <t>SonoEye P3 VET</t>
        </is>
      </c>
      <c r="S22" s="51" t="inlineStr">
        <is>
          <t>TIER 2</t>
        </is>
      </c>
      <c r="T22" s="52" t="inlineStr">
        <is>
          <t>MEDIUM — unqualified trading-company shape. Establish coverage and any incumbent line.</t>
        </is>
      </c>
      <c r="U22" s="113" t="inlineStr">
        <is>
          <t>A</t>
        </is>
      </c>
      <c r="V22" s="113" t="inlineStr">
        <is>
          <t>Carried from CHISON_VET_Dealer_and_EndUser_Workbook_v2.0 (merged into v6, 6 Aug 2026)</t>
        </is>
      </c>
      <c r="W22" s="50" t="inlineStr">
        <is>
          <t>Top Prior Trading Co., Ltd.: CHISON veterinary ultrasound, an introduction</t>
        </is>
      </c>
      <c r="X22" s="50" t="inlineStr">
        <is>
          <t>Dear 拓博爾貿易有限公司 (Top Prior Trading Co., Ltd.) team,
My name is Casper Tan, Senior Regional Sales Manager at AstraMed Healthcare, a subsidiary of CHISON Medical Technologies. I cover Singapore, Japan, South Korea and Taiwan for CHISON veterinary ultrasound.
Top Prior supplies equipment into Taiwanese animal hospitals, and a first scanner is still an open decision in most of them.
To be simple: the import route for the goods is still being confirmed, so this note is about the relationship and an evaluation, not an order.
The product I would lead with for you is SonoEye P3 VET.
Could we have a short introductory call, and could you confirm which regions of Taiwan you cover and whether you already carry an ultrasound line?
Kind regards,
Casper Tan
Senior Regional Sales Manager, AstraMed Healthcare
CHISON veterinary ultrasound (Singapore · Japan · South Korea · Taiwan)
casper@astramed.sg</t>
        </is>
      </c>
    </row>
    <row r="23" ht="165" customHeight="1" s="114">
      <c r="A23" s="113" t="n">
        <v>21</v>
      </c>
      <c r="B23" s="41" t="inlineStr">
        <is>
          <t>力林國際有限公司（力林動物醫療供應商 / Vet Supply）</t>
        </is>
      </c>
      <c r="C23" s="113" t="inlineStr">
        <is>
          <t>Vet Supply — Li Lin International Co., Ltd.</t>
        </is>
      </c>
      <c r="D23" s="42" t="inlineStr">
        <is>
          <t>Not started</t>
        </is>
      </c>
      <c r="E23" s="43" t="n"/>
      <c r="F23" s="44" t="inlineStr">
        <is>
          <t>Not yet emailed: no draft was created on 28 Sep 2026. Email text is ready in column X</t>
        </is>
      </c>
      <c r="G23" s="45" t="n"/>
      <c r="H23" s="46" t="inlineStr">
        <is>
          <t>New Taipei veterinary equipment distributor selling veterinary ultrasound in Taiwan, including SonoScape and ProPet S-series units. RELEVANCE: the conflict cuts both ways. It proves the channel works and that Chinese-origin veterinary ultrasound sells in Taiwan — and it rules out any console conversation. A handheld is a different sale from their cart business and can be positioned as an addition rather than a replacement, which is the only honest pitch available here.</t>
        </is>
      </c>
      <c r="I23" s="113" t="inlineStr">
        <is>
          <t>Veterinary equipment distributor. Sells veterinary ultrasound in Taiwan, including SonoScape and ProPet S-series units.</t>
        </is>
      </c>
      <c r="J23" s="113" t="inlineStr">
        <is>
          <t>YES — already sells veterinary ultrasound (SonoScape / ProPet S-series)</t>
        </is>
      </c>
      <c r="K23" s="46" t="inlineStr">
        <is>
          <t>New Taipei; national</t>
        </is>
      </c>
      <c r="L23" s="47" t="inlineStr">
        <is>
          <t>https://www.vetsupply.com.tw</t>
        </is>
      </c>
      <c r="M23" s="113" t="inlineStr">
        <is>
          <t>(02) 2250-9925</t>
        </is>
      </c>
      <c r="N23" s="113" t="inlineStr">
        <is>
          <t>j@vetsupply.com.tw</t>
        </is>
      </c>
      <c r="O23" s="113" t="inlineStr">
        <is>
          <t>New Taipei City, Taiwan</t>
        </is>
      </c>
      <c r="P23" s="113" t="inlineStr">
        <is>
          <t>C — SITE LIVE, NOT OPENED (phone and email carried from the Market Development list; not re-read off the site by us)</t>
        </is>
      </c>
      <c r="Q23" s="113" t="inlineStr">
        <is>
          <t>Conflicted — they already carry a Chinese-origin ultrasound line, which cuts both ways. It proves the channel works and it means no console conversation. Pocket tier only: a handheld is a different sale from their cart business and can be positioned as an addition, not a replacement. Never pitch a competing console here.</t>
        </is>
      </c>
      <c r="R23" s="113" t="inlineStr">
        <is>
          <t>SonoEye P6 VET and SonoEye P2 VET, as a pocket format line alongside what you already carry</t>
        </is>
      </c>
      <c r="S23" s="51" t="inlineStr">
        <is>
          <t>TIER 2</t>
        </is>
      </c>
      <c r="T23" s="52" t="inlineStr">
        <is>
          <t>MEDIUM — conflicted. Pocket tier only, never a competing console.</t>
        </is>
      </c>
      <c r="U23" s="113" t="inlineStr">
        <is>
          <t>B</t>
        </is>
      </c>
      <c r="V23" s="113" t="inlineStr">
        <is>
          <t>Carried from CHISON_Market_Development_Target_List_v2 (merged into v6, 6 Aug 2026)</t>
        </is>
      </c>
      <c r="W23" s="50" t="inlineStr">
        <is>
          <t>Vet Supply (Li Lin International): a pocket format ultrasound line, an introduction</t>
        </is>
      </c>
      <c r="X23" s="50" t="inlineStr">
        <is>
          <t>Dear 力林國際有限公司 (Vet Supply) team,
My name is Casper Tan, Senior Regional Sales Manager at AstraMed Healthcare, a subsidiary of CHISON Medical Technologies. I cover Singapore, Japan, South Korea and Taiwan for CHISON veterinary ultrasound.
Vet Supply already sells veterinary ultrasound in Taiwan, so I am not going to pretend I am writing about a console. The handheld tier is a different sale, carried in a pocket, used at the cage side, and it does not compete with the systems you already place.
To be clear: the import route for the goods is still being confirmed, so this note is about the relationship and an evaluation, not an order.
The product I would lead with for you is the SonoEye P6 VET and SonoEye P2 VET, as a pocket format line alongside what you already carry.
For reference, I have also attached our CHISON VET introduction, so you can see the full veterinary range.
Would a short call about a pocket-format second line be worth your time?
Best regards,
Casper Tan
Senior Regional Sales Manager
AstraMed Healthcare, a subsidiary of CHISON Medical Technologies
casper@astramed.sg | +65 8719 0121</t>
        </is>
      </c>
    </row>
    <row r="24" ht="165" customHeight="1" s="114">
      <c r="A24" s="113" t="n">
        <v>14</v>
      </c>
      <c r="B24" s="41" t="inlineStr">
        <is>
          <t>永鴻國際生技股份有限公司</t>
        </is>
      </c>
      <c r="C24" s="113" t="inlineStr">
        <is>
          <t>Vetnostrum Animal Health Co., Ltd. (TWSE 6936)</t>
        </is>
      </c>
      <c r="D24" s="42" t="inlineStr">
        <is>
          <t>Not started</t>
        </is>
      </c>
      <c r="E24" s="43" t="n"/>
      <c r="F24" s="44" t="inlineStr">
        <is>
          <t>Not yet emailed: no draft was created on 28 Sep 2026. Email text is ready in column X</t>
        </is>
      </c>
      <c r="G24" s="45" t="n"/>
      <c r="H24" s="46" t="inlineStr">
        <is>
          <t>Taiwan's largest animal pharmaceutical and animal health manufacturer and distributor, formed in 2016 when Yung Shin Pharmaceutical Group acquired the carved-out former Pfizer/Zoetis animal health operation. Listed on the emerging board in March 2023 and on the main board since. Distributes a pet brand exclusively through animal hospitals, and exports across Southeast Asia. RELEVANCE: an exclusive veterinary clinic channel already exists and is worked every week, there is no device line to conflict with, and the export licences suggest they could take the product beyond Taiwan. The largest and best-credentialed name on this tab.</t>
        </is>
      </c>
      <c r="I24" s="113" t="inlineStr">
        <is>
          <t>Taiwan's largest animal pharmaceutical and animal health products manufacturer and distributor. Founded 2016 when Yung Shin Pharmaceutical Group acquired the carved-out former Pfizer/Zoetis animal health operation. Listed (emerging board Mar 2023, main board 2025). Holds 283 domestic animal product licences plus export licences into China, Southeast Asia and Central/South America. Four product families: therapeutic drugs, medicated feed additives, non-medicated feed additives, and pet medicines and health products. Its pet brand VETdicate (寵特寶) is sold EXCLUSIVELY through animal hospitals and publishes a store locator.</t>
        </is>
      </c>
      <c r="J24" s="113" t="inlineStr">
        <is>
          <t>NO — pharmaceuticals and health products only</t>
        </is>
      </c>
      <c r="K24" s="46" t="inlineStr">
        <is>
          <t>Taiwan nationwide + export</t>
        </is>
      </c>
      <c r="L24" s="47" t="inlineStr">
        <is>
          <t>https://www.vetnostrum.com/tw · ispet.com.tw (VETdicate)</t>
        </is>
      </c>
      <c r="M24" s="113" t="inlineStr">
        <is>
          <t>Not published on the about page — contact page: vetnostrum.com/tw/contact</t>
        </is>
      </c>
      <c r="N24" s="113" t="inlineStr">
        <is>
          <t>service@vetnostrum.com</t>
        </is>
      </c>
      <c r="O24" s="41" t="inlineStr">
        <is>
          <t>台中辦公室 台中市西屯區安和路168號6F之6 · 台北辦公室 台北市松山區民權東路三段181號11樓 · 新竹工廠 新竹縣新豐鄉中崙村中崙290-3號</t>
        </is>
      </c>
      <c r="P24" s="113" t="inlineStr">
        <is>
          <t>A — VERIFIED DIRECT (company email + three office addresses off the site footer)</t>
        </is>
      </c>
      <c r="Q24" s="113" t="inlineStr">
        <is>
          <t>The largest animal-health company in Taiwan, listed, with a pet brand distributed exclusively through animal hospitals — which means a verified, exclusive veterinary clinic channel already exists and is being worked every week. No device line to conflict with. Their export licences across Southeast Asia also make this potentially a multi-market conversation rather than a Taiwan-only one.</t>
        </is>
      </c>
      <c r="R24" s="113" t="inlineStr">
        <is>
          <t>SonoEye P6 VET for your clinic channel and the SonoEye P7 VET rectal probe for livestock</t>
        </is>
      </c>
      <c r="S24" s="48" t="inlineStr">
        <is>
          <t>TIER 1</t>
        </is>
      </c>
      <c r="T24" s="49" t="inlineStr">
        <is>
          <t>HIGH — largest animal-health company in Taiwan, listed, with an exclusive clinic channel and no device line.</t>
        </is>
      </c>
      <c r="U24" s="113" t="inlineStr">
        <is>
          <t>E</t>
        </is>
      </c>
      <c r="V24" s="113" t="inlineStr">
        <is>
          <t>Verified — corporate site, TWSE listing coverage, Taiwan business press</t>
        </is>
      </c>
      <c r="W24" s="50" t="inlineStr">
        <is>
          <t>Vetnostrum Animal Health Co., Ltd.: capital margin on the relationship you already pay for</t>
        </is>
      </c>
      <c r="X24" s="50" t="inlineStr">
        <is>
          <t>Dear 永鴻國際生技股份有限公司 (Vetnostrum Animal Health Co., Ltd.) team,
My name is Casper Tan, Senior Regional Sales Manager at AstraMed Healthcare, a subsidiary of CHISON Medical Technologies. I cover Japan, South Korea, Taiwan and Singapore for CHISON veterinary ultrasound. I am writing to Vetnostrum Animal Health Co., Ltd. specifically, not to a list. You are the largest animal health company in Taiwan, you hold 283 domestic product licences plus export licences across Southeast Asia and Latin America, and VETdicate is sold exclusively through animal hospitals, which means you already run a verified, exclusive veterinary clinic channel, and you have no device line that would conflict with ours.
CHISON's veterinary range is designed to be carried and demonstrated by a rep who is already in the building, no installation crew, no site survey. It is capital margin layered onto a relationship you already pay for.
For context: we have no appointed veterinary distributor in Taiwan and are choosing one this year.
The product I would put in front of you first is the SonoEye P6 VET for your clinic channel and the SonoEye P7 VET rectal probe for livestock.
I have also attached our CHISON VET introduction, which covers the full veterinary range from the SonoEye handhelds to the SonoMax cart.
Could we find twenty minutes?
Best regards,
Casper Tan
Senior Regional Sales Manager
AstraMed Healthcare, a subsidiary of CHISON Medical Technologies
casper@astramed.sg | +65 8719 0121</t>
        </is>
      </c>
    </row>
    <row r="25" ht="165" customHeight="1" s="114">
      <c r="A25" s="113" t="n">
        <v>18</v>
      </c>
      <c r="B25" s="41" t="inlineStr">
        <is>
          <t>魏啥麻寵物文創（慢慢老）</t>
        </is>
      </c>
      <c r="C25" s="113" t="inlineStr">
        <is>
          <t>Wey Yng Buy — 'Man Man Lao' pet home-care</t>
        </is>
      </c>
      <c r="D25" s="42" t="inlineStr">
        <is>
          <t>Not started</t>
        </is>
      </c>
      <c r="E25" s="43" t="n"/>
      <c r="F25" s="44" t="n"/>
      <c r="G25" s="45" t="n"/>
      <c r="H25" s="46" t="inlineStr">
        <is>
          <t>Taiwanese pet home-care and medical products business that RENTS medical equipment for companion animals as well as selling it outright. RELEVANCE: the rental model is the interesting part. Renting lowers the entry price of a scanner for a small clinic, and for an owner managing a chronically ill animal at home — a route nobody else on this tab operates. Small company, but a genuinely different commercial model worth understanding.</t>
        </is>
      </c>
      <c r="I25" s="113" t="inlineStr">
        <is>
          <t>Pet home-care and medical products, including MEDICAL EQUIPMENT RENTAL for companion animals alongside outright sale.</t>
        </is>
      </c>
      <c r="J25" s="113" t="inlineStr">
        <is>
          <t>Not identified</t>
        </is>
      </c>
      <c r="K25" s="46" t="inlineStr">
        <is>
          <t>Taiwan</t>
        </is>
      </c>
      <c r="L25" s="47" t="inlineStr">
        <is>
          <t>https://www.weyyngbuy.com</t>
        </is>
      </c>
      <c r="M25" s="113" t="inlineStr">
        <is>
          <t>NOT CONFIRMED</t>
        </is>
      </c>
      <c r="N25" s="113" t="inlineStr">
        <is>
          <t>NOT CONFIRMED</t>
        </is>
      </c>
      <c r="O25" s="113" t="inlineStr">
        <is>
          <t>Taiwan</t>
        </is>
      </c>
      <c r="P25" s="113" t="inlineStr">
        <is>
          <t>C — SITE LIVE, NOT OPENED</t>
        </is>
      </c>
      <c r="Q25" s="113" t="inlineStr">
        <is>
          <t>The rental model is the interesting part. A rental or subscription route lowers the entry price of a scanner for a small clinic and for an owner managing a chronically ill animal at home — a channel nobody else on this tab operates. Small, but genuinely differentiated.</t>
        </is>
      </c>
      <c r="R25" s="113" t="inlineStr">
        <is>
          <t>SonoEye P3 VET (rental / subscription model)</t>
        </is>
      </c>
      <c r="S25" s="55" t="inlineStr">
        <is>
          <t>TIER 3</t>
        </is>
      </c>
      <c r="T25" s="54" t="inlineStr">
        <is>
          <t>LOW — small, but the rental model is genuinely differentiated.</t>
        </is>
      </c>
      <c r="U25" s="113" t="inlineStr">
        <is>
          <t>D</t>
        </is>
      </c>
      <c r="V25" s="113" t="inlineStr">
        <is>
          <t>Verified site (search-indexed)</t>
        </is>
      </c>
      <c r="W25" s="50" t="inlineStr">
        <is>
          <t>Wey Yng Buy: 'Man Man Lao' pet home-care, a second capital line for the customers you already have</t>
        </is>
      </c>
      <c r="X25" s="50" t="inlineStr">
        <is>
          <t>Dear 魏啥麻寵物文創 (Wey Yng Buy) team,
My name is Casper Tan, Senior Regional Sales Manager at AstraMed Healthcare, a subsidiary of CHISON Medical Technologies. I cover Japan, South Korea, Taiwan and Singapore for CHISON veterinary ultrasound. I am writing to Wey Yng Buy specifically, not to a list. You rent medical equipment to pet owners as well as selling it, which is a route to market nobody else in Taiwan is using for diagnostic imaging.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P3 VET (rental / subscription model).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6" ht="165" customHeight="1" s="114">
      <c r="A26" s="113" t="n">
        <v>7</v>
      </c>
      <c r="B26" s="41" t="inlineStr">
        <is>
          <t>祐強醫療儀器有限公司</t>
        </is>
      </c>
      <c r="C26" s="113" t="inlineStr">
        <is>
          <t>Yu Chiang / Rongchun Medical Instrument Co., Ltd.</t>
        </is>
      </c>
      <c r="D26" s="42" t="inlineStr">
        <is>
          <t>Not started</t>
        </is>
      </c>
      <c r="E26" s="43" t="n"/>
      <c r="F26" s="44" t="inlineStr">
        <is>
          <t>Not yet emailed: no draft was created on 28 Sep 2026. Email text is ready in column X</t>
        </is>
      </c>
      <c r="G26" s="45" t="n"/>
      <c r="H26" s="46" t="inlineStr">
        <is>
          <t>Taiwanese biomedical supplier established 2010 selling instruments, equipment and dedicated consumables. RELEVANCE CORRECTION: opening rongchun.com.tw showed a HUMAN medical device supplier — blood-pressure monitors, glucometers, and clinic equipment sales, repair and rental across Taiwan. No veterinary business is mentioned anywhere on the site, and an earlier note guessing at a veterinary share was wrong. The residual argument is that equipment repair and rental capability is genuinely useful and the veterinary segment would be new revenue rather than cannibalised revenue — but treat this as cold-segment prospecting, not as a veterinary dealer.</t>
        </is>
      </c>
      <c r="I26" s="113" t="inlineStr">
        <is>
          <t>Established 2010. Sells biomedical products: instruments, equipment and dedicated consumables.</t>
        </is>
      </c>
      <c r="J26" s="113" t="inlineStr">
        <is>
          <t>Not identified — confirm</t>
        </is>
      </c>
      <c r="K26" s="46" t="inlineStr">
        <is>
          <t>Taiwan</t>
        </is>
      </c>
      <c r="L26" s="47" t="inlineStr">
        <is>
          <t>https://www.rongchun.com.tw</t>
        </is>
      </c>
      <c r="M26" s="113" t="inlineStr">
        <is>
          <t>TEL (03)371-0988</t>
        </is>
      </c>
      <c r="N26" s="113" t="inlineStr">
        <is>
          <t>yochung@rongchun.com.tw</t>
        </is>
      </c>
      <c r="O26" s="113" t="inlineStr">
        <is>
          <t>桃園市八德區思源街188-1號</t>
        </is>
      </c>
      <c r="P26" s="113" t="inlineStr">
        <is>
          <t>A · VERIFIED DIRECT (email and phone off the company site, opened 27 Sep 2026)</t>
        </is>
      </c>
      <c r="Q26" s="113" t="inlineStr">
        <is>
          <t>RECLASSIFIED IN v5 after opening the site. rongchun.com.tw describes a HUMAN medical device supplier — blood-pressure monitors, glucometers, and clinic equipment sales, REPAIR and RENTAL across Taiwan. No veterinary business is mentioned anywhere. The v2–v4 note guessing at a veterinary share was wrong. What remains genuinely interesting is the repair-and-rental model: a dealer who already rents and services equipment can offer a scanner on subscription, which lowers the entry price for a small clinic. Treat as an adjacent-segment recruit with no veterinary customers yet.  ORIGINAL NOTE: Mid-size instrument house. Confirm how much of their revenue is veterinary versus human before investing time — if it is majority vet, this moves to Tier 1.</t>
        </is>
      </c>
      <c r="R26" s="113" t="inlineStr">
        <is>
          <t>SonoEye P6 VET handheld</t>
        </is>
      </c>
      <c r="S26" s="51" t="inlineStr">
        <is>
          <t>TIER 2</t>
        </is>
      </c>
      <c r="T26" s="54" t="inlineStr">
        <is>
          <t>LOW — CORRECTED: no veterinary business identified. Human medical devices only.</t>
        </is>
      </c>
      <c r="U26" s="113" t="inlineStr">
        <is>
          <t>D</t>
        </is>
      </c>
      <c r="V26" s="113" t="inlineStr">
        <is>
          <t>Verified site (search-indexed) — confirm vet share</t>
        </is>
      </c>
      <c r="W26" s="50" t="inlineStr">
        <is>
          <t>YoChung Medical Instrument Co., Ltd.: a second capital line for the customers you already have</t>
        </is>
      </c>
      <c r="X26" s="50" t="inlineStr">
        <is>
          <t>Dear 祐強醫療儀器有限公司 (YoChung Medical Instrument Co., Ltd.) team,
My name is Casper Tan, Senior Regional Sales Manager at AstraMed Healthcare, a subsidiary of CHISON Medical Technologies. I cover Japan, South Korea, Taiwan and Singapore for CHISON veterinary ultrasound. I am writing to YoChung Medical Instrument Co., Ltd. specifically, not to a list. You have supplied biomedical instruments, equipment and dedicated consumables in Taiwan since 2010.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handheld.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7" ht="165" customHeight="1" s="114">
      <c r="A27" s="113" t="n">
        <v>3</v>
      </c>
      <c r="B27" s="41" t="inlineStr">
        <is>
          <t>宇麥國際股份有限公司</t>
        </is>
      </c>
      <c r="C27" s="113" t="inlineStr">
        <is>
          <t>YUMAX Inc.</t>
        </is>
      </c>
      <c r="D27" s="42" t="inlineStr">
        <is>
          <t>Not started</t>
        </is>
      </c>
      <c r="E27" s="43" t="n"/>
      <c r="F27" s="44" t="inlineStr">
        <is>
          <t>Not yet emailed: no draft was created on 28 Sep 2026. Email text is ready in column X</t>
        </is>
      </c>
      <c r="G27" s="45" t="n"/>
      <c r="H27" s="46" t="inlineStr">
        <is>
          <t>Taipei veterinary supplier with a broad line card organised by clinical department: Mindray ultrasound, Mindray haematology, VetScan rapid tests, Mindray ePM 12M Vet and uMEC12 Vet monitors, Nellcor SpO2, Parks Doppler BP, Mindray anaesthesia and VieWorks fluorescence imaging. Runs its own laboratory and publishing arm. RELEVANCE CORRECTION: an earlier read of this company as a monitoring-only house was wrong — opening the catalogue showed a Mindray veterinary channel. A head-to-head portable pitch will fail. What remains genuinely useful is their department-by-department reach and their education output; the only wedge is the pocket tier below Mindray's own portable range.</t>
        </is>
      </c>
      <c r="I27" s="113" t="inlineStr">
        <is>
          <t>Broad veterinary line card organised by clinical department: ULTRASOUND (Mindray), Mindray haematology and VetScan rapid tests, Mindray ePM 12M Vet / uMEC12 Vet monitors, Nellcor SpO2, Parks Doppler BP, Mindray anaesthesia, VieWorks fluorescence imaging, Topcon OMS-90 surgical microscope, Alcon Infiniti/Laureate phaco, Philips ECG, Dermoscent dermatology, ART electrosurgery, wound dressings, MP800 IV pump, practice management software, own PCR molecular testing lab. Publishes a clinical bulletin (動物醫療新知).</t>
        </is>
      </c>
      <c r="J27" s="113" t="inlineStr">
        <is>
          <t>YES — Mindray Animal (they are a Mindray Taiwan vet channel)</t>
        </is>
      </c>
      <c r="K27" s="46" t="inlineStr">
        <is>
          <t>Taipei Songshan; national</t>
        </is>
      </c>
      <c r="L27" s="47" t="inlineStr">
        <is>
          <t>https://www.yumax.com.tw</t>
        </is>
      </c>
      <c r="M27" s="113" t="inlineStr">
        <is>
          <t>TEL 02-2717-6001 · FAX 02-2717-1016</t>
        </is>
      </c>
      <c r="N27" s="113" t="inlineStr">
        <is>
          <t>nicole.yumax@gmail.com</t>
        </is>
      </c>
      <c r="O27" s="113" t="inlineStr">
        <is>
          <t>105 台北市松山區民權東路三段142號8樓808室</t>
        </is>
      </c>
      <c r="P27" s="113" t="inlineStr">
        <is>
          <t>A — VERIFIED DIRECT (phone, fax and email off the site footer)</t>
        </is>
      </c>
      <c r="Q27" s="113" t="inlineStr">
        <is>
          <t>CORRECTED after opening their catalogue: they are a Mindray house, not a monitoring-only house, so a head-to-head portable pitch will fail. What remains is real — they sell across every clinical department and run their own lab and publishing arm. The only viable wedge is the pocket tier below Mindray's Vetus range, and only if their Mindray margin is under pressure.</t>
        </is>
      </c>
      <c r="R27" s="113" t="inlineStr">
        <is>
          <t>SonoEye P6 VET and SonoEye P2 VET handhelds, as a pocket tier alongside your existing line</t>
        </is>
      </c>
      <c r="S27" s="51" t="inlineStr">
        <is>
          <t>TIER 2</t>
        </is>
      </c>
      <c r="T27" s="52" t="inlineStr">
        <is>
          <t>MEDIUM — corrected: they are a Mindray house. Pocket tier below Mindray is the only viable wedge.</t>
        </is>
      </c>
      <c r="U27" s="113" t="inlineStr">
        <is>
          <t>B</t>
        </is>
      </c>
      <c r="V27" s="113" t="inlineStr">
        <is>
          <t>Verified site — fetched 4 Aug 2026</t>
        </is>
      </c>
      <c r="W27" s="50" t="inlineStr">
        <is>
          <t>YUMAX Inc.: not a replacement for your ultrasound line, the tier below it</t>
        </is>
      </c>
      <c r="X27" s="50" t="inlineStr">
        <is>
          <t>Dear 宇麥國際股份有限公司 (YUMAX Inc.) team,
My name is Casper Tan, Senior Regional Sales Manager at AstraMed Healthcare, a subsidiary of CHISON Medical Technologies. I cover Japan, South Korea, Taiwan and Singapore for CHISON veterinary ultrasound. I am writing to YUMAX Inc. specifically, not to a list. You cover Taiwanese veterinary practice department by department, imaging, ophthalmology, dentistry, surgery, internal medicine, laboratory, emergency, and you run your own PCR laboratory and clinical bulletin as well. You also carry Mindray, so let me be precise about what I am proposing.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P6 VET and SonoEye P2 VET handhelds, as a pocket tier alongside your existing line.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28" ht="165" customHeight="1" s="114">
      <c r="A28" s="113" t="n">
        <v>24</v>
      </c>
      <c r="B28" s="41" t="inlineStr">
        <is>
          <t>愛樺企業股份有限公司</t>
        </is>
      </c>
      <c r="C28" s="113" t="inlineStr">
        <is>
          <t>Best Digital Co., Ltd.</t>
        </is>
      </c>
      <c r="D28" s="42" t="inlineStr">
        <is>
          <t>Not started</t>
        </is>
      </c>
      <c r="E28" s="43" t="n"/>
      <c r="F28" s="44" t="inlineStr">
        <is>
          <t>Not yet emailed: no draft was created on 28 Sep 2026. Email text is ready in column X</t>
        </is>
      </c>
      <c r="G28" s="45" t="n"/>
      <c r="H28" s="113" t="inlineStr">
        <is>
          <t>Taiwanese medical imaging distributor operating from THREE offices — New Taipei (north), Taichung (central) and Kaohsiung (south) — covering the whole island. Human side: Siemens ultrasound, AGFA and PACS. RELEVANCE: they publish a dedicated 動物醫療設備 (veterinary equipment) category containing 西門子動物用超音波儀 (Siemens veterinary ultrasound), animal CT, and an animal CPAP mask. Very few Taiwanese distributors publish a veterinary imaging category at all, and fewer still have genuine three-region service coverage. NEW IN v9 — carried across from the human-diagnostic Market Development list v3 (Taiwan row 70), which noted only that they 'also handle veterinary equipment' without identifying the brand.</t>
        </is>
      </c>
      <c r="I28" s="113" t="inlineStr">
        <is>
          <t>Medical imaging distribution — Siemens ultrasound, AGFA, PACS — plus a published veterinary equipment line: Siemens veterinary ultrasound, animal CT, animal CPAP. Three regional offices with local service.</t>
        </is>
      </c>
      <c r="J28" s="113" t="inlineStr">
        <is>
          <t>YES — and specifically on the animal side: they distribute SIEMENS VETERINARY ULTRASOUND. The console tier is closed. Pocket tier only; never pitch against the Siemens system.</t>
        </is>
      </c>
      <c r="K28" s="46" t="inlineStr">
        <is>
          <t>New Taipei (north) · Taichung (central) · Kaohsiung (south) — full island coverage</t>
        </is>
      </c>
      <c r="L28" s="47" t="inlineStr">
        <is>
          <t>https://www.bestdigital.com.tw</t>
        </is>
      </c>
      <c r="M28" s="113" t="inlineStr">
        <is>
          <t>North TEL 02-8226-9509 / FAX 02-8226-9511 · Central TEL 04-2338-8268 / FAX 04-2338-8358 · South TEL 07-380-3899 / FAX 07-380-3829</t>
        </is>
      </c>
      <c r="N28" s="113" t="inlineStr">
        <is>
          <t>admin.n@bestdigital.com.tw (north) · admin.c@bestdigital.com.tw (central) · admin.s@bestdigital.com.tw (south)</t>
        </is>
      </c>
      <c r="O28" s="41" t="inlineStr">
        <is>
          <t>北區 新北市中和區建八路2號15F-5 · 中區 臺中市烏日區高鐵一路268號4樓之1 · 南區 高雄市三民區九如一路502號19樓A2</t>
        </is>
      </c>
      <c r="P28" s="113" t="inlineStr">
        <is>
          <t>A — VERIFIED DIRECT (all three offices' phone, fax, email and address read off the company's own site, 8 Aug 2026)</t>
        </is>
      </c>
      <c r="Q28" s="113" t="inlineStr">
        <is>
          <t>Be precise about what this is. They already sell a veterinary ultrasound console, so do not ask them to put a second console against the brand they represent — that conversation fails in the first minute. The opening is the tier BELOW: the pocket and portable unit a vet carries between consult rooms, uses cage-side, or takes on a farm call. That is a different purchase from a Siemens system and usually a different budget line, and their animal-CT accounts are exactly the hospitals that end up wanting one. Their three-office structure also means service coverage outside Taipei, which most of this tab lacks. If the pocket wedge lands, they are the most capable veterinary imaging channel on the Taiwan tab.</t>
        </is>
      </c>
      <c r="R28" s="113" t="inlineStr">
        <is>
          <t>SonoEye P3 VET / SonoEye P5 VET — POCKET TIER ONLY, never a competing console</t>
        </is>
      </c>
      <c r="S28" s="51" t="inlineStr">
        <is>
          <t>TIER 2</t>
        </is>
      </c>
      <c r="T28" s="52" t="inlineStr">
        <is>
          <t>MEDIUM — real veterinary imaging capability and the best regional service coverage on this tab, but they carry a competing veterinary ultrasound brand, so only the pocket tier is open. Taiwan's import route for Chinese-origin goods is still unresolved — relationship and evaluation work only.</t>
        </is>
      </c>
      <c r="U28" s="113" t="inlineStr">
        <is>
          <t>B</t>
        </is>
      </c>
      <c r="V28" s="113" t="inlineStr">
        <is>
          <t>NEW IN v9 — bestdigital.com.tw home and product pages opened and read 8 Aug 2026; veterinary category and the Siemens veterinary ultrasound line confirmed there. Traced from Market Development Target List v3, Taiwan Dealers row 70.</t>
        </is>
      </c>
      <c r="W28" s="56" t="inlineStr">
        <is>
          <t>愛樺企業股份有限公司 (Best Digital): a pocket-tier addition beside your Siemens veterinary systems</t>
        </is>
      </c>
      <c r="X28" s="50" t="inlineStr">
        <is>
          <t>Dear 愛樺企業股份有限公司 (Best Digital Co., Ltd.) team,
My name is Casper Tan, Senior Regional Sales Manager at AstraMed Healthcare, a subsidiary of CHISON Medical Technologies. I cover Japan, South Korea, Taiwan and Singapore for CHISON veterinary ultrasound.
I am writing having read your 動物醫療設備 pages. Very few distributors in Taiwan publish a veterinary imaging category at all, and fewer still cover north, central and south from three offices the way you do. You already sell Siemens veterinary ultrasound and animal CT, so let me be clear about what this is not: I am not asking you to put a second console against the line you represent.
What I would like to discuss is the tier below it. CHISON manufactures veterinary-labelled pocket and portable scanners, the unit a vet carries between consult rooms, uses cage-side, or takes on a farm call. That is a different purchase from a Siemens system and usually a different budget, and the animal-CT accounts you serve are precisely the hospitals that end up wanting one.
Taiwan's import route for us is still being worked through, so this is a fit and positioning conversation rather than an offer.
For reference, I have also attached our CHISON VET introduction, so you can see the full veterinary range.
Would a short call be worthwhile?
Best regards,
Casper Tan
Senior Regional Sales Manager
AstraMed Healthcare, a subsidiary of CHISON Medical Technologies
casper@astramed.sg | +65 8719 0121</t>
        </is>
      </c>
    </row>
    <row r="29" ht="165" customHeight="1" s="114">
      <c r="A29" s="113" t="n">
        <v>25</v>
      </c>
      <c r="B29" s="41" t="inlineStr">
        <is>
          <t>樂同生醫有限公司 (ISVD)</t>
        </is>
      </c>
      <c r="C29" s="113" t="inlineStr">
        <is>
          <t>Le Tong Biomedical Co., Ltd. (ISVD)</t>
        </is>
      </c>
      <c r="D29" s="42" t="inlineStr">
        <is>
          <t>Not started</t>
        </is>
      </c>
      <c r="E29" s="43" t="inlineStr">
        <is>
          <t>Casper</t>
        </is>
      </c>
      <c r="F29" s="44" t="inlineStr">
        <is>
          <t>Not yet emailed: no draft was created on 28 Sep 2026. Email text is ready in column X</t>
        </is>
      </c>
      <c r="G29" s="45" t="n"/>
      <c r="H29" s="46" t="inlineStr">
        <is>
          <t>New Taipei based veterinary dental specialist selling handheld dental X-ray and DR/CR imaging, extraction and endodontic equipment and supplies, and running hands on training in endodontics, extraction and periodontics plus a clinical case column.</t>
        </is>
      </c>
      <c r="I29" s="113" t="inlineStr">
        <is>
          <t>Veterinary dental imaging, dental equipment and CE training</t>
        </is>
      </c>
      <c r="J29" s="113" t="inlineStr">
        <is>
          <t>NO · none in the published range</t>
        </is>
      </c>
      <c r="K29" s="46" t="inlineStr">
        <is>
          <t>Taiwan, national (Banqiao, New Taipei)</t>
        </is>
      </c>
      <c r="L29" s="108" t="inlineStr">
        <is>
          <t>https://isvd.tw/</t>
        </is>
      </c>
      <c r="M29" s="113" t="inlineStr">
        <is>
          <t>TEL 02-7730-7950 (weekdays 09:00 to 18:00)</t>
        </is>
      </c>
      <c r="N29" s="113" t="inlineStr">
        <is>
          <t>info@isvd.tw</t>
        </is>
      </c>
      <c r="O29" s="113" t="inlineStr">
        <is>
          <t>新北市板橋區華江一路578號11樓</t>
        </is>
      </c>
      <c r="P29" s="113" t="inlineStr">
        <is>
          <t>A · VERIFIED DIRECT (email and phone off the company site, opened 27 Sep 2026)</t>
        </is>
      </c>
      <c r="Q29" s="113" t="inlineStr">
        <is>
          <t>Archetype F plus G: an imaging house with no ultrasound, and a training academy that already fills rooms with Taiwanese vets.</t>
        </is>
      </c>
      <c r="R29" s="113" t="inlineStr">
        <is>
          <t>SonoEye P6 VET and SonoEye P2 VET, set up as a training fleet for your courses</t>
        </is>
      </c>
      <c r="S29" s="110" t="inlineStr">
        <is>
          <t>TIER 1</t>
        </is>
      </c>
      <c r="T29" s="49" t="inlineStr">
        <is>
          <t>HIGH · no ultrasound conflict, training platform</t>
        </is>
      </c>
      <c r="U29" s="113" t="inlineStr">
        <is>
          <t>F</t>
        </is>
      </c>
      <c r="V29" s="113" t="inlineStr">
        <is>
          <t>New in v11 · site fetched 27 Sep 2026</t>
        </is>
      </c>
      <c r="W29" s="50" t="inlineStr">
        <is>
          <t>Le Tong Biomedical (ISVD): ultrasound for the clinics you train</t>
        </is>
      </c>
      <c r="X29" s="50" t="inlineStr">
        <is>
          <t>Dear 樂同生醫有限公司 (Le Tong Biomedical Co., Ltd.) team,
My name is Casper Tan, Senior Regional Sales Manager at AstraMed Healthcare, a subsidiary of CHISON Medical Technologies. I cover Japan, South Korea, Taiwan and Singapore for CHISON veterinary ultrasound. I am writing to Le Tong Biomedical Co., Ltd. specifically, not to a list. You sell dental imaging to Taiwanese clinics and run the hands on courses they learn it on, which is the combination that sells ultrasound too.
You already sell the imaging decision in a veterinary clinic. Ultrasound is the other half of that decision, and CHISON's handheld and portable range sits naturally beside an X-ray line without competing with it.
For context: we have no appointed veterinary distributor in Taiwan yet, and we are choosing partners by region rather than signing one national agent by default.
The product I would put in front of you first is the SonoEye P6 VET and SonoEye P2 VET, set up as a training fleet for your courses.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0" ht="165" customHeight="1" s="114">
      <c r="A30" s="113" t="n">
        <v>26</v>
      </c>
      <c r="B30" s="41" t="inlineStr">
        <is>
          <t>華杏儀器實業有限公司</t>
        </is>
      </c>
      <c r="C30" s="113" t="inlineStr">
        <is>
          <t>Huaxing Medical Instruments Co., Ltd.</t>
        </is>
      </c>
      <c r="D30" s="42" t="inlineStr">
        <is>
          <t>Not started</t>
        </is>
      </c>
      <c r="E30" s="43" t="inlineStr">
        <is>
          <t>Casper</t>
        </is>
      </c>
      <c r="F30" s="44" t="inlineStr">
        <is>
          <t>Call first, no email published</t>
        </is>
      </c>
      <c r="G30" s="45" t="n"/>
      <c r="H30" s="46" t="inlineStr">
        <is>
          <t>Taichung medical supplies retailer and wholesaler with three branches (Yude HQ, Wuxun, Fengyuan) and a small pet medical range: glucose meters, pet scales, needles and syringes.</t>
        </is>
      </c>
      <c r="I30" s="113" t="inlineStr">
        <is>
          <t>Medical supplies with a small pet medical range</t>
        </is>
      </c>
      <c r="J30" s="113" t="inlineStr">
        <is>
          <t>NO</t>
        </is>
      </c>
      <c r="K30" s="46" t="inlineStr">
        <is>
          <t>Taichung (three branches)</t>
        </is>
      </c>
      <c r="L30" s="108" t="inlineStr">
        <is>
          <t>https://www.huaxing.com.tw/</t>
        </is>
      </c>
      <c r="M30" s="113" t="inlineStr">
        <is>
          <t>TEL (04)2206-5055 · Wuxun (04)2234-5950 · Fengyuan (04)2526-1647</t>
        </is>
      </c>
      <c r="N30" s="113" t="inlineStr">
        <is>
          <t>Not published on the page opened</t>
        </is>
      </c>
      <c r="O30" s="113" t="inlineStr">
        <is>
          <t>台中市北區育德路14號 (HQ)</t>
        </is>
      </c>
      <c r="P30" s="113" t="inlineStr">
        <is>
          <t>A · VERIFIED DIRECT (phone numbers off the company's pet medical page, opened 27 Sep 2026)</t>
        </is>
      </c>
      <c r="Q30" s="113" t="inlineStr">
        <is>
          <t>Long tail regional fill in for Taichung. Not a capital equipment seller today.</t>
        </is>
      </c>
      <c r="R30" s="113" t="inlineStr">
        <is>
          <t>SonoEye P3 VET</t>
        </is>
      </c>
      <c r="S30" s="111" t="inlineStr">
        <is>
          <t>TIER 3</t>
        </is>
      </c>
      <c r="T30" s="54" t="inlineStr">
        <is>
          <t>LOW · consumables retailer</t>
        </is>
      </c>
      <c r="U30" s="113" t="inlineStr">
        <is>
          <t>E</t>
        </is>
      </c>
      <c r="V30" s="113" t="inlineStr">
        <is>
          <t>New in v11 · page fetched 27 Sep 2026</t>
        </is>
      </c>
      <c r="W30" s="50" t="inlineStr">
        <is>
          <t>Huaxing Medical Instruments: a handheld for your Taichung vet customers</t>
        </is>
      </c>
      <c r="X30" s="50" t="inlineStr">
        <is>
          <t>Dear 華杏儀器實業有限公司 (Huaxing Medical Instruments Co., Ltd.) team,
My name is Casper Tan, Senior Regional Sales Manager at AstraMed Healthcare, a subsidiary of CHISON Medical Technologies. I cover Japan, South Korea, Taiwan and Singapore for CHISON veterinary ultrasound. I am writing to Huaxing Medical Instruments Co., Ltd. specifically, not to a list. Your Taichung branches already supply pet medical items to local practices.
CHISON's veterinary handhelds and portables are an easy second line for a house that already calls on animal hospitals: same buyer, a short sales cycle, and nothing that overlaps with what you carry today.
For context: we have no appointed veterinary distributor in Taiwan yet, and we are choosing partners by region rather than signing one national agent by default.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1" ht="14.25" customHeight="1" s="114"/>
    <row r="32" ht="14.25" customHeight="1" s="114">
      <c r="A32" s="10">
        <f>COUNTIF(S5:S30,"TIER 1")</f>
        <v/>
      </c>
      <c r="B32" s="10" t="inlineStr">
        <is>
          <t>Tier 1: contact first</t>
        </is>
      </c>
    </row>
    <row r="33" ht="14.25" customHeight="1" s="114">
      <c r="A33" s="10">
        <f>COUNTIF(S5:S30,"TIER 2")</f>
        <v/>
      </c>
      <c r="B33" s="10" t="inlineStr">
        <is>
          <t>Tier 2: qualify first</t>
        </is>
      </c>
    </row>
    <row r="34" ht="14.25" customHeight="1" s="114">
      <c r="A34" s="10">
        <f>COUNTIF(S5:S30,"TIER 3")</f>
        <v/>
      </c>
      <c r="B34" s="10" t="inlineStr">
        <is>
          <t>Tier 3: long tail</t>
        </is>
      </c>
    </row>
    <row r="35" ht="14.25" customHeight="1" s="114">
      <c r="A35" s="10">
        <f>COUNTIF(S5:S30,"MFR*")</f>
        <v/>
      </c>
      <c r="B35" s="10" t="inlineStr">
        <is>
          <t>MFR: manufacturer or supplier, complementary line only</t>
        </is>
      </c>
    </row>
    <row r="36" ht="14.25" customHeight="1" s="114"/>
    <row r="37" ht="14.25" customHeight="1" s="114">
      <c r="A37" s="10">
        <f>COUNTIF(T5:T30,"HIGH*")</f>
        <v/>
      </c>
      <c r="B37" s="10" t="inlineStr">
        <is>
          <t>Buying / distribution potential HIGH</t>
        </is>
      </c>
    </row>
    <row r="38" ht="14.25" customHeight="1" s="114">
      <c r="A38" s="10">
        <f>COUNTIF(T5:T30,"MEDIUM*")</f>
        <v/>
      </c>
      <c r="B38" s="10" t="inlineStr">
        <is>
          <t>Buying / distribution potential MEDIUM</t>
        </is>
      </c>
    </row>
    <row r="39" ht="14.25" customHeight="1" s="114">
      <c r="A39" s="10">
        <f>COUNTIF(T5:T30,"LOW*")</f>
        <v/>
      </c>
      <c r="B39" s="10" t="inlineStr">
        <is>
          <t>Buying / distribution potential LOW</t>
        </is>
      </c>
    </row>
    <row r="40" ht="14.25" customHeight="1" s="114"/>
    <row r="41" ht="14.25" customHeight="1" s="114">
      <c r="A41" s="10">
        <f>COUNTIF(P5:P30,"A*")</f>
        <v/>
      </c>
      <c r="B41" s="10" t="inlineStr">
        <is>
          <t>Contacts graded A: verified phone and/or email</t>
        </is>
      </c>
    </row>
    <row r="42" ht="14.25" customHeight="1" s="114">
      <c r="A42" s="10">
        <f>COUNTIF(P5:P30,"B*")</f>
        <v/>
      </c>
      <c r="B42" s="10" t="inlineStr">
        <is>
          <t>Contacts graded B: site verified, enquiry form or partial</t>
        </is>
      </c>
    </row>
    <row r="43" ht="14.25" customHeight="1" s="114">
      <c r="A43" s="10">
        <f>COUNTIF(P5:P30,"C*")</f>
        <v/>
      </c>
      <c r="B43" s="10" t="inlineStr">
        <is>
          <t>Contacts graded C: site live or listed, not opened by us</t>
        </is>
      </c>
    </row>
    <row r="44" ht="14.25" customHeight="1" s="114">
      <c r="A44" s="10">
        <f>COUNTIF(P5:P30,"D*")</f>
        <v/>
      </c>
      <c r="B44" s="10" t="inlineStr">
        <is>
          <t>Contacts graded D: NOT VERIFIED, confirm before contacting</t>
        </is>
      </c>
    </row>
    <row r="45">
      <c r="A45" s="10">
        <f>COUNTIF(N5:N30,"*@*")</f>
        <v/>
      </c>
      <c r="B45" s="10" t="inlineStr">
        <is>
          <t>Rows with a real email address in column N (ready for Winmail drafting)</t>
        </is>
      </c>
    </row>
    <row r="46"/>
    <row r="47">
      <c r="A47" s="10">
        <f>COUNTA(B5:B30)</f>
        <v/>
      </c>
      <c r="B47" s="10" t="inlineStr">
        <is>
          <t>TOTAL companies on this tab, every one with a ready to send email</t>
        </is>
      </c>
    </row>
  </sheetData>
  <autoFilter ref="A4:X30">
    <sortState ref="A5:X28">
      <sortCondition ref="A5:A28"/>
    </sortState>
  </autoFilter>
  <conditionalFormatting sqref="D5:D30">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30" showDropDown="0" showInputMessage="0" showErrorMessage="0" allowBlank="1" type="list">
      <formula1>"Not started,Contacted,Meeting booked,Meeting held,Evaluation placed,Quoted,Won,Declined,Parked"</formula1>
      <formula2>0</formula2>
    </dataValidation>
    <dataValidation sqref="E5:E30"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Taiwanese pet and aquatic supplies trading company. RELEVANCE: aquatic and exotic species are a real high-frequency imaging niche and the SonoEye P5 suits them — but this is a retail supplies business without clinical customers or service capability. Weakest commercial fit on this tab; qualify only after everything above it has been worked." r:id="rId1"/>
    <hyperlink xmlns:r="http://schemas.openxmlformats.org/officeDocument/2006/relationships" ref="H6" display="Taiwanese importer and exporter established 1990 handling pet food, supplements and animal medicines through two channels: veterinary clinics (injectables, medicines, supplements, prescription food, cleaning products) and pet shops. Physical distribution across all seventeen counties and cities. RELEVANCE: thirty-five years old with the broadest published coverage of any company here, an established seminar programme that can carry clinical education, no equipment line to conflict with — and a phone number published specifically for distribution partnership enquiries, which is an open door." r:id="rId2"/>
    <hyperlink xmlns:r="http://schemas.openxmlformats.org/officeDocument/2006/relationships" ref="H8" display="Operator of the AHOSS animal-hospital procurement platform for veterinary consumables, supplements and instruments. RELEVANCE UPGRADE: AHOSS is more than a shop. They import KRUUSE and BUSTER consumables, ASA (Italy) MLS class-4 therapy lasers, Assisi (USA) pulsed-electromagnetic-field devices, Antinol, and Korean and Japanese nutrition brands, and they run a regular veterinary webinar programme. Importing and supporting a class-4 therapy laser is real capital-equipment competence, and the webinar programme is a built-in education channel — a much better fit than the original 'procurement platform' reading suggested." r:id="rId3"/>
    <hyperlink xmlns:r="http://schemas.openxmlformats.org/officeDocument/2006/relationships" ref="H9" display="New Taipei instrument agency of more than twenty years carrying Agilent, EXFO, Philips, GERSTEL and FLUKE, plus its own GETECH brand and FaPEx agricultural and veterinary drug rapid-test reagents. Runs a dedicated 動物醫療專區 and sells Philips Affiniti veterinary cardiac ultrasound. RELEVANCE: the Philips relationship rules out any console conversation. But they are an instrument house rather than a veterinary-native dealer, and their veterinary cardiac customer is exactly the referral-level buyer who takes a pocket echo device as a second unit for the ward. Narrow approach only." r:id="rId4"/>
    <hyperlink xmlns:r="http://schemas.openxmlformats.org/officeDocument/2006/relationships" ref="H10" display="Taichung-based veterinary supplier founded 1990, selling to animal hospitals nationwide as well as to government agencies and university departments. Catalogue covers surgical sutures and needles, orthopaedic instruments, urinary catheters, laboratory and test equipment, syringes and bandages. RELEVANCE: thirty-five years of animal-hospital relationships, an institutional customer base alongside clinics, and no ultrasound line anywhere in the published catalogue. The consumables cadence puts their rep in every clinic often enough to run a rolling demo, and a Taichung base covers central Taiwan, which a Taipei appointment would not." r:id="rId5"/>
    <hyperlink xmlns:r="http://schemas.openxmlformats.org/officeDocument/2006/relationships" ref="H11" display="Medical-materials company in Wuri District, Taichung (unified business no. 54751197) operating KogiPet, marketed as Taiwan's only pet brand built specifically on medical-device expertise. RELEVANCE: they have already made the exact crossover CHISON is asking a dealer to make — medical device competence applied to the animal market — so the internal strategic argument does not need making. A central Taiwan base complements a Taipei or Kaohsiung appointment." r:id="rId6"/>
    <hyperlink xmlns:r="http://schemas.openxmlformats.org/officeDocument/2006/relationships" ref="H12" display="Taiwanese supplier of animal hospital medical consumables and instruments. RELEVANCE: real clinic access through a consumables cadence, but no evidence of capital-equipment capability or service engineers. Useful once a primary Taiwanese distributor is appointed and you need accessories coverage or regional fill-in." r:id="rId7"/>
    <hyperlink xmlns:r="http://schemas.openxmlformats.org/officeDocument/2006/relationships" ref="H13" display="Taiwan's first veterinary-only online procurement platform, restricted to animal hospitals, with eight product classes including in-clinic instruments, surgical instruments and outpatient examination. Publishes the JVS clinical veterinary journal and hosts sponsor seminars. RELEVANCE: two things in one — a transactional channel reaching essentially every Taiwanese animal hospital, and a publishing and seminar platform for building clinical credibility. They openly invite new suppliers to list, so the barrier is low, and the enquiry flow it generates is exactly what a future exclusive distributor will want to see." r:id="rId8"/>
    <hyperlink xmlns:r="http://schemas.openxmlformats.org/officeDocument/2006/relationships" ref="H15" display="Taiwanese importer with a dedicated 動物醫院醫療器材 (animal hospital medical equipment) category. RELEVANCE CORRECTION: opening the site showed the business is primarily pet nutraceuticals — Nutramax (Denamarin, Dasuquin), AminAvast, fish oil, probiotics and pheromones — with a smaller medical equipment category and a published dealer-channel page. So the clinic relationships are real and regular, but the capital-equipment competence is unproven. Nutraceutical reps visit clinics monthly, which is worth something; do not expect them to service a scanner." r:id="rId9"/>
    <hyperlink xmlns:r="http://schemas.openxmlformats.org/officeDocument/2006/relationships" ref="H16" display="Taiwanese specialist supplier of medical ultrasound, human-medicine led. RELEVANCE: they already have ultrasound service engineers, probe knowledge and demonstration skill — the three things that take a general dealer years to build — and, as far as can be seen, no veterinary line. The veterinary segment would be new revenue rather than cannibalised revenue. Confirm which human brands they carry, since a strong human principal may restrict what they can add." r:id="rId10"/>
    <hyperlink xmlns:r="http://schemas.openxmlformats.org/officeDocument/2006/relationships" ref="H17" display="Changhua-based supplier of pet hospital medical equipment, veterinary endoscopy and laparoscopy, animal CT and human-device resale, with clinic opening planning and custom fit-out. Carries ASUS veterinary handheld ultrasound. RELEVANCE: the fact that they already sell a handheld veterinary scanner proves both that the segment exists in Taiwan and that they know how to sell it. ASUS is a Taiwanese-brand incumbent, so CHISON's counter has to be probe range (micro-convex, linear, rectal), veterinary presets and price. Qualify their ASUS margin before pitching." r:id="rId11"/>
    <hyperlink xmlns:r="http://schemas.openxmlformats.org/officeDocument/2006/relationships" ref="H18" display="Taiwanese supplier of medical devices, medical supplies and consumables, human-medicine led. RELEVANCE: a human-side dealer with no veterinary ultrasound line is the profile that produces the least channel conflict, which is the entire adjacent-segment strategy. The risk is that they have no veterinary customers to sell to — confirm that before spending a visit." r:id="rId12"/>
    <hyperlink xmlns:r="http://schemas.openxmlformats.org/officeDocument/2006/relationships" ref="H19" display="Taiwanese veterinary equipment house selling CT, anaesthesia machines, monitoring and clinic fit-out to animal hospitals (uni-soar.com). RELEVANCE AND CORRECTION: the adjacent-segment profile is exactly right on paper — veterinary CT and anaesthesia already inside animal hospitals, with no ultrasound found. But uni-soar.com returned no content when fetched in August 2026, so the catalogue has NOT been verified and the earlier Tier 1 grade was too confident. Note also that SOAR (總騰) and SOARMED (欣大首美達, row 9) are different companies and must not be confused. Verify the catalogue on first contact; if there really is no ultrasound, this moves straight back to Tier 1." r:id="rId13"/>
    <hyperlink xmlns:r="http://schemas.openxmlformats.org/officeDocument/2006/relationships" ref="H20" display="Taipei Neihu company founded 1996 doing veterinary equipment R&amp;D, agency and sales domestically and for export, with a Thailand operation. Line includes X-Ray RV-500, DR, CT, PORTA 120 HF portable X-ray, Penlon and own-brand anaesthesia workstations, RF electrosurgery, H-100B and iM8 VET monitors, ICU units and Fujifilm equipment — plus VINNO ultrasound across four models. RELEVANCE: the strongest veterinary equipment house in Taiwan by breadth and service capability, and they already carry a directly competing Chinese portable line, so a straight replacement pitch will fail. Two viable angles remain: the pocket and handheld tier VINNO does not cover, or a hard commercial comparison if their VINNO margin is thin." r:id="rId14"/>
    <hyperlink xmlns:r="http://schemas.openxmlformats.org/officeDocument/2006/relationships" ref="H21" display="Kaohsiung-based instrument supplier founded 1988, with animal hospitals named as a core customer alongside major medical institutions, university veterinary departments and government units. Two divisions — equipment, and consumables and instruments — carrying 3M, laboratory instruments, sampling products and ultrasound gel. RELEVANCE: thirty-eight years in the market, an equipment division, animal hospitals as a named customer group, and ultrasound gel on the shelf without a scanner to go with it. Southern Taiwan coverage also complements a Taipei or Taichung appointment rather than competing with it." r:id="rId15"/>
    <hyperlink xmlns:r="http://schemas.openxmlformats.org/officeDocument/2006/relationships" ref="L22" r:id="rId16"/>
    <hyperlink xmlns:r="http://schemas.openxmlformats.org/officeDocument/2006/relationships" ref="H23" display="New Taipei veterinary equipment distributor selling veterinary ultrasound in Taiwan, including SonoScape and ProPet S-series units. RELEVANCE: the conflict cuts both ways. It proves the channel works and that Chinese-origin veterinary ultrasound sells in Taiwan — and it rules out any console conversation. A handheld is a different sale from their cart business and can be positioned as an addition rather than a replacement, which is the only honest pitch available here." r:id="rId17"/>
    <hyperlink xmlns:r="http://schemas.openxmlformats.org/officeDocument/2006/relationships" ref="H24" display="Taiwan's largest animal pharmaceutical and animal health manufacturer and distributor, formed in 2016 when Yung Shin Pharmaceutical Group acquired the carved-out former Pfizer/Zoetis animal health operation. Listed on the emerging board in March 2023 and on the main board since. Distributes a pet brand exclusively through animal hospitals, and exports across Southeast Asia. RELEVANCE: an exclusive veterinary clinic channel already exists and is worked every week, there is no device line to conflict with, and the export licences suggest they could take the product beyond Taiwan. The largest and best-credentialed name on this tab." r:id="rId18"/>
    <hyperlink xmlns:r="http://schemas.openxmlformats.org/officeDocument/2006/relationships" ref="H25" display="Taiwanese pet home-care and medical products business that RENTS medical equipment for companion animals as well as selling it outright. RELEVANCE: the rental model is the interesting part. Renting lowers the entry price of a scanner for a small clinic, and for an owner managing a chronically ill animal at home — a route nobody else on this tab operates. Small company, but a genuinely different commercial model worth understanding." r:id="rId19"/>
    <hyperlink xmlns:r="http://schemas.openxmlformats.org/officeDocument/2006/relationships" ref="H26" display="Taiwanese biomedical supplier established 2010 selling instruments, equipment and dedicated consumables. RELEVANCE CORRECTION: opening rongchun.com.tw showed a HUMAN medical device supplier — blood-pressure monitors, glucometers, and clinic equipment sales, repair and rental across Taiwan. No veterinary business is mentioned anywhere on the site, and an earlier note guessing at a veterinary share was wrong. The residual argument is that equipment repair and rental capability is genuinely useful and the veterinary segment would be new revenue rather than cannibalised revenue — but treat this as cold-segment prospecting, not as a veterinary dealer." r:id="rId20"/>
    <hyperlink xmlns:r="http://schemas.openxmlformats.org/officeDocument/2006/relationships" ref="H27" display="Taipei veterinary supplier with a broad line card organised by clinical department: Mindray ultrasound, Mindray haematology, VetScan rapid tests, Mindray ePM 12M Vet and uMEC12 Vet monitors, Nellcor SpO2, Parks Doppler BP, Mindray anaesthesia and VieWorks fluorescence imaging. Runs its own laboratory and publishing arm. RELEVANCE CORRECTION: an earlier read of this company as a monitoring-only house was wrong — opening the catalogue showed a Mindray veterinary channel. A head-to-head portable pitch will fail. What remains genuinely useful is their department-by-department reach and their education output; the only wedge is the pocket tier below Mindray's own portable range." r:id="rId21"/>
    <hyperlink xmlns:r="http://schemas.openxmlformats.org/officeDocument/2006/relationships" ref="L28" r:id="rId22"/>
    <hyperlink xmlns:r="http://schemas.openxmlformats.org/officeDocument/2006/relationships" ref="L29" r:id="rId23"/>
    <hyperlink xmlns:r="http://schemas.openxmlformats.org/officeDocument/2006/relationships" ref="L30" r:id="rId24"/>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25"/>
  <sheetViews>
    <sheetView workbookViewId="0">
      <pane ySplit="4" topLeftCell="A5" activePane="bottomLeft" state="frozen"/>
      <selection pane="bottomLeft" activeCell="A1" sqref="A1"/>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SINGAPORE: VETERINARY DEALER / DISTRIBUTOR TARGETS (NEW IN v11)</t>
        </is>
      </c>
    </row>
    <row r="2" ht="30" customHeight="1" s="114">
      <c r="A2" s="17" t="inlineStr">
        <is>
          <t>Dealer model, as agreed with Jerry for all four markets. AstraMed is CHISON's own subsidiary in Singapore and supports every unit locally. Veterinary health products sit outside the Health Products Act device regime; confirm the position in writing with AVS before the first order. Former dealers AJJ, Medical Plus, AMF and Smitch Tech are NOT to be reappointed (see Reference tab).</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v>
      </c>
      <c r="B5" s="41" t="inlineStr">
        <is>
          <t>Sage Healthcare Pte Ltd</t>
        </is>
      </c>
      <c r="C5" s="113" t="inlineStr">
        <is>
          <t>Sage Healthcare Pte Ltd</t>
        </is>
      </c>
      <c r="D5" s="42" t="inlineStr">
        <is>
          <t>Contacted</t>
        </is>
      </c>
      <c r="E5" s="43" t="inlineStr">
        <is>
          <t>Casper</t>
        </is>
      </c>
      <c r="F5" s="44" t="inlineStr">
        <is>
          <t>Intro email sent 28 Sep 2026 from casper@astramed.sg with CHISON VET Introduction 2027 attached. Follow up by phone or email if no reply</t>
        </is>
      </c>
      <c r="G5" s="121" t="n">
        <v>46300</v>
      </c>
      <c r="H5" s="46" t="inlineStr">
        <is>
          <t>Singapore distributor of medical and veterinary supplies holding HSA licences for therapeutic products and medical devices. Brands include Zoetis, Heska, AnTech Diagnostics, iM3, Greiner Bio-One and ASA Laser, serving veterinarians, researchers and clinicians in private and public sectors.</t>
        </is>
      </c>
      <c r="I5" s="113" t="inlineStr">
        <is>
          <t>Veterinary and medical distributor; diagnostics, dental, laser, consumables</t>
        </is>
      </c>
      <c r="J5" s="113" t="inlineStr">
        <is>
          <t>Not identified in the published brand list; confirm whether any Heska imaging is carried</t>
        </is>
      </c>
      <c r="K5" s="46" t="inlineStr">
        <is>
          <t>Singapore</t>
        </is>
      </c>
      <c r="L5" s="108" t="inlineStr">
        <is>
          <t>https://sagehealthcare.sg/</t>
        </is>
      </c>
      <c r="M5" s="113" t="inlineStr">
        <is>
          <t>TEL +65 6415 8762 · FAX +65 6251 9635</t>
        </is>
      </c>
      <c r="N5" s="113" t="inlineStr">
        <is>
          <t>customerservice@sagehealthcare.sg</t>
        </is>
      </c>
      <c r="O5" s="41" t="inlineStr">
        <is>
          <t>26 Sin Ming Lane, #06-126/127, Midview City, Singapore 573971</t>
        </is>
      </c>
      <c r="P5" s="113" t="inlineStr">
        <is>
          <t>A · VERIFIED DIRECT (email, phone and address off the company home page, opened 27 Sep 2026)</t>
        </is>
      </c>
      <c r="Q5" s="113" t="inlineStr">
        <is>
          <t>The most complete veterinary distributor found in Singapore, already licensed and already calling on clinics with capital lines (iM3 dental, ASA laser). Moved here from the End Users tab in v11.</t>
        </is>
      </c>
      <c r="R5" s="113" t="inlineStr">
        <is>
          <t>SonoEye P3 VET and SonoAir 70 VET</t>
        </is>
      </c>
      <c r="S5" s="110" t="inlineStr">
        <is>
          <t>TIER 1</t>
        </is>
      </c>
      <c r="T5" s="49" t="inlineStr">
        <is>
          <t>HIGH · licensed, capital equipment experience, no ultrasound identified</t>
        </is>
      </c>
      <c r="U5" s="113" t="inlineStr">
        <is>
          <t>D</t>
        </is>
      </c>
      <c r="V5" s="113" t="inlineStr">
        <is>
          <t>Moved from Singapore End Users in v11 · home page fetched 27 Sep 2026</t>
        </is>
      </c>
      <c r="W5" s="50" t="inlineStr">
        <is>
          <t>Sage Healthcare Pte Ltd: an ultrasound line for your veterinary accounts</t>
        </is>
      </c>
      <c r="X5" s="50" t="inlineStr">
        <is>
          <t>Dear Sage Healthcare Pte Ltd team,
My name is Casper Tan, Senior Regional Sales Manager at AstraMed Healthcare, a subsidiary of CHISON Medical Technologies. I cover Japan, South Korea, Taiwan and Singapore for CHISON veterinary ultrasound. I am writing to Sage Healthcare Pte Ltd specifically, not to a list. You already bring capital equipment such as iM3 dental and ASA laser into Singapore clinics, under your own HSA licences.
CHISON's veterinary handhelds and portables would sit beside those lines without overlap, with AstraMed handling application training and service locally.
For context: AstraMed is CHISON's own subsidiary in Singapore, and we are appointing a small number of veterinary distribution partners here rather than selling around them.
The product I would put in front of you first is the SonoEye P3 VET and SonoAir 70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6" ht="165" customHeight="1" s="114">
      <c r="A6" s="113" t="n">
        <v>2</v>
      </c>
      <c r="B6" s="41" t="inlineStr">
        <is>
          <t>Wildlife &amp; Veterinary Supplies</t>
        </is>
      </c>
      <c r="C6" s="113" t="inlineStr">
        <is>
          <t>Wildlife &amp; Veterinary Supplies (Wildlife &amp; Veterinary Products Pte. Ltd.)</t>
        </is>
      </c>
      <c r="D6" s="42" t="inlineStr">
        <is>
          <t>Not started</t>
        </is>
      </c>
      <c r="E6" s="43" t="inlineStr">
        <is>
          <t>Casper</t>
        </is>
      </c>
      <c r="F6" s="44" t="inlineStr">
        <is>
          <t>Copy email from contact page, or call the published sales line</t>
        </is>
      </c>
      <c r="G6" s="45" t="n"/>
      <c r="H6" s="46" t="inlineStr">
        <is>
          <t>Woodlands based importer and distributor of veterinary and zoological products: 23 brands including Dechra, Elanco, MSD, Vetafarm, Vetark and Wombaroo, covering companion, avian, reptile, aquaculture, zoo and large animal work, plus medical equipment.</t>
        </is>
      </c>
      <c r="I6" s="113" t="inlineStr">
        <is>
          <t>Veterinary and zoological importer and distributor</t>
        </is>
      </c>
      <c r="J6" s="113" t="inlineStr">
        <is>
          <t>Not identified; confirm</t>
        </is>
      </c>
      <c r="K6" s="46" t="inlineStr">
        <is>
          <t>Singapore (Woodlands)</t>
        </is>
      </c>
      <c r="L6" s="108" t="inlineStr">
        <is>
          <t>https://wildvetsupplies.net/contact-us</t>
        </is>
      </c>
      <c r="M6" s="113" t="inlineStr">
        <is>
          <t>TEL +65 6269 8512 / 6269 8513 · sales mobiles published on the site: Chyefang Oh +65 9456 7401, Derrick Tan +65 9383 3369</t>
        </is>
      </c>
      <c r="N6" s="113" t="inlineStr">
        <is>
          <t>Shown on wildvetsupplies.net/contact-us (address hidden from automated readers; copy it from the page)</t>
        </is>
      </c>
      <c r="O6" s="41" t="inlineStr">
        <is>
          <t>61 Woodlands Industrial Park E9, Singapore 757047</t>
        </is>
      </c>
      <c r="P6" s="113" t="inlineStr">
        <is>
          <t>A · VERIFIED DIRECT (phones and address off the company contact page, opened 27 Sep 2026; email must be copied manually)</t>
        </is>
      </c>
      <c r="Q6" s="113" t="inlineStr">
        <is>
          <t>Unique reach into exotics, avian, aquaculture and zoo accounts, which is where the high frequency SonoEye P5 VET fits. Published sales mobiles make a phone introduction easy.</t>
        </is>
      </c>
      <c r="R6" s="113" t="inlineStr">
        <is>
          <t>SonoEye P5 VET (exotics and avian) and SonoEye P3 VET</t>
        </is>
      </c>
      <c r="S6" s="110" t="inlineStr">
        <is>
          <t>TIER 1</t>
        </is>
      </c>
      <c r="T6" s="49" t="inlineStr">
        <is>
          <t>HIGH · exotics and zoo reach, no ultrasound identified</t>
        </is>
      </c>
      <c r="U6" s="113" t="inlineStr">
        <is>
          <t>E</t>
        </is>
      </c>
      <c r="V6" s="113" t="inlineStr">
        <is>
          <t>New in v11 · contact page fetched 27 Sep 2026</t>
        </is>
      </c>
      <c r="W6" s="50" t="inlineStr">
        <is>
          <t>Wildlife &amp; Veterinary Supplies: a handheld for exotic and zoo practice</t>
        </is>
      </c>
      <c r="X6" s="50" t="inlineStr">
        <is>
          <t>Dear Wildlife &amp; Veterinary Supplies team,
My name is Casper Tan, Senior Regional Sales Manager at AstraMed Healthcare, a subsidiary of CHISON Medical Technologies. I cover Japan, South Korea, Taiwan and Singapore for CHISON veterinary ultrasound. I am writing to Wildlife &amp; Veterinary Supplies specifically, not to a list. You supply the practices that see birds, reptiles, aquatic species and zoo animals, where small footprints and high frequency probes matter most.
CHISON's veterinary handhelds and portables are an easy second line for a house that already calls on animal hospitals: same buyer, a short sales cycle, and nothing that overlaps with what you carry today.
For context: AstraMed is CHISON's own subsidiary in Singapore, and we are appointing a small number of veterinary distribution partners here rather than selling around them.
The product I would put in front of you first is the SonoEye P5 VET (exotics and avian) and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7" ht="165" customHeight="1" s="114">
      <c r="A7" s="113" t="n">
        <v>3</v>
      </c>
      <c r="B7" s="41" t="inlineStr">
        <is>
          <t>Vedmed Agri Pte Ltd</t>
        </is>
      </c>
      <c r="C7" s="113" t="inlineStr">
        <is>
          <t>Vedmed Agri Pte Ltd</t>
        </is>
      </c>
      <c r="D7" s="42" t="inlineStr">
        <is>
          <t>Contacted</t>
        </is>
      </c>
      <c r="E7" s="43" t="inlineStr">
        <is>
          <t>Casper</t>
        </is>
      </c>
      <c r="F7" s="44" t="inlineStr">
        <is>
          <t>Intro email sent 28 Sep 2026 from casper@astramed.sg with CHISON VET Introduction 2027 attached. Follow up by phone or email if no reply</t>
        </is>
      </c>
      <c r="G7" s="121" t="n">
        <v>46300</v>
      </c>
      <c r="H7" s="46" t="inlineStr">
        <is>
          <t>Singapore distributor of veterinary pharmaceuticals, supplements, dental and diagnostic products, supplying over 100 veterinary clinics and animal hospitals in Singapore and Southeast Asia.</t>
        </is>
      </c>
      <c r="I7" s="113" t="inlineStr">
        <is>
          <t>Veterinary pharmaceutical and diagnostics distributor</t>
        </is>
      </c>
      <c r="J7" s="113" t="inlineStr">
        <is>
          <t>Not identified</t>
        </is>
      </c>
      <c r="K7" s="46" t="inlineStr">
        <is>
          <t>Singapore and Southeast Asia</t>
        </is>
      </c>
      <c r="L7" s="108" t="inlineStr">
        <is>
          <t>https://vedmedagri.net/</t>
        </is>
      </c>
      <c r="M7" s="113" t="inlineStr">
        <is>
          <t>TEL 6710 7768 · WhatsApp +65 8823 2079</t>
        </is>
      </c>
      <c r="N7" s="113" t="inlineStr">
        <is>
          <t>contact@vedmedagri.net</t>
        </is>
      </c>
      <c r="O7" s="41" t="inlineStr">
        <is>
          <t>7 Gambas Crescent, ARK@Gambas, #08-22, Singapore 757087</t>
        </is>
      </c>
      <c r="P7" s="113" t="inlineStr">
        <is>
          <t>A · VERIFIED DIRECT (email, phone and address off the company contact page, opened 27 Sep 2026)</t>
        </is>
      </c>
      <c r="Q7" s="113" t="inlineStr">
        <is>
          <t>Archetype E. A call cycle into 100 plus clinics and a regional footprint; capital equipment experience unconfirmed.</t>
        </is>
      </c>
      <c r="R7" s="113" t="inlineStr">
        <is>
          <t>SonoEye P3 VET</t>
        </is>
      </c>
      <c r="S7" s="109" t="inlineStr">
        <is>
          <t>TIER 2</t>
        </is>
      </c>
      <c r="T7" s="49" t="inlineStr">
        <is>
          <t>MEDIUM · pharma channel, equipment experience unconfirmed</t>
        </is>
      </c>
      <c r="U7" s="113" t="inlineStr">
        <is>
          <t>E</t>
        </is>
      </c>
      <c r="V7" s="113" t="inlineStr">
        <is>
          <t>New in v11 · contact page fetched 27 Sep 2026</t>
        </is>
      </c>
      <c r="W7" s="50" t="inlineStr">
        <is>
          <t>Vedmed Agri Pte Ltd: a handheld line for your clinic accounts</t>
        </is>
      </c>
      <c r="X7" s="50" t="inlineStr">
        <is>
          <t>Dear Vedmed Agri Pte Ltd team,
My name is Casper Tan, Senior Regional Sales Manager at AstraMed Healthcare, a subsidiary of CHISON Medical Technologies. I cover Japan, South Korea, Taiwan and Singapore for CHISON veterinary ultrasound. I am writing to Vedmed Agri Pte Ltd specifically, not to a list. You supply more than a hundred clinics and animal hospitals across Singapore and the region.
CHISON's veterinary handhelds and portables are an easy second line for a house that already calls on animal hospitals: same buyer, a short sales cycle, and nothing that overlaps with what you carry today.
For context: AstraMed is CHISON's own subsidiary in Singapore, and we are appointing a small number of veterinary distribution partners here rather than selling around them.
The product I would put in front of you first is the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8" ht="165" customHeight="1" s="114">
      <c r="A8" s="113" t="n">
        <v>4</v>
      </c>
      <c r="B8" s="41" t="inlineStr">
        <is>
          <t>Singapore Veterinary Imaging Pte Ltd</t>
        </is>
      </c>
      <c r="C8" s="113" t="inlineStr">
        <is>
          <t>Singapore Veterinary Imaging Pte Ltd</t>
        </is>
      </c>
      <c r="D8" s="42" t="inlineStr">
        <is>
          <t>Contacted</t>
        </is>
      </c>
      <c r="E8" s="43" t="inlineStr">
        <is>
          <t>Casper</t>
        </is>
      </c>
      <c r="F8" s="44" t="inlineStr">
        <is>
          <t>Intro email sent 28 Sep 2026 from casper@astramed.sg with CHISON VET Introduction 2027 attached. Follow up by phone or email if no reply</t>
        </is>
      </c>
      <c r="G8" s="121" t="n">
        <v>46300</v>
      </c>
      <c r="H8" s="46" t="inlineStr">
        <is>
          <t>Mobile ultrasound referral service that performs abdominal, cardiac and small parts scans inside other clinics and hospitals, with a team of imaging veterinarians. Why it matters: they influence which scanners Singapore clinics trust, and they are a buyer themselves.</t>
        </is>
      </c>
      <c r="I8" s="113" t="inlineStr">
        <is>
          <t>Mobile veterinary ultrasound referral service (channel influencer and buyer)</t>
        </is>
      </c>
      <c r="J8" s="113" t="inlineStr">
        <is>
          <t>YES · uses portable units (brand not published)</t>
        </is>
      </c>
      <c r="K8" s="46" t="inlineStr">
        <is>
          <t>Singapore, island wide</t>
        </is>
      </c>
      <c r="L8" s="108" t="inlineStr">
        <is>
          <t>https://www.svi.com.sg/</t>
        </is>
      </c>
      <c r="M8" s="113" t="inlineStr">
        <is>
          <t>Not published on the home page</t>
        </is>
      </c>
      <c r="N8" s="113" t="inlineStr">
        <is>
          <t>support@svi.com.sg</t>
        </is>
      </c>
      <c r="O8" s="41" t="inlineStr">
        <is>
          <t>Not published</t>
        </is>
      </c>
      <c r="P8" s="113" t="inlineStr">
        <is>
          <t>B · VERIFIED PARTIAL (email off the company site, opened 27 Sep 2026; no phone published)</t>
        </is>
      </c>
      <c r="Q8" s="113" t="inlineStr">
        <is>
          <t>Archetype G. Not a distributor: a KOL and reference channel. A demo here reaches every clinic they visit, and their feedback is the best clinical proof we can get locally.</t>
        </is>
      </c>
      <c r="R8" s="113" t="inlineStr">
        <is>
          <t>SonoAir 70 VET portable (evaluation) and SonoEye P3 VET</t>
        </is>
      </c>
      <c r="S8" s="110" t="inlineStr">
        <is>
          <t>TIER 1</t>
        </is>
      </c>
      <c r="T8" s="49" t="inlineStr">
        <is>
          <t>HIGH · KOL and reference value; possible buyer</t>
        </is>
      </c>
      <c r="U8" s="113" t="inlineStr">
        <is>
          <t>G</t>
        </is>
      </c>
      <c r="V8" s="113" t="inlineStr">
        <is>
          <t>New in v11 · home page fetched 27 Sep 2026</t>
        </is>
      </c>
      <c r="W8" s="50" t="inlineStr">
        <is>
          <t>Singapore Veterinary Imaging: an evaluation unit for your mobile service</t>
        </is>
      </c>
      <c r="X8" s="50" t="inlineStr">
        <is>
          <t>Dear Singapore Veterinary Imaging Pte Ltd team,
My name is Casper Tan, Senior Regional Sales Manager at AstraMed Healthcare, a subsidiary of CHISON Medical Technologies. I cover Japan, South Korea, Taiwan and Singapore for CHISON veterinary ultrasound. I am writing to Singapore Veterinary Imaging Pte Ltd specifically, not to a list. Your team scans inside clinics across Singapore every week, so you know better than anyone what a portable system has to do.
Ultrasound is learned by doing, and clinics tend to buy the scanner they were trained on. CHISON would like to support teaching and hands on programmes with equipment and clinical material.
For context: AstraMed is CHISON's own subsidiary in Singapore, and we are appointing a small number of veterinary distribution partners here rather than selling around them.
The product I would put in front of you first is the SonoAir 70 VET portable (evaluation) and SonoEye P3 VET.
Would you be open to evaluating a CHISON portable on your own cases for a few weeks, with no commitment?
Best regards,
Casper Tan
Senior Regional Sales Manager
AstraMed Healthcare, a subsidiary of CHISON Medical Technologies
casper@astramed.sg | +65 8719 0121</t>
        </is>
      </c>
    </row>
    <row r="9"/>
    <row r="10">
      <c r="A10" s="10">
        <f>COUNTIF(S5:S8,"TIER 1")</f>
        <v/>
      </c>
      <c r="B10" s="10" t="inlineStr">
        <is>
          <t>Tier 1: contact first</t>
        </is>
      </c>
    </row>
    <row r="11">
      <c r="A11" s="10">
        <f>COUNTIF(S5:S8,"TIER 2")</f>
        <v/>
      </c>
      <c r="B11" s="10" t="inlineStr">
        <is>
          <t>Tier 2: qualify first</t>
        </is>
      </c>
    </row>
    <row r="12">
      <c r="A12" s="10">
        <f>COUNTIF(S5:S8,"TIER 3")</f>
        <v/>
      </c>
      <c r="B12" s="10" t="inlineStr">
        <is>
          <t>Tier 3: long tail</t>
        </is>
      </c>
    </row>
    <row r="13">
      <c r="A13" s="10">
        <f>COUNTIF(S5:S8,"MFR*")</f>
        <v/>
      </c>
      <c r="B13" s="10" t="inlineStr">
        <is>
          <t>MFR: manufacturer or supplier, complementary line only</t>
        </is>
      </c>
    </row>
    <row r="14"/>
    <row r="15">
      <c r="A15" s="10">
        <f>COUNTIF(T5:T8,"HIGH*")</f>
        <v/>
      </c>
      <c r="B15" s="10" t="inlineStr">
        <is>
          <t>Buying / distribution potential HIGH</t>
        </is>
      </c>
    </row>
    <row r="16">
      <c r="A16" s="10">
        <f>COUNTIF(T5:T8,"MEDIUM*")</f>
        <v/>
      </c>
      <c r="B16" s="10" t="inlineStr">
        <is>
          <t>Buying / distribution potential MEDIUM</t>
        </is>
      </c>
    </row>
    <row r="17">
      <c r="A17" s="10">
        <f>COUNTIF(T5:T8,"LOW*")</f>
        <v/>
      </c>
      <c r="B17" s="10" t="inlineStr">
        <is>
          <t>Buying / distribution potential LOW</t>
        </is>
      </c>
    </row>
    <row r="18"/>
    <row r="19">
      <c r="A19" s="10">
        <f>COUNTIF(P5:P8,"A*")</f>
        <v/>
      </c>
      <c r="B19" s="10" t="inlineStr">
        <is>
          <t>Contacts graded A: verified phone and/or email</t>
        </is>
      </c>
    </row>
    <row r="20">
      <c r="A20" s="10">
        <f>COUNTIF(P5:P8,"B*")</f>
        <v/>
      </c>
      <c r="B20" s="10" t="inlineStr">
        <is>
          <t>Contacts graded B: site verified, enquiry form or partial</t>
        </is>
      </c>
    </row>
    <row r="21">
      <c r="A21" s="10">
        <f>COUNTIF(P5:P8,"C*")</f>
        <v/>
      </c>
      <c r="B21" s="10" t="inlineStr">
        <is>
          <t>Contacts graded C: site live or listed, not opened by us</t>
        </is>
      </c>
    </row>
    <row r="22">
      <c r="A22" s="10">
        <f>COUNTIF(P5:P8,"D*")</f>
        <v/>
      </c>
      <c r="B22" s="10" t="inlineStr">
        <is>
          <t>Contacts graded D: NOT VERIFIED, confirm before contacting</t>
        </is>
      </c>
    </row>
    <row r="23">
      <c r="A23" s="10">
        <f>COUNTIF(N5:N8,"*@*")</f>
        <v/>
      </c>
      <c r="B23" s="10" t="inlineStr">
        <is>
          <t>Rows with a real email address in column N (ready for Winmail drafting)</t>
        </is>
      </c>
    </row>
    <row r="24"/>
    <row r="25">
      <c r="A25" s="10">
        <f>COUNTA(B5:B8)</f>
        <v/>
      </c>
      <c r="B25" s="10" t="inlineStr">
        <is>
          <t>TOTAL companies on this tab, every one with a ready to send email</t>
        </is>
      </c>
    </row>
  </sheetData>
  <autoFilter ref="A4:X8"/>
  <conditionalFormatting sqref="D5:D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8" showDropDown="0" showInputMessage="0" showErrorMessage="0" allowBlank="1" type="list">
      <formula1>"Not started,Contacted,Meeting booked,Meeting held,Evaluation placed,Quoted,Won,Declined,Parked"</formula1>
    </dataValidation>
    <dataValidation sqref="E5:E8" showDropDown="0" showInputMessage="0" showErrorMessage="0" allowBlank="1" type="list">
      <formula1>"Casper,AstraMed Regulatory,CHISON RA,Unassigned"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9"/>
  <sheetViews>
    <sheetView workbookViewId="0">
      <pane ySplit="4" topLeftCell="A5" activePane="bottomLeft" state="frozen"/>
      <selection pane="bottomLeft" activeCell="A1" sqref="A1"/>
    </sheetView>
  </sheetViews>
  <sheetFormatPr baseColWidth="8" defaultRowHeight="15"/>
  <cols>
    <col width="4" customWidth="1" style="114" min="1" max="1"/>
    <col width="11" customWidth="1" style="114" min="2" max="2"/>
    <col width="11" customWidth="1" style="114" min="3" max="3"/>
    <col width="26" customWidth="1" style="114" min="4" max="4"/>
    <col width="30" customWidth="1" style="114" min="5" max="5"/>
    <col width="28" customWidth="1" style="114" min="6" max="6"/>
    <col width="28" customWidth="1" style="114" min="7" max="7"/>
    <col width="52" customWidth="1" style="114" min="8" max="8"/>
    <col width="30" customWidth="1" style="114" min="9" max="9"/>
    <col width="9" customWidth="1" style="114" min="10" max="10"/>
    <col width="12" customWidth="1" style="114" min="11" max="11"/>
    <col width="12" customWidth="1" style="114" min="12" max="12"/>
    <col width="30" customWidth="1" style="114" min="13" max="13"/>
    <col width="11" customWidth="1" style="114" min="14" max="14"/>
  </cols>
  <sheetData>
    <row r="1">
      <c r="A1" s="122" t="inlineStr">
        <is>
          <t>OUTREACH LOG: every dealer email sent, one row per send</t>
        </is>
      </c>
    </row>
    <row r="2">
      <c r="A2" s="123" t="inlineStr">
        <is>
          <t>Add a row each time an email goes out. Update Reply received and move the Pipeline Stage on the market tab when a dealer answers.</t>
        </is>
      </c>
    </row>
    <row r="3"/>
    <row r="4">
      <c r="A4" s="124" t="inlineStr">
        <is>
          <t>#</t>
        </is>
      </c>
      <c r="B4" s="124" t="inlineStr">
        <is>
          <t>Date sent</t>
        </is>
      </c>
      <c r="C4" s="124" t="inlineStr">
        <is>
          <t>Market</t>
        </is>
      </c>
      <c r="D4" s="124" t="inlineStr">
        <is>
          <t>Company (local)</t>
        </is>
      </c>
      <c r="E4" s="124" t="inlineStr">
        <is>
          <t>Company (EN)</t>
        </is>
      </c>
      <c r="F4" s="124" t="inlineStr">
        <is>
          <t>To</t>
        </is>
      </c>
      <c r="G4" s="124" t="inlineStr">
        <is>
          <t>CC</t>
        </is>
      </c>
      <c r="H4" s="124" t="inlineStr">
        <is>
          <t>Subject</t>
        </is>
      </c>
      <c r="I4" s="124" t="inlineStr">
        <is>
          <t>Attachment</t>
        </is>
      </c>
      <c r="J4" s="124" t="inlineStr">
        <is>
          <t>Tier</t>
        </is>
      </c>
      <c r="K4" s="124" t="inlineStr">
        <is>
          <t>Follow up by</t>
        </is>
      </c>
      <c r="L4" s="124" t="inlineStr">
        <is>
          <t>Reply received</t>
        </is>
      </c>
      <c r="M4" s="124" t="inlineStr">
        <is>
          <t>Notes</t>
        </is>
      </c>
      <c r="N4" s="124" t="inlineStr">
        <is>
          <t>Channel</t>
        </is>
      </c>
    </row>
    <row r="5">
      <c r="A5" s="125" t="n">
        <v>1</v>
      </c>
      <c r="B5" s="126" t="n">
        <v>46293</v>
      </c>
      <c r="C5" s="125" t="inlineStr">
        <is>
          <t>South Korea</t>
        </is>
      </c>
      <c r="D5" s="125" t="inlineStr">
        <is>
          <t>㈜포스콤 (POSKOM)</t>
        </is>
      </c>
      <c r="E5" s="125" t="inlineStr">
        <is>
          <t>POSKOM Co., Ltd.</t>
        </is>
      </c>
      <c r="F5" s="125" t="inlineStr">
        <is>
          <t>sales@poskom.com</t>
        </is>
      </c>
      <c r="G5" s="125" t="inlineStr"/>
      <c r="H5" s="125" t="inlineStr">
        <is>
          <t>POSKOM Co., Ltd.: the gap in your imaging line</t>
        </is>
      </c>
      <c r="I5" s="125" t="inlineStr">
        <is>
          <t>CHISON_VET Introduction 2027_v2.pdf</t>
        </is>
      </c>
      <c r="J5" s="125" t="inlineStr">
        <is>
          <t>TIER 1</t>
        </is>
      </c>
      <c r="K5" s="126" t="n">
        <v>46300</v>
      </c>
      <c r="L5" s="125" t="inlineStr">
        <is>
          <t>No</t>
        </is>
      </c>
      <c r="M5" s="125" t="inlineStr"/>
      <c r="N5" s="125" t="inlineStr">
        <is>
          <t>Dealer</t>
        </is>
      </c>
    </row>
    <row r="6">
      <c r="A6" s="125" t="n">
        <v>2</v>
      </c>
      <c r="B6" s="126" t="n">
        <v>46293</v>
      </c>
      <c r="C6" s="125" t="inlineStr">
        <is>
          <t>South Korea</t>
        </is>
      </c>
      <c r="D6" s="125" t="inlineStr">
        <is>
          <t>㈜제이피아이헬스케어</t>
        </is>
      </c>
      <c r="E6" s="125" t="inlineStr">
        <is>
          <t>JPI Healthcare Co., Ltd. (JPI Animal Health)</t>
        </is>
      </c>
      <c r="F6" s="125" t="inlineStr">
        <is>
          <t>sales@jpi.co.kr</t>
        </is>
      </c>
      <c r="G6" s="125" t="inlineStr">
        <is>
          <t>global@jpi.co.kr</t>
        </is>
      </c>
      <c r="H6" s="125" t="inlineStr">
        <is>
          <t>JPI Healthcare Co., Ltd. (JPI Animal Health): the ultrasound room in your turnkey package</t>
        </is>
      </c>
      <c r="I6" s="125" t="inlineStr">
        <is>
          <t>CHISON_VET Introduction 2027_v2.pdf</t>
        </is>
      </c>
      <c r="J6" s="125" t="inlineStr">
        <is>
          <t>TIER 1</t>
        </is>
      </c>
      <c r="K6" s="126" t="n">
        <v>46300</v>
      </c>
      <c r="L6" s="125" t="inlineStr">
        <is>
          <t>No</t>
        </is>
      </c>
      <c r="M6" s="125" t="inlineStr">
        <is>
          <t>Appears twice in Sent on 28 Sep (sent twice).</t>
        </is>
      </c>
      <c r="N6" s="125" t="inlineStr">
        <is>
          <t>Dealer</t>
        </is>
      </c>
    </row>
    <row r="7">
      <c r="A7" s="125" t="n">
        <v>3</v>
      </c>
      <c r="B7" s="126" t="n">
        <v>46293</v>
      </c>
      <c r="C7" s="125" t="inlineStr">
        <is>
          <t>South Korea</t>
        </is>
      </c>
      <c r="D7" s="125" t="inlineStr">
        <is>
          <t>㈜브이에스아이</t>
        </is>
      </c>
      <c r="E7" s="125" t="inlineStr">
        <is>
          <t>VSI Co., Ltd.</t>
        </is>
      </c>
      <c r="F7" s="125" t="inlineStr">
        <is>
          <t>sales2@vsi.co.kr</t>
        </is>
      </c>
      <c r="G7" s="125" t="inlineStr">
        <is>
          <t>sales@vsi.co.kr</t>
        </is>
      </c>
      <c r="H7" s="125" t="inlineStr">
        <is>
          <t>VSI Co., Ltd.: portable ultrasound to sit beside the VX-100vet</t>
        </is>
      </c>
      <c r="I7" s="125" t="inlineStr">
        <is>
          <t>CHISON_VET Introduction 2027_v2.pdf</t>
        </is>
      </c>
      <c r="J7" s="125" t="inlineStr">
        <is>
          <t>TIER 2</t>
        </is>
      </c>
      <c r="K7" s="126" t="n">
        <v>46300</v>
      </c>
      <c r="L7" s="125" t="inlineStr">
        <is>
          <t>No</t>
        </is>
      </c>
      <c r="M7" s="125" t="inlineStr"/>
      <c r="N7" s="125" t="inlineStr">
        <is>
          <t>Dealer</t>
        </is>
      </c>
    </row>
    <row r="8">
      <c r="A8" s="125" t="n">
        <v>4</v>
      </c>
      <c r="B8" s="126" t="n">
        <v>46293</v>
      </c>
      <c r="C8" s="125" t="inlineStr">
        <is>
          <t>South Korea</t>
        </is>
      </c>
      <c r="D8" s="125" t="inlineStr">
        <is>
          <t>㈜베텍코리아 (블루벳)</t>
        </is>
      </c>
      <c r="E8" s="125" t="inlineStr">
        <is>
          <t>Vetteckorea Co., Ltd. (BlueVet)</t>
        </is>
      </c>
      <c r="F8" s="125" t="inlineStr">
        <is>
          <t>bluevet@vettec.co.kr</t>
        </is>
      </c>
      <c r="G8" s="125" t="inlineStr"/>
      <c r="H8" s="125" t="inlineStr">
        <is>
          <t>BlueVet: a veterinary handheld for your animal hospital members</t>
        </is>
      </c>
      <c r="I8" s="125" t="inlineStr">
        <is>
          <t>CHISON_VET Introduction 2027_v2.pdf</t>
        </is>
      </c>
      <c r="J8" s="125" t="inlineStr">
        <is>
          <t>TIER 2</t>
        </is>
      </c>
      <c r="K8" s="126" t="n">
        <v>46300</v>
      </c>
      <c r="L8" s="125" t="inlineStr">
        <is>
          <t>No</t>
        </is>
      </c>
      <c r="M8" s="125" t="inlineStr"/>
      <c r="N8" s="125" t="inlineStr">
        <is>
          <t>Dealer</t>
        </is>
      </c>
    </row>
    <row r="9">
      <c r="A9" s="125" t="n">
        <v>5</v>
      </c>
      <c r="B9" s="126" t="n">
        <v>46293</v>
      </c>
      <c r="C9" s="125" t="inlineStr">
        <is>
          <t>South Korea</t>
        </is>
      </c>
      <c r="D9" s="125" t="inlineStr">
        <is>
          <t>벳온</t>
        </is>
      </c>
      <c r="E9" s="125" t="inlineStr">
        <is>
          <t>VETON</t>
        </is>
      </c>
      <c r="F9" s="125" t="inlineStr">
        <is>
          <t>office@vetonkorea.com</t>
        </is>
      </c>
      <c r="G9" s="125" t="inlineStr"/>
      <c r="H9" s="125" t="inlineStr">
        <is>
          <t>VETON: a high frequency handheld for dermatology cases</t>
        </is>
      </c>
      <c r="I9" s="125" t="inlineStr">
        <is>
          <t>CHISON_VET Introduction 2027_v2.pdf</t>
        </is>
      </c>
      <c r="J9" s="125" t="inlineStr">
        <is>
          <t>TIER 3</t>
        </is>
      </c>
      <c r="K9" s="126" t="n">
        <v>46300</v>
      </c>
      <c r="L9" s="125" t="inlineStr">
        <is>
          <t>No</t>
        </is>
      </c>
      <c r="M9" s="125" t="inlineStr"/>
      <c r="N9" s="125" t="inlineStr">
        <is>
          <t>Dealer</t>
        </is>
      </c>
    </row>
    <row r="10">
      <c r="A10" s="125" t="n">
        <v>6</v>
      </c>
      <c r="B10" s="126" t="n">
        <v>46293</v>
      </c>
      <c r="C10" s="125" t="inlineStr">
        <is>
          <t>Taiwan</t>
        </is>
      </c>
      <c r="D10" s="125" t="inlineStr">
        <is>
          <t>健聖興業股份有限公司（OpenVet）</t>
        </is>
      </c>
      <c r="E10" s="125" t="inlineStr">
        <is>
          <t>Cheng Shen Agri-Med Co., Ltd. (OpenVet)</t>
        </is>
      </c>
      <c r="F10" s="125" t="inlineStr">
        <is>
          <t>service@openvet.com</t>
        </is>
      </c>
      <c r="G10" s="125" t="inlineStr"/>
      <c r="H10" s="125" t="inlineStr">
        <is>
          <t>Cheng Shen Agri-Med Co., Ltd. (OpenVet): a first scanner for the clinics you equip</t>
        </is>
      </c>
      <c r="I10" s="125" t="inlineStr">
        <is>
          <t>CHISON_VET Introduction 2027_v2.pdf</t>
        </is>
      </c>
      <c r="J10" s="125" t="inlineStr">
        <is>
          <t>TIER 1</t>
        </is>
      </c>
      <c r="K10" s="126" t="n">
        <v>46300</v>
      </c>
      <c r="L10" s="125" t="inlineStr">
        <is>
          <t>No</t>
        </is>
      </c>
      <c r="M10" s="125" t="inlineStr"/>
      <c r="N10" s="125" t="inlineStr">
        <is>
          <t>Dealer</t>
        </is>
      </c>
    </row>
    <row r="11">
      <c r="A11" s="125" t="n">
        <v>7</v>
      </c>
      <c r="B11" s="126" t="n">
        <v>46293</v>
      </c>
      <c r="C11" s="125" t="inlineStr">
        <is>
          <t>Taiwan</t>
        </is>
      </c>
      <c r="D11" s="125" t="inlineStr">
        <is>
          <t>富邦國際生醫科技有限公司 — AHOSS</t>
        </is>
      </c>
      <c r="E11" s="125" t="inlineStr">
        <is>
          <t>Fubon International Biomedical — AHOSS procurement platform</t>
        </is>
      </c>
      <c r="F11" s="125" t="inlineStr">
        <is>
          <t>info@ahoss.com.tw</t>
        </is>
      </c>
      <c r="G11" s="125" t="inlineStr"/>
      <c r="H11" s="125" t="inlineStr">
        <is>
          <t>Fubon International Biomedical (AHOSS): veterinary ultrasound for your procurement platform</t>
        </is>
      </c>
      <c r="I11" s="125" t="inlineStr">
        <is>
          <t>CHISON_VET Introduction 2027_v2.pdf</t>
        </is>
      </c>
      <c r="J11" s="125" t="inlineStr">
        <is>
          <t>TIER 2</t>
        </is>
      </c>
      <c r="K11" s="126" t="n">
        <v>46300</v>
      </c>
      <c r="L11" s="125" t="inlineStr">
        <is>
          <t>No</t>
        </is>
      </c>
      <c r="M11" s="125" t="inlineStr"/>
      <c r="N11" s="125" t="inlineStr">
        <is>
          <t>Dealer</t>
        </is>
      </c>
    </row>
    <row r="12">
      <c r="A12" s="125" t="n">
        <v>8</v>
      </c>
      <c r="B12" s="126" t="n">
        <v>46293</v>
      </c>
      <c r="C12" s="125" t="inlineStr">
        <is>
          <t>Taiwan</t>
        </is>
      </c>
      <c r="D12" s="125" t="inlineStr">
        <is>
          <t>巨研科技股份有限公司</t>
        </is>
      </c>
      <c r="E12" s="125" t="inlineStr">
        <is>
          <t>GETECH Technology Co., Ltd.</t>
        </is>
      </c>
      <c r="F12" s="125" t="inlineStr">
        <is>
          <t>service@getech.com.tw</t>
        </is>
      </c>
      <c r="G12" s="125" t="inlineStr"/>
      <c r="H12" s="125" t="inlineStr">
        <is>
          <t>GETECH Technology Co., Ltd.: not a replacement for your ultrasound line, the tier below it</t>
        </is>
      </c>
      <c r="I12" s="125" t="inlineStr">
        <is>
          <t>CHISON_VET Introduction 2027_v2.pdf</t>
        </is>
      </c>
      <c r="J12" s="125" t="inlineStr">
        <is>
          <t>TIER 2</t>
        </is>
      </c>
      <c r="K12" s="126" t="n">
        <v>46300</v>
      </c>
      <c r="L12" s="125" t="inlineStr">
        <is>
          <t>No</t>
        </is>
      </c>
      <c r="M12" s="125" t="inlineStr"/>
      <c r="N12" s="125" t="inlineStr">
        <is>
          <t>Dealer</t>
        </is>
      </c>
    </row>
    <row r="13">
      <c r="A13" s="125" t="n">
        <v>9</v>
      </c>
      <c r="B13" s="126" t="n">
        <v>46293</v>
      </c>
      <c r="C13" s="125" t="inlineStr">
        <is>
          <t>Taiwan</t>
        </is>
      </c>
      <c r="D13" s="125" t="inlineStr">
        <is>
          <t>國晉儀器有限公司</t>
        </is>
      </c>
      <c r="E13" s="125" t="inlineStr">
        <is>
          <t>Guojien Instrument Co., Ltd.</t>
        </is>
      </c>
      <c r="F13" s="125" t="inlineStr">
        <is>
          <t>guojien.huang@msa.hinet.net</t>
        </is>
      </c>
      <c r="G13" s="125" t="inlineStr"/>
      <c r="H13" s="125" t="inlineStr">
        <is>
          <t>Guojien Instrument Co., Ltd.: a first scanner for the clinics you equip</t>
        </is>
      </c>
      <c r="I13" s="125" t="inlineStr">
        <is>
          <t>CHISON_VET Introduction 2027_v2.pdf</t>
        </is>
      </c>
      <c r="J13" s="125" t="inlineStr">
        <is>
          <t>TIER 1</t>
        </is>
      </c>
      <c r="K13" s="126" t="n">
        <v>46300</v>
      </c>
      <c r="L13" s="125" t="inlineStr">
        <is>
          <t>No</t>
        </is>
      </c>
      <c r="M13" s="125" t="inlineStr"/>
      <c r="N13" s="125" t="inlineStr">
        <is>
          <t>Dealer</t>
        </is>
      </c>
    </row>
    <row r="14">
      <c r="A14" s="125" t="n">
        <v>10</v>
      </c>
      <c r="B14" s="126" t="n">
        <v>46293</v>
      </c>
      <c r="C14" s="125" t="inlineStr">
        <is>
          <t>Taiwan</t>
        </is>
      </c>
      <c r="D14" s="125" t="inlineStr">
        <is>
          <t>宏瑋醫材股份有限公司（宏瑋寵物 KogiPet）</t>
        </is>
      </c>
      <c r="E14" s="125" t="inlineStr">
        <is>
          <t>Hong Wei Medical Materials Co., Ltd. (KogiPet)</t>
        </is>
      </c>
      <c r="F14" s="125" t="inlineStr">
        <is>
          <t>service02@kogimask.com.tw</t>
        </is>
      </c>
      <c r="G14" s="125" t="inlineStr"/>
      <c r="H14" s="125" t="inlineStr">
        <is>
          <t>Hong Wei Medical Materials Co., Ltd. (KogiPet): a second capital line for the customers you already have</t>
        </is>
      </c>
      <c r="I14" s="125" t="inlineStr">
        <is>
          <t>CHISON_VET Introduction 2027_v2.pdf</t>
        </is>
      </c>
      <c r="J14" s="125" t="inlineStr">
        <is>
          <t>TIER 3</t>
        </is>
      </c>
      <c r="K14" s="126" t="n">
        <v>46300</v>
      </c>
      <c r="L14" s="125" t="inlineStr">
        <is>
          <t>No</t>
        </is>
      </c>
      <c r="M14" s="125" t="inlineStr"/>
      <c r="N14" s="125" t="inlineStr">
        <is>
          <t>Dealer</t>
        </is>
      </c>
    </row>
    <row r="15">
      <c r="A15" s="125" t="n">
        <v>11</v>
      </c>
      <c r="B15" s="126" t="n">
        <v>46293</v>
      </c>
      <c r="C15" s="125" t="inlineStr">
        <is>
          <t>Taiwan</t>
        </is>
      </c>
      <c r="D15" s="125" t="inlineStr">
        <is>
          <t>紘安醫療儀器有限公司</t>
        </is>
      </c>
      <c r="E15" s="125" t="inlineStr">
        <is>
          <t>Hungan Medical Instrument Co., Ltd.</t>
        </is>
      </c>
      <c r="F15" s="125" t="inlineStr">
        <is>
          <t>hungan160@gmail.com</t>
        </is>
      </c>
      <c r="G15" s="125" t="inlineStr"/>
      <c r="H15" s="125" t="inlineStr">
        <is>
          <t>Hungan Medical Instrument Co., Ltd.: a second capital line for the customers you already have</t>
        </is>
      </c>
      <c r="I15" s="125" t="inlineStr">
        <is>
          <t>CHISON_VET Introduction 2027_v2.pdf</t>
        </is>
      </c>
      <c r="J15" s="125" t="inlineStr">
        <is>
          <t>TIER 3</t>
        </is>
      </c>
      <c r="K15" s="126" t="n">
        <v>46300</v>
      </c>
      <c r="L15" s="125" t="inlineStr">
        <is>
          <t>No</t>
        </is>
      </c>
      <c r="M15" s="125" t="inlineStr"/>
      <c r="N15" s="125" t="inlineStr">
        <is>
          <t>Dealer</t>
        </is>
      </c>
    </row>
    <row r="16">
      <c r="A16" s="125" t="n">
        <v>12</v>
      </c>
      <c r="B16" s="126" t="n">
        <v>46293</v>
      </c>
      <c r="C16" s="125" t="inlineStr">
        <is>
          <t>Taiwan</t>
        </is>
      </c>
      <c r="D16" s="125" t="inlineStr">
        <is>
          <t>每均國際貿易有限公司</t>
        </is>
      </c>
      <c r="E16" s="125" t="inlineStr">
        <is>
          <t>Meijin International Trading Co., Ltd.</t>
        </is>
      </c>
      <c r="F16" s="125" t="inlineStr">
        <is>
          <t>pace@meijin.com.tw</t>
        </is>
      </c>
      <c r="G16" s="125" t="inlineStr"/>
      <c r="H16" s="125" t="inlineStr">
        <is>
          <t>Meijin International Trading Co., Ltd.: a first scanner for the clinics you equip</t>
        </is>
      </c>
      <c r="I16" s="125" t="inlineStr">
        <is>
          <t>CHISON_VET Introduction 2027_v2.pdf</t>
        </is>
      </c>
      <c r="J16" s="125" t="inlineStr">
        <is>
          <t>TIER 2</t>
        </is>
      </c>
      <c r="K16" s="126" t="n">
        <v>46300</v>
      </c>
      <c r="L16" s="125" t="inlineStr">
        <is>
          <t>No</t>
        </is>
      </c>
      <c r="M16" s="125" t="inlineStr"/>
      <c r="N16" s="125" t="inlineStr">
        <is>
          <t>Dealer</t>
        </is>
      </c>
    </row>
    <row r="17">
      <c r="A17" s="125" t="n">
        <v>13</v>
      </c>
      <c r="B17" s="126" t="n">
        <v>46293</v>
      </c>
      <c r="C17" s="125" t="inlineStr">
        <is>
          <t>Taiwan</t>
        </is>
      </c>
      <c r="D17" s="125" t="inlineStr">
        <is>
          <t>品約醫療儀器有限公司</t>
        </is>
      </c>
      <c r="E17" s="125" t="inlineStr">
        <is>
          <t>Pinyork Medical Instrument Co., Ltd.</t>
        </is>
      </c>
      <c r="F17" s="125" t="inlineStr">
        <is>
          <t>service@pinyork.com.tw</t>
        </is>
      </c>
      <c r="G17" s="125" t="inlineStr"/>
      <c r="H17" s="125" t="inlineStr">
        <is>
          <t>Pinyork Medical Instrument Co., Ltd.: a second capital line for the customers you already have</t>
        </is>
      </c>
      <c r="I17" s="125" t="inlineStr">
        <is>
          <t>CHISON_VET Introduction 2027_v2.pdf</t>
        </is>
      </c>
      <c r="J17" s="125" t="inlineStr">
        <is>
          <t>TIER 3</t>
        </is>
      </c>
      <c r="K17" s="126" t="n">
        <v>46300</v>
      </c>
      <c r="L17" s="125" t="inlineStr">
        <is>
          <t>No</t>
        </is>
      </c>
      <c r="M17" s="125" t="inlineStr"/>
      <c r="N17" s="125" t="inlineStr">
        <is>
          <t>Dealer</t>
        </is>
      </c>
    </row>
    <row r="18">
      <c r="A18" s="125" t="n">
        <v>14</v>
      </c>
      <c r="B18" s="126" t="n">
        <v>46293</v>
      </c>
      <c r="C18" s="125" t="inlineStr">
        <is>
          <t>Singapore</t>
        </is>
      </c>
      <c r="D18" s="125" t="inlineStr">
        <is>
          <t>Sage Healthcare Pte Ltd</t>
        </is>
      </c>
      <c r="E18" s="125" t="inlineStr">
        <is>
          <t>Sage Healthcare Pte Ltd</t>
        </is>
      </c>
      <c r="F18" s="125" t="inlineStr">
        <is>
          <t>customerservice@sagehealthcare.sg</t>
        </is>
      </c>
      <c r="G18" s="125" t="n"/>
      <c r="H18" s="125" t="inlineStr">
        <is>
          <t>Sage Healthcare Pte Ltd: an ultrasound line for your veterinary accounts</t>
        </is>
      </c>
      <c r="I18" s="125" t="inlineStr">
        <is>
          <t>CHISON_VET Introduction 2027_v2.pdf</t>
        </is>
      </c>
      <c r="J18" s="125" t="inlineStr">
        <is>
          <t>TIER 1</t>
        </is>
      </c>
      <c r="K18" s="126" t="n">
        <v>46300</v>
      </c>
      <c r="L18" s="125" t="inlineStr">
        <is>
          <t>No</t>
        </is>
      </c>
      <c r="M18" s="125" t="n"/>
      <c r="N18" s="125" t="inlineStr">
        <is>
          <t>Dealer</t>
        </is>
      </c>
    </row>
    <row r="19">
      <c r="A19" s="125" t="n">
        <v>15</v>
      </c>
      <c r="B19" s="126" t="n">
        <v>46293</v>
      </c>
      <c r="C19" s="125" t="inlineStr">
        <is>
          <t>Singapore</t>
        </is>
      </c>
      <c r="D19" s="125" t="inlineStr">
        <is>
          <t>Vedmed Agri Pte Ltd</t>
        </is>
      </c>
      <c r="E19" s="125" t="inlineStr">
        <is>
          <t>Vedmed Agri Pte Ltd</t>
        </is>
      </c>
      <c r="F19" s="125" t="inlineStr">
        <is>
          <t>contact@vedmedagri.net</t>
        </is>
      </c>
      <c r="G19" s="125" t="n"/>
      <c r="H19" s="125" t="inlineStr">
        <is>
          <t>Vedmed Agri Pte Ltd: a handheld line for your clinic accounts</t>
        </is>
      </c>
      <c r="I19" s="125" t="inlineStr">
        <is>
          <t>CHISON_VET Introduction 2027_v2.pdf</t>
        </is>
      </c>
      <c r="J19" s="125" t="inlineStr">
        <is>
          <t>TIER 2</t>
        </is>
      </c>
      <c r="K19" s="126" t="n">
        <v>46300</v>
      </c>
      <c r="L19" s="125" t="inlineStr">
        <is>
          <t>No</t>
        </is>
      </c>
      <c r="M19" s="125" t="n"/>
      <c r="N19" s="125" t="inlineStr">
        <is>
          <t>Dealer</t>
        </is>
      </c>
    </row>
    <row r="20">
      <c r="A20" s="125" t="n">
        <v>16</v>
      </c>
      <c r="B20" s="126" t="n">
        <v>46293</v>
      </c>
      <c r="C20" s="125" t="inlineStr">
        <is>
          <t>Singapore</t>
        </is>
      </c>
      <c r="D20" s="125" t="inlineStr">
        <is>
          <t>Singapore Veterinary Imaging Pte Ltd</t>
        </is>
      </c>
      <c r="E20" s="125" t="inlineStr">
        <is>
          <t>Singapore Veterinary Imaging Pte Ltd</t>
        </is>
      </c>
      <c r="F20" s="125" t="inlineStr">
        <is>
          <t>support@svi.com.sg</t>
        </is>
      </c>
      <c r="G20" s="125" t="n"/>
      <c r="H20" s="125" t="inlineStr">
        <is>
          <t>Singapore Veterinary Imaging: an evaluation unit for your mobile service</t>
        </is>
      </c>
      <c r="I20" s="125" t="inlineStr">
        <is>
          <t>CHISON_VET Introduction 2027_v2.pdf</t>
        </is>
      </c>
      <c r="J20" s="125" t="inlineStr">
        <is>
          <t>TIER 1</t>
        </is>
      </c>
      <c r="K20" s="126" t="n">
        <v>46300</v>
      </c>
      <c r="L20" s="125" t="inlineStr">
        <is>
          <t>No</t>
        </is>
      </c>
      <c r="M20" s="125" t="n"/>
      <c r="N20" s="125" t="inlineStr">
        <is>
          <t>Dealer</t>
        </is>
      </c>
    </row>
    <row r="21">
      <c r="A21" s="125" t="n">
        <v>17</v>
      </c>
      <c r="B21" s="126" t="n">
        <v>46293</v>
      </c>
      <c r="C21" s="125" t="inlineStr">
        <is>
          <t>Singapore</t>
        </is>
      </c>
      <c r="D21" s="125" t="inlineStr">
        <is>
          <t>Allpets &amp; Aqualife Clinic</t>
        </is>
      </c>
      <c r="E21" s="125" t="inlineStr">
        <is>
          <t>Allpets &amp; Aqualife Clinic</t>
        </is>
      </c>
      <c r="F21" s="125" t="inlineStr">
        <is>
          <t>info@allpetsaqualife.com</t>
        </is>
      </c>
      <c r="G21" s="125" t="n"/>
      <c r="H21" s="125" t="inlineStr">
        <is>
          <t>Allpets &amp; Aqualife Clinic: high-frequency imaging on the patients that defeat most handhelds</t>
        </is>
      </c>
      <c r="I21" s="125" t="inlineStr">
        <is>
          <t>CHISON_VET Introduction 2027_v2.pdf</t>
        </is>
      </c>
      <c r="J21" s="125" t="inlineStr">
        <is>
          <t>P2</t>
        </is>
      </c>
      <c r="K21" s="126" t="n">
        <v>46300</v>
      </c>
      <c r="L21" s="125" t="inlineStr">
        <is>
          <t>No</t>
        </is>
      </c>
      <c r="M21" s="125" t="n"/>
      <c r="N21" s="125" t="inlineStr">
        <is>
          <t>End user</t>
        </is>
      </c>
    </row>
    <row r="22">
      <c r="A22" s="125" t="n">
        <v>18</v>
      </c>
      <c r="B22" s="126" t="n">
        <v>46293</v>
      </c>
      <c r="C22" s="125" t="inlineStr">
        <is>
          <t>Singapore</t>
        </is>
      </c>
      <c r="D22" s="125" t="inlineStr">
        <is>
          <t>The Animal Doctors</t>
        </is>
      </c>
      <c r="E22" s="125" t="inlineStr">
        <is>
          <t>The Animal Doctors</t>
        </is>
      </c>
      <c r="F22" s="125" t="inlineStr">
        <is>
          <t>theanimaldoctors@singnet.com.sg; tad_tb11a@singnet.com.sg</t>
        </is>
      </c>
      <c r="G22" s="125" t="n"/>
      <c r="H22" s="125" t="inlineStr">
        <is>
          <t>The Animal Doctors: ultrasound at a price that pays back in scans, not years</t>
        </is>
      </c>
      <c r="I22" s="125" t="inlineStr">
        <is>
          <t>CHISON_VET Introduction 2027_v2.pdf</t>
        </is>
      </c>
      <c r="J22" s="125" t="inlineStr">
        <is>
          <t>P2</t>
        </is>
      </c>
      <c r="K22" s="126" t="n"/>
      <c r="L22" s="125" t="inlineStr">
        <is>
          <t>Bounced</t>
        </is>
      </c>
      <c r="M22" s="125" t="inlineStr">
        <is>
          <t>Sent to theanimaldoctors@singnet.com.sg and tad_tb11a@singnet.com.sg. Both rejected (550). Call 6451 4531 for a working email.</t>
        </is>
      </c>
      <c r="N22" s="125" t="inlineStr">
        <is>
          <t>End user</t>
        </is>
      </c>
    </row>
    <row r="23">
      <c r="A23" s="125" t="n">
        <v>19</v>
      </c>
      <c r="B23" s="126" t="n">
        <v>46293</v>
      </c>
      <c r="C23" s="125" t="inlineStr">
        <is>
          <t>Singapore</t>
        </is>
      </c>
      <c r="D23" s="125" t="inlineStr">
        <is>
          <t>Amber Veterinary Practice + Amber Cat Vet</t>
        </is>
      </c>
      <c r="E23" s="125" t="inlineStr">
        <is>
          <t>Amber Veterinary Practice + Amber Cat Vet</t>
        </is>
      </c>
      <c r="F23" s="125" t="inlineStr">
        <is>
          <t>enquiry@ambervet.com</t>
        </is>
      </c>
      <c r="G23" s="125" t="n"/>
      <c r="H23" s="125" t="inlineStr">
        <is>
          <t>Amber Veterinary Practice + Amber Cat Vet: a scanner on your night shift for 30 days, no cost</t>
        </is>
      </c>
      <c r="I23" s="125" t="inlineStr">
        <is>
          <t>CHISON_VET Introduction 2027_v2.pdf</t>
        </is>
      </c>
      <c r="J23" s="125" t="inlineStr">
        <is>
          <t>P1 — engage now</t>
        </is>
      </c>
      <c r="K23" s="126" t="n">
        <v>46300</v>
      </c>
      <c r="L23" s="125" t="inlineStr">
        <is>
          <t>No</t>
        </is>
      </c>
      <c r="M23" s="125" t="inlineStr">
        <is>
          <t>Auto reply only (3 to 5 working days). Email appears twice in Sent, sent twice on 28 Sep.</t>
        </is>
      </c>
      <c r="N23" s="125" t="inlineStr">
        <is>
          <t>End user</t>
        </is>
      </c>
    </row>
    <row r="24">
      <c r="A24" s="125" t="n">
        <v>20</v>
      </c>
      <c r="B24" s="126" t="n">
        <v>46293</v>
      </c>
      <c r="C24" s="125" t="inlineStr">
        <is>
          <t>Singapore</t>
        </is>
      </c>
      <c r="D24" s="125" t="inlineStr">
        <is>
          <t>Vet Central</t>
        </is>
      </c>
      <c r="E24" s="125" t="inlineStr">
        <is>
          <t>Vet Central</t>
        </is>
      </c>
      <c r="F24" s="125" t="inlineStr">
        <is>
          <t>contact@vetcentral.com.sg</t>
        </is>
      </c>
      <c r="G24" s="125" t="n"/>
      <c r="H24" s="125" t="inlineStr">
        <is>
          <t>Vet Central: ultrasound at a price that pays back in scans, not years</t>
        </is>
      </c>
      <c r="I24" s="125" t="inlineStr">
        <is>
          <t>CHISON_VET Introduction 2027_v2.pdf</t>
        </is>
      </c>
      <c r="J24" s="125" t="inlineStr">
        <is>
          <t>P2</t>
        </is>
      </c>
      <c r="K24" s="126" t="n">
        <v>46300</v>
      </c>
      <c r="L24" s="125" t="inlineStr">
        <is>
          <t>No</t>
        </is>
      </c>
      <c r="M24" s="125" t="inlineStr">
        <is>
          <t>Auto reply only (reply within 5 business days).</t>
        </is>
      </c>
      <c r="N24" s="125" t="inlineStr">
        <is>
          <t>End user</t>
        </is>
      </c>
    </row>
    <row r="25">
      <c r="A25" s="125" t="n">
        <v>21</v>
      </c>
      <c r="B25" s="126" t="n">
        <v>46293</v>
      </c>
      <c r="C25" s="125" t="inlineStr">
        <is>
          <t>Singapore</t>
        </is>
      </c>
      <c r="D25" s="125" t="inlineStr">
        <is>
          <t>Vets for Life Animal Clinic</t>
        </is>
      </c>
      <c r="E25" s="125" t="inlineStr">
        <is>
          <t>Vets for Life Animal Clinic</t>
        </is>
      </c>
      <c r="F25" s="125" t="inlineStr">
        <is>
          <t>enquiries@vetsforlife.com.sg</t>
        </is>
      </c>
      <c r="G25" s="125" t="n"/>
      <c r="H25" s="125" t="inlineStr">
        <is>
          <t>Vets for Life Animal Clinic: ultrasound at a price that pays back in scans, not years</t>
        </is>
      </c>
      <c r="I25" s="125" t="inlineStr">
        <is>
          <t>CHISON_VET Introduction 2027_v2.pdf</t>
        </is>
      </c>
      <c r="J25" s="125" t="inlineStr">
        <is>
          <t>P2</t>
        </is>
      </c>
      <c r="K25" s="126" t="n">
        <v>46300</v>
      </c>
      <c r="L25" s="125" t="inlineStr">
        <is>
          <t>No</t>
        </is>
      </c>
      <c r="M25" s="125" t="n"/>
      <c r="N25" s="125" t="inlineStr">
        <is>
          <t>End user</t>
        </is>
      </c>
    </row>
    <row r="26">
      <c r="A26" s="125" t="n">
        <v>22</v>
      </c>
      <c r="B26" s="126" t="n">
        <v>46293</v>
      </c>
      <c r="C26" s="125" t="inlineStr">
        <is>
          <t>Singapore</t>
        </is>
      </c>
      <c r="D26" s="125" t="inlineStr">
        <is>
          <t>The Joyous Vet</t>
        </is>
      </c>
      <c r="E26" s="125" t="inlineStr">
        <is>
          <t>The Joyous Vet</t>
        </is>
      </c>
      <c r="F26" s="125" t="inlineStr">
        <is>
          <t>admin@tjv.com.sg</t>
        </is>
      </c>
      <c r="G26" s="125" t="n"/>
      <c r="H26" s="125" t="inlineStr">
        <is>
          <t>The Joyous Vet: ultrasound at a price that pays back in scans, not years</t>
        </is>
      </c>
      <c r="I26" s="125" t="inlineStr">
        <is>
          <t>CHISON_VET Introduction 2027_v2.pdf</t>
        </is>
      </c>
      <c r="J26" s="125" t="inlineStr">
        <is>
          <t>P3</t>
        </is>
      </c>
      <c r="K26" s="126" t="n">
        <v>46300</v>
      </c>
      <c r="L26" s="125" t="inlineStr">
        <is>
          <t>No</t>
        </is>
      </c>
      <c r="M26" s="125" t="n"/>
      <c r="N26" s="125" t="inlineStr">
        <is>
          <t>End user</t>
        </is>
      </c>
    </row>
    <row r="27">
      <c r="A27" s="125" t="n">
        <v>23</v>
      </c>
      <c r="B27" s="126" t="n">
        <v>46293</v>
      </c>
      <c r="C27" s="125" t="inlineStr">
        <is>
          <t>Singapore</t>
        </is>
      </c>
      <c r="D27" s="125" t="inlineStr">
        <is>
          <t>The Veterinary Clinic</t>
        </is>
      </c>
      <c r="E27" s="125" t="inlineStr">
        <is>
          <t>The Veterinary Clinic</t>
        </is>
      </c>
      <c r="F27" s="125" t="inlineStr">
        <is>
          <t>enquiries@vetclinic.sg</t>
        </is>
      </c>
      <c r="G27" s="125" t="n"/>
      <c r="H27" s="125" t="inlineStr">
        <is>
          <t>The Veterinary Clinic: ultrasound at a price that pays back in scans, not years</t>
        </is>
      </c>
      <c r="I27" s="125" t="inlineStr">
        <is>
          <t>CHISON_VET Introduction 2027_v2.pdf</t>
        </is>
      </c>
      <c r="J27" s="125" t="inlineStr">
        <is>
          <t>P3</t>
        </is>
      </c>
      <c r="K27" s="126" t="n"/>
      <c r="L27" s="125" t="inlineStr">
        <is>
          <t>Bounced</t>
        </is>
      </c>
      <c r="M27" s="125" t="inlineStr">
        <is>
          <t>550 user does not exist. Call 6468 6312 for a working email.</t>
        </is>
      </c>
      <c r="N27" s="125" t="inlineStr">
        <is>
          <t>End user</t>
        </is>
      </c>
    </row>
    <row r="28">
      <c r="A28" s="125" t="n">
        <v>24</v>
      </c>
      <c r="B28" s="126" t="n">
        <v>46293</v>
      </c>
      <c r="C28" s="125" t="inlineStr">
        <is>
          <t>Singapore</t>
        </is>
      </c>
      <c r="D28" s="125" t="inlineStr">
        <is>
          <t>Companion Animal Surgery</t>
        </is>
      </c>
      <c r="E28" s="125" t="inlineStr">
        <is>
          <t>Companion Animal Surgery</t>
        </is>
      </c>
      <c r="F28" s="125" t="inlineStr">
        <is>
          <t>clinic@comvet.com</t>
        </is>
      </c>
      <c r="G28" s="125" t="n"/>
      <c r="H28" s="125" t="inlineStr">
        <is>
          <t>Companion Animal Surgery: nerve blocks and vascular access without leaving theatre</t>
        </is>
      </c>
      <c r="I28" s="125" t="inlineStr">
        <is>
          <t>CHISON_VET Introduction 2027_v2.pdf</t>
        </is>
      </c>
      <c r="J28" s="125" t="inlineStr">
        <is>
          <t>P2</t>
        </is>
      </c>
      <c r="K28" s="126" t="n">
        <v>46300</v>
      </c>
      <c r="L28" s="125" t="inlineStr">
        <is>
          <t>No</t>
        </is>
      </c>
      <c r="M28" s="125" t="n"/>
      <c r="N28" s="125" t="inlineStr">
        <is>
          <t>End user</t>
        </is>
      </c>
    </row>
    <row r="29">
      <c r="A29" s="125" t="n">
        <v>25</v>
      </c>
      <c r="B29" s="126" t="n">
        <v>46293</v>
      </c>
      <c r="C29" s="125" t="inlineStr">
        <is>
          <t>Singapore</t>
        </is>
      </c>
      <c r="D29" s="125" t="inlineStr">
        <is>
          <t>Island Veterinary Clinic</t>
        </is>
      </c>
      <c r="E29" s="125" t="inlineStr">
        <is>
          <t>Island Veterinary Clinic</t>
        </is>
      </c>
      <c r="F29" s="125" t="inlineStr">
        <is>
          <t>islandvets@ivc.com.sg</t>
        </is>
      </c>
      <c r="G29" s="125" t="n"/>
      <c r="H29" s="125" t="inlineStr">
        <is>
          <t>Island Veterinary Clinic: ultrasound at a price that pays back in scans, not years</t>
        </is>
      </c>
      <c r="I29" s="125" t="inlineStr">
        <is>
          <t>CHISON_VET Introduction 2027_v2.pdf</t>
        </is>
      </c>
      <c r="J29" s="125" t="inlineStr">
        <is>
          <t>P3</t>
        </is>
      </c>
      <c r="K29" s="126" t="n">
        <v>46300</v>
      </c>
      <c r="L29" s="125" t="inlineStr">
        <is>
          <t>No</t>
        </is>
      </c>
      <c r="M29" s="125" t="inlineStr">
        <is>
          <t>Same address also covers the James Cook / Island Veterinary Clinic (Northeast) row.</t>
        </is>
      </c>
      <c r="N29" s="125" t="inlineStr">
        <is>
          <t>End user</t>
        </is>
      </c>
    </row>
    <row r="30">
      <c r="A30" s="125" t="n">
        <v>26</v>
      </c>
      <c r="B30" s="126" t="n">
        <v>46293</v>
      </c>
      <c r="C30" s="125" t="inlineStr">
        <is>
          <t>Singapore</t>
        </is>
      </c>
      <c r="D30" s="125" t="inlineStr">
        <is>
          <t>Animal World Veterinary Clinic</t>
        </is>
      </c>
      <c r="E30" s="125" t="inlineStr">
        <is>
          <t>Animal World Veterinary Clinic</t>
        </is>
      </c>
      <c r="F30" s="125" t="inlineStr">
        <is>
          <t>info@animalworldclinic.com</t>
        </is>
      </c>
      <c r="G30" s="125" t="n"/>
      <c r="H30" s="125" t="inlineStr">
        <is>
          <t>Animal World Veterinary Clinic: ultrasound at a price that pays back in scans, not years</t>
        </is>
      </c>
      <c r="I30" s="125" t="inlineStr">
        <is>
          <t>CHISON_VET Introduction 2027_v2.pdf</t>
        </is>
      </c>
      <c r="J30" s="125" t="inlineStr">
        <is>
          <t>P3</t>
        </is>
      </c>
      <c r="K30" s="126" t="n"/>
      <c r="L30" s="125" t="inlineStr">
        <is>
          <t>Bounced</t>
        </is>
      </c>
      <c r="M30" s="125" t="inlineStr">
        <is>
          <t>554 domain has no mail server. Call 6286 0929.</t>
        </is>
      </c>
      <c r="N30" s="125" t="inlineStr">
        <is>
          <t>End user</t>
        </is>
      </c>
    </row>
    <row r="31">
      <c r="A31" s="125" t="n">
        <v>27</v>
      </c>
      <c r="B31" s="126" t="n">
        <v>46293</v>
      </c>
      <c r="C31" s="125" t="inlineStr">
        <is>
          <t>Singapore</t>
        </is>
      </c>
      <c r="D31" s="125" t="inlineStr">
        <is>
          <t>Pets Avenue Veterinary Clinic</t>
        </is>
      </c>
      <c r="E31" s="125" t="inlineStr">
        <is>
          <t>Pets Avenue Veterinary Clinic</t>
        </is>
      </c>
      <c r="F31" s="125" t="inlineStr">
        <is>
          <t>petsavenuevet@gmail.com</t>
        </is>
      </c>
      <c r="G31" s="125" t="n"/>
      <c r="H31" s="125" t="inlineStr">
        <is>
          <t>Pets Avenue Veterinary Clinic: ultrasound at a price that pays back in scans, not years</t>
        </is>
      </c>
      <c r="I31" s="125" t="inlineStr">
        <is>
          <t>CHISON_VET Introduction 2027_v2.pdf</t>
        </is>
      </c>
      <c r="J31" s="125" t="inlineStr">
        <is>
          <t>P3</t>
        </is>
      </c>
      <c r="K31" s="126" t="n">
        <v>46300</v>
      </c>
      <c r="L31" s="125" t="inlineStr">
        <is>
          <t>No</t>
        </is>
      </c>
      <c r="M31" s="125" t="inlineStr">
        <is>
          <t>Auto reply: clinic has moved to hello@petsavenuevet.com and forwarded the email. Use the new address for follow up.</t>
        </is>
      </c>
      <c r="N31" s="125" t="inlineStr">
        <is>
          <t>End user</t>
        </is>
      </c>
    </row>
    <row r="32">
      <c r="A32" s="125" t="n">
        <v>28</v>
      </c>
      <c r="B32" s="126" t="n">
        <v>46293</v>
      </c>
      <c r="C32" s="125" t="inlineStr">
        <is>
          <t>Singapore</t>
        </is>
      </c>
      <c r="D32" s="125" t="inlineStr">
        <is>
          <t>Animal &amp; Avian Veterinary Clinic (AAVC)</t>
        </is>
      </c>
      <c r="E32" s="125" t="inlineStr">
        <is>
          <t>Animal &amp; Avian Veterinary Clinic (AAVC)</t>
        </is>
      </c>
      <c r="F32" s="125" t="inlineStr">
        <is>
          <t>aavcsingapore@gmail.com</t>
        </is>
      </c>
      <c r="G32" s="125" t="inlineStr">
        <is>
          <t>aavcvetinfo@gmail.com</t>
        </is>
      </c>
      <c r="H32" s="125" t="inlineStr">
        <is>
          <t>Animal &amp; Avian Veterinary Clinic (AAVC): high-frequency imaging on the patients that defeat most handhelds</t>
        </is>
      </c>
      <c r="I32" s="125" t="inlineStr">
        <is>
          <t>CHISON_VET Introduction 2027_v2.pdf</t>
        </is>
      </c>
      <c r="J32" s="125" t="inlineStr">
        <is>
          <t>P3</t>
        </is>
      </c>
      <c r="K32" s="126" t="n">
        <v>46300</v>
      </c>
      <c r="L32" s="125" t="inlineStr">
        <is>
          <t>Yes</t>
        </is>
      </c>
      <c r="M32" s="125" t="inlineStr">
        <is>
          <t>Replied 28 Sep asking for price. Casper replied 29 Sep proposing a clinic meeting in Yishun and asking cart, laptop or handheld. Awaiting reply.</t>
        </is>
      </c>
      <c r="N32" s="125" t="inlineStr">
        <is>
          <t>End user</t>
        </is>
      </c>
    </row>
    <row r="33">
      <c r="A33" s="125" t="n">
        <v>29</v>
      </c>
      <c r="B33" s="126" t="n">
        <v>46293</v>
      </c>
      <c r="C33" s="125" t="inlineStr">
        <is>
          <t>Singapore</t>
        </is>
      </c>
      <c r="D33" s="125" t="inlineStr">
        <is>
          <t>Stars Veterinary Clinic</t>
        </is>
      </c>
      <c r="E33" s="125" t="inlineStr">
        <is>
          <t>Stars Veterinary Clinic</t>
        </is>
      </c>
      <c r="F33" s="125" t="inlineStr">
        <is>
          <t>starsveterinary.hgv@gmail.com</t>
        </is>
      </c>
      <c r="G33" s="125" t="n"/>
      <c r="H33" s="125" t="inlineStr">
        <is>
          <t>Stars Veterinary Clinic: ultrasound at a price that pays back in scans, not years</t>
        </is>
      </c>
      <c r="I33" s="125" t="inlineStr">
        <is>
          <t>CHISON_VET Introduction 2027_v2.pdf</t>
        </is>
      </c>
      <c r="J33" s="125" t="inlineStr">
        <is>
          <t>P3</t>
        </is>
      </c>
      <c r="K33" s="126" t="n">
        <v>46300</v>
      </c>
      <c r="L33" s="125" t="inlineStr">
        <is>
          <t>No</t>
        </is>
      </c>
      <c r="M33" s="125" t="n"/>
      <c r="N33" s="125" t="inlineStr">
        <is>
          <t>End user</t>
        </is>
      </c>
    </row>
    <row r="34">
      <c r="A34" s="125" t="n">
        <v>30</v>
      </c>
      <c r="B34" s="126" t="n">
        <v>46293</v>
      </c>
      <c r="C34" s="125" t="inlineStr">
        <is>
          <t>Singapore</t>
        </is>
      </c>
      <c r="D34" s="125" t="inlineStr">
        <is>
          <t>Canopy Veterinary Centre</t>
        </is>
      </c>
      <c r="E34" s="125" t="inlineStr">
        <is>
          <t>Canopy Veterinary Centre</t>
        </is>
      </c>
      <c r="F34" s="125" t="inlineStr">
        <is>
          <t>admin@canopyvets.com</t>
        </is>
      </c>
      <c r="G34" s="125" t="n"/>
      <c r="H34" s="125" t="inlineStr">
        <is>
          <t>Canopy Veterinary Centre: ultrasound at a price that pays back in scans, not years</t>
        </is>
      </c>
      <c r="I34" s="125" t="inlineStr">
        <is>
          <t>CHISON_VET Introduction 2027_v2.pdf</t>
        </is>
      </c>
      <c r="J34" s="125" t="inlineStr">
        <is>
          <t>P3</t>
        </is>
      </c>
      <c r="K34" s="126" t="n">
        <v>46300</v>
      </c>
      <c r="L34" s="125" t="inlineStr">
        <is>
          <t>No</t>
        </is>
      </c>
      <c r="M34" s="125" t="n"/>
      <c r="N34" s="125" t="inlineStr">
        <is>
          <t>End user</t>
        </is>
      </c>
    </row>
    <row r="35">
      <c r="A35" s="125" t="n">
        <v>31</v>
      </c>
      <c r="B35" s="126" t="n">
        <v>46293</v>
      </c>
      <c r="C35" s="125" t="inlineStr">
        <is>
          <t>Singapore</t>
        </is>
      </c>
      <c r="D35" s="125" t="inlineStr">
        <is>
          <t>Atlas Veterinary Clinic &amp; Surgery</t>
        </is>
      </c>
      <c r="E35" s="125" t="inlineStr">
        <is>
          <t>Atlas Veterinary Clinic &amp; Surgery</t>
        </is>
      </c>
      <c r="F35" s="125" t="inlineStr">
        <is>
          <t>hello@atlasvet.com.sg</t>
        </is>
      </c>
      <c r="G35" s="125" t="n"/>
      <c r="H35" s="125" t="inlineStr">
        <is>
          <t>Atlas Veterinary Clinic &amp; Surgery: ultrasound at a price that pays back in scans, not years</t>
        </is>
      </c>
      <c r="I35" s="125" t="inlineStr">
        <is>
          <t>CHISON_VET Introduction 2027_v2.pdf</t>
        </is>
      </c>
      <c r="J35" s="125" t="inlineStr">
        <is>
          <t>P3</t>
        </is>
      </c>
      <c r="K35" s="126" t="n">
        <v>46300</v>
      </c>
      <c r="L35" s="125" t="inlineStr">
        <is>
          <t>No</t>
        </is>
      </c>
      <c r="M35" s="125" t="n"/>
      <c r="N35" s="125" t="inlineStr">
        <is>
          <t>End user</t>
        </is>
      </c>
    </row>
    <row r="36">
      <c r="A36" s="125" t="n">
        <v>32</v>
      </c>
      <c r="B36" s="126" t="n">
        <v>46293</v>
      </c>
      <c r="C36" s="125" t="inlineStr">
        <is>
          <t>Singapore</t>
        </is>
      </c>
      <c r="D36" s="125" t="inlineStr">
        <is>
          <t>Vet Affinity</t>
        </is>
      </c>
      <c r="E36" s="125" t="inlineStr">
        <is>
          <t>Vet Affinity</t>
        </is>
      </c>
      <c r="F36" s="125" t="inlineStr">
        <is>
          <t>info@vetaffinity.com.sg</t>
        </is>
      </c>
      <c r="G36" s="125" t="n"/>
      <c r="H36" s="125" t="inlineStr">
        <is>
          <t>Vet Affinity: ultrasound at a price that pays back in scans, not years</t>
        </is>
      </c>
      <c r="I36" s="125" t="inlineStr">
        <is>
          <t>CHISON_VET Introduction 2027_v2.pdf</t>
        </is>
      </c>
      <c r="J36" s="125" t="inlineStr">
        <is>
          <t>P2</t>
        </is>
      </c>
      <c r="K36" s="126" t="n">
        <v>46300</v>
      </c>
      <c r="L36" s="125" t="inlineStr">
        <is>
          <t>No</t>
        </is>
      </c>
      <c r="M36" s="125" t="n"/>
      <c r="N36" s="125" t="inlineStr">
        <is>
          <t>End user</t>
        </is>
      </c>
    </row>
    <row r="37">
      <c r="A37" s="125" t="n">
        <v>33</v>
      </c>
      <c r="B37" s="126" t="n">
        <v>46293</v>
      </c>
      <c r="C37" s="125" t="inlineStr">
        <is>
          <t>Singapore</t>
        </is>
      </c>
      <c r="D37" s="125" t="inlineStr">
        <is>
          <t>RehabVet</t>
        </is>
      </c>
      <c r="E37" s="125" t="inlineStr">
        <is>
          <t>RehabVet</t>
        </is>
      </c>
      <c r="F37" s="125" t="inlineStr">
        <is>
          <t>hello@rehabvet.com</t>
        </is>
      </c>
      <c r="G37" s="125" t="n"/>
      <c r="H37" s="125" t="inlineStr">
        <is>
          <t>RehabVet: high-frequency imaging on the patients that defeat most handhelds</t>
        </is>
      </c>
      <c r="I37" s="125" t="inlineStr">
        <is>
          <t>CHISON_VET Introduction 2027_v2.pdf</t>
        </is>
      </c>
      <c r="J37" s="125" t="inlineStr">
        <is>
          <t>P3</t>
        </is>
      </c>
      <c r="K37" s="126" t="n">
        <v>46300</v>
      </c>
      <c r="L37" s="125" t="inlineStr">
        <is>
          <t>No</t>
        </is>
      </c>
      <c r="M37" s="125" t="n"/>
      <c r="N37" s="125" t="inlineStr">
        <is>
          <t>End user</t>
        </is>
      </c>
    </row>
    <row r="38">
      <c r="A38" s="125" t="n">
        <v>34</v>
      </c>
      <c r="B38" s="126" t="n">
        <v>46293</v>
      </c>
      <c r="C38" s="125" t="inlineStr">
        <is>
          <t>Singapore</t>
        </is>
      </c>
      <c r="D38" s="125" t="inlineStr">
        <is>
          <t>Ohana VetCare</t>
        </is>
      </c>
      <c r="E38" s="125" t="inlineStr">
        <is>
          <t>Ohana VetCare</t>
        </is>
      </c>
      <c r="F38" s="125" t="inlineStr">
        <is>
          <t>enquiries@ohanavetcare.com.sg</t>
        </is>
      </c>
      <c r="G38" s="125" t="n"/>
      <c r="H38" s="125" t="inlineStr">
        <is>
          <t>Ohana VetCare: ultrasound at a price that pays back in scans, not years</t>
        </is>
      </c>
      <c r="I38" s="125" t="inlineStr">
        <is>
          <t>CHISON_VET Introduction 2027_v2.pdf</t>
        </is>
      </c>
      <c r="J38" s="125" t="inlineStr">
        <is>
          <t>P3</t>
        </is>
      </c>
      <c r="K38" s="126" t="n">
        <v>46300</v>
      </c>
      <c r="L38" s="125" t="inlineStr">
        <is>
          <t>No</t>
        </is>
      </c>
      <c r="M38" s="125" t="n"/>
      <c r="N38" s="125" t="inlineStr">
        <is>
          <t>End user</t>
        </is>
      </c>
    </row>
    <row r="39">
      <c r="A39" s="125" t="n">
        <v>35</v>
      </c>
      <c r="B39" s="126" t="n">
        <v>46293</v>
      </c>
      <c r="C39" s="125" t="inlineStr">
        <is>
          <t>Singapore</t>
        </is>
      </c>
      <c r="D39" s="125" t="inlineStr">
        <is>
          <t>Brighton Vet Care</t>
        </is>
      </c>
      <c r="E39" s="125" t="inlineStr">
        <is>
          <t>Brighton Vet Care</t>
        </is>
      </c>
      <c r="F39" s="125" t="inlineStr">
        <is>
          <t>enquiries@brightonvetcare.com</t>
        </is>
      </c>
      <c r="G39" s="125" t="n"/>
      <c r="H39" s="125" t="inlineStr">
        <is>
          <t>Brighton Vet Care: ultrasound at a price that pays back in scans, not years</t>
        </is>
      </c>
      <c r="I39" s="125" t="inlineStr">
        <is>
          <t>CHISON_VET Introduction 2027_v2.pdf</t>
        </is>
      </c>
      <c r="J39" s="125" t="inlineStr">
        <is>
          <t>P3</t>
        </is>
      </c>
      <c r="K39" s="126" t="n">
        <v>46300</v>
      </c>
      <c r="L39" s="125" t="inlineStr">
        <is>
          <t>No</t>
        </is>
      </c>
      <c r="M39" s="125" t="n"/>
      <c r="N39" s="125" t="inlineStr">
        <is>
          <t>End user</t>
        </is>
      </c>
    </row>
    <row r="40">
      <c r="A40" s="125" t="n">
        <v>36</v>
      </c>
      <c r="B40" s="126" t="n">
        <v>46293</v>
      </c>
      <c r="C40" s="125" t="inlineStr">
        <is>
          <t>Singapore</t>
        </is>
      </c>
      <c r="D40" s="125" t="inlineStr">
        <is>
          <t>Care Veterinary Clinic</t>
        </is>
      </c>
      <c r="E40" s="125" t="inlineStr">
        <is>
          <t>Care Veterinary Clinic</t>
        </is>
      </c>
      <c r="F40" s="125" t="inlineStr">
        <is>
          <t>info@carevetclinic.com.sg</t>
        </is>
      </c>
      <c r="G40" s="125" t="n"/>
      <c r="H40" s="125" t="inlineStr">
        <is>
          <t>Care Veterinary Clinic: ultrasound at a price that pays back in scans, not years</t>
        </is>
      </c>
      <c r="I40" s="125" t="inlineStr">
        <is>
          <t>CHISON_VET Introduction 2027_v2.pdf</t>
        </is>
      </c>
      <c r="J40" s="125" t="inlineStr">
        <is>
          <t>P3</t>
        </is>
      </c>
      <c r="K40" s="126" t="n">
        <v>46300</v>
      </c>
      <c r="L40" s="125" t="inlineStr">
        <is>
          <t>No</t>
        </is>
      </c>
      <c r="M40" s="125" t="n"/>
      <c r="N40" s="125" t="inlineStr">
        <is>
          <t>End user</t>
        </is>
      </c>
    </row>
    <row r="41">
      <c r="A41" s="125" t="n">
        <v>37</v>
      </c>
      <c r="B41" s="126" t="n">
        <v>46293</v>
      </c>
      <c r="C41" s="125" t="inlineStr">
        <is>
          <t>Singapore</t>
        </is>
      </c>
      <c r="D41" s="125" t="inlineStr">
        <is>
          <t>Animal Medical Centre (VET@RV)</t>
        </is>
      </c>
      <c r="E41" s="125" t="inlineStr">
        <is>
          <t>Animal Medical Centre (VET@RV)</t>
        </is>
      </c>
      <c r="F41" s="125" t="inlineStr">
        <is>
          <t>VETatRV@gmail.com</t>
        </is>
      </c>
      <c r="G41" s="125" t="n"/>
      <c r="H41" s="125" t="inlineStr">
        <is>
          <t>Animal Medical Centre (VET@RV): ultrasound at a price that pays back in scans, not years</t>
        </is>
      </c>
      <c r="I41" s="125" t="inlineStr">
        <is>
          <t>CHISON_VET Introduction 2027_v2.pdf</t>
        </is>
      </c>
      <c r="J41" s="125" t="inlineStr">
        <is>
          <t>P3</t>
        </is>
      </c>
      <c r="K41" s="126" t="n">
        <v>46300</v>
      </c>
      <c r="L41" s="125" t="inlineStr">
        <is>
          <t>No</t>
        </is>
      </c>
      <c r="M41" s="125" t="n"/>
      <c r="N41" s="125" t="inlineStr">
        <is>
          <t>End user</t>
        </is>
      </c>
    </row>
    <row r="42">
      <c r="A42" s="125" t="n">
        <v>38</v>
      </c>
      <c r="B42" s="126" t="n">
        <v>46293</v>
      </c>
      <c r="C42" s="125" t="inlineStr">
        <is>
          <t>Singapore</t>
        </is>
      </c>
      <c r="D42" s="125" t="inlineStr">
        <is>
          <t>Genesis Veterinary Clinic</t>
        </is>
      </c>
      <c r="E42" s="125" t="inlineStr">
        <is>
          <t>Genesis Veterinary Clinic</t>
        </is>
      </c>
      <c r="F42" s="125" t="inlineStr">
        <is>
          <t>info@genesisvet.com.sg</t>
        </is>
      </c>
      <c r="G42" s="125" t="n"/>
      <c r="H42" s="125" t="inlineStr">
        <is>
          <t>Genesis Veterinary Clinic: ultrasound at a price that pays back in scans, not years</t>
        </is>
      </c>
      <c r="I42" s="125" t="inlineStr">
        <is>
          <t>CHISON_VET Introduction 2027_v2.pdf</t>
        </is>
      </c>
      <c r="J42" s="125" t="inlineStr">
        <is>
          <t>P3</t>
        </is>
      </c>
      <c r="K42" s="126" t="n">
        <v>46300</v>
      </c>
      <c r="L42" s="125" t="inlineStr">
        <is>
          <t>No</t>
        </is>
      </c>
      <c r="M42" s="125" t="n"/>
      <c r="N42" s="125" t="inlineStr">
        <is>
          <t>End user</t>
        </is>
      </c>
    </row>
    <row r="43">
      <c r="A43" s="125" t="n">
        <v>39</v>
      </c>
      <c r="B43" s="126" t="n">
        <v>46293</v>
      </c>
      <c r="C43" s="125" t="inlineStr">
        <is>
          <t>Singapore</t>
        </is>
      </c>
      <c r="D43" s="125" t="inlineStr">
        <is>
          <t>Spring Veterinary Care</t>
        </is>
      </c>
      <c r="E43" s="125" t="inlineStr">
        <is>
          <t>Spring Veterinary Care</t>
        </is>
      </c>
      <c r="F43" s="125" t="inlineStr">
        <is>
          <t>enquiries@springvet.com.sg</t>
        </is>
      </c>
      <c r="G43" s="125" t="n"/>
      <c r="H43" s="125" t="inlineStr">
        <is>
          <t>Spring Veterinary Care: ultrasound at a price that pays back in scans, not years</t>
        </is>
      </c>
      <c r="I43" s="125" t="inlineStr">
        <is>
          <t>CHISON_VET Introduction 2027_v2.pdf</t>
        </is>
      </c>
      <c r="J43" s="125" t="inlineStr">
        <is>
          <t>P3</t>
        </is>
      </c>
      <c r="K43" s="126" t="n"/>
      <c r="L43" s="125" t="inlineStr">
        <is>
          <t>Bounced</t>
        </is>
      </c>
      <c r="M43" s="125" t="inlineStr">
        <is>
          <t>552 mailbox not found. Call 6286 3313.</t>
        </is>
      </c>
      <c r="N43" s="125" t="inlineStr">
        <is>
          <t>End user</t>
        </is>
      </c>
    </row>
    <row r="44">
      <c r="A44" s="125" t="n">
        <v>40</v>
      </c>
      <c r="B44" s="126" t="n">
        <v>46293</v>
      </c>
      <c r="C44" s="125" t="inlineStr">
        <is>
          <t>Singapore</t>
        </is>
      </c>
      <c r="D44" s="125" t="inlineStr">
        <is>
          <t>Gentle Oak Veterinary Clinic</t>
        </is>
      </c>
      <c r="E44" s="125" t="inlineStr">
        <is>
          <t>Gentle Oak Veterinary Clinic</t>
        </is>
      </c>
      <c r="F44" s="125" t="inlineStr">
        <is>
          <t>info@gentleoakvet.com.sg</t>
        </is>
      </c>
      <c r="G44" s="125" t="n"/>
      <c r="H44" s="125" t="inlineStr">
        <is>
          <t>Gentle Oak Veterinary Clinic: ultrasound at a price that pays back in scans, not years</t>
        </is>
      </c>
      <c r="I44" s="125" t="inlineStr">
        <is>
          <t>CHISON_VET Introduction 2027_v2.pdf</t>
        </is>
      </c>
      <c r="J44" s="125" t="inlineStr">
        <is>
          <t>P3</t>
        </is>
      </c>
      <c r="K44" s="126" t="n">
        <v>46300</v>
      </c>
      <c r="L44" s="125" t="inlineStr">
        <is>
          <t>No</t>
        </is>
      </c>
      <c r="M44" s="125" t="n"/>
      <c r="N44" s="125" t="inlineStr">
        <is>
          <t>End user</t>
        </is>
      </c>
    </row>
    <row r="45">
      <c r="A45" s="125" t="n">
        <v>41</v>
      </c>
      <c r="B45" s="126" t="n">
        <v>46293</v>
      </c>
      <c r="C45" s="125" t="inlineStr">
        <is>
          <t>Singapore</t>
        </is>
      </c>
      <c r="D45" s="125" t="inlineStr">
        <is>
          <t>Town Vets Animal Clinic</t>
        </is>
      </c>
      <c r="E45" s="125" t="inlineStr">
        <is>
          <t>Town Vets Animal Clinic</t>
        </is>
      </c>
      <c r="F45" s="125" t="inlineStr">
        <is>
          <t>contact@townvets.com.sg</t>
        </is>
      </c>
      <c r="G45" s="125" t="n"/>
      <c r="H45" s="125" t="inlineStr">
        <is>
          <t>Town Vets Animal Clinic: ultrasound at a price that pays back in scans, not years</t>
        </is>
      </c>
      <c r="I45" s="125" t="inlineStr">
        <is>
          <t>CHISON_VET Introduction 2027_v2.pdf</t>
        </is>
      </c>
      <c r="J45" s="125" t="inlineStr">
        <is>
          <t>P3</t>
        </is>
      </c>
      <c r="K45" s="126" t="n">
        <v>46300</v>
      </c>
      <c r="L45" s="125" t="inlineStr">
        <is>
          <t>No</t>
        </is>
      </c>
      <c r="M45" s="125" t="n"/>
      <c r="N45" s="125" t="inlineStr">
        <is>
          <t>End user</t>
        </is>
      </c>
    </row>
    <row r="46">
      <c r="A46" s="125" t="n">
        <v>42</v>
      </c>
      <c r="B46" s="126" t="n">
        <v>46293</v>
      </c>
      <c r="C46" s="125" t="inlineStr">
        <is>
          <t>Singapore</t>
        </is>
      </c>
      <c r="D46" s="125" t="inlineStr">
        <is>
          <t>The Visiting Vets Clinic</t>
        </is>
      </c>
      <c r="E46" s="125" t="inlineStr">
        <is>
          <t>The Visiting Vets Clinic</t>
        </is>
      </c>
      <c r="F46" s="125" t="inlineStr">
        <is>
          <t>thevisitingvets@gmail.com</t>
        </is>
      </c>
      <c r="G46" s="125" t="n"/>
      <c r="H46" s="125" t="inlineStr">
        <is>
          <t>The Visiting Vets Clinic: a scanner you can actually take on a house call</t>
        </is>
      </c>
      <c r="I46" s="125" t="inlineStr">
        <is>
          <t>CHISON_VET Introduction 2027_v2.pdf</t>
        </is>
      </c>
      <c r="J46" s="125" t="inlineStr">
        <is>
          <t>P1 — engage now</t>
        </is>
      </c>
      <c r="K46" s="126" t="n">
        <v>46300</v>
      </c>
      <c r="L46" s="125" t="inlineStr">
        <is>
          <t>No</t>
        </is>
      </c>
      <c r="M46" s="125" t="n"/>
      <c r="N46" s="125" t="inlineStr">
        <is>
          <t>End user</t>
        </is>
      </c>
    </row>
    <row r="47">
      <c r="A47" s="125" t="n">
        <v>43</v>
      </c>
      <c r="B47" s="126" t="n">
        <v>46293</v>
      </c>
      <c r="C47" s="125" t="inlineStr">
        <is>
          <t>Singapore</t>
        </is>
      </c>
      <c r="D47" s="125" t="inlineStr">
        <is>
          <t>Passion Veterinary Clinic</t>
        </is>
      </c>
      <c r="E47" s="125" t="inlineStr">
        <is>
          <t>Passion Veterinary Clinic</t>
        </is>
      </c>
      <c r="F47" s="125" t="inlineStr">
        <is>
          <t>passionvet@gmail.com</t>
        </is>
      </c>
      <c r="G47" s="125" t="n"/>
      <c r="H47" s="125" t="inlineStr">
        <is>
          <t>Passion Veterinary Clinic: ultrasound at a price that pays back in scans, not years</t>
        </is>
      </c>
      <c r="I47" s="125" t="inlineStr">
        <is>
          <t>CHISON_VET Introduction 2027_v2.pdf</t>
        </is>
      </c>
      <c r="J47" s="125" t="inlineStr">
        <is>
          <t>P2</t>
        </is>
      </c>
      <c r="K47" s="126" t="n">
        <v>46300</v>
      </c>
      <c r="L47" s="125" t="inlineStr">
        <is>
          <t>No</t>
        </is>
      </c>
      <c r="M47" s="125" t="n"/>
      <c r="N47" s="125" t="inlineStr">
        <is>
          <t>End user</t>
        </is>
      </c>
    </row>
    <row r="48">
      <c r="A48" s="125" t="n">
        <v>44</v>
      </c>
      <c r="B48" s="126" t="n">
        <v>46293</v>
      </c>
      <c r="C48" s="125" t="inlineStr">
        <is>
          <t>Singapore</t>
        </is>
      </c>
      <c r="D48" s="125" t="inlineStr">
        <is>
          <t>Maranatha Veterinary Clinic</t>
        </is>
      </c>
      <c r="E48" s="125" t="inlineStr">
        <is>
          <t>Maranatha Veterinary Clinic</t>
        </is>
      </c>
      <c r="F48" s="125" t="inlineStr">
        <is>
          <t>maranathavet@hotmail.com</t>
        </is>
      </c>
      <c r="G48" s="125" t="n"/>
      <c r="H48" s="125" t="inlineStr">
        <is>
          <t>Maranatha Veterinary Clinic: diagnostic imaging that fits your budget</t>
        </is>
      </c>
      <c r="I48" s="125" t="inlineStr">
        <is>
          <t>CHISON_VET Introduction 2027_v2.pdf</t>
        </is>
      </c>
      <c r="J48" s="125" t="inlineStr">
        <is>
          <t>P3</t>
        </is>
      </c>
      <c r="K48" s="126" t="n">
        <v>46300</v>
      </c>
      <c r="L48" s="125" t="inlineStr">
        <is>
          <t>No</t>
        </is>
      </c>
      <c r="M48" s="125" t="n"/>
      <c r="N48" s="125" t="inlineStr">
        <is>
          <t>End user</t>
        </is>
      </c>
    </row>
    <row r="49">
      <c r="A49" s="125" t="n">
        <v>45</v>
      </c>
      <c r="B49" s="126" t="n">
        <v>46293</v>
      </c>
      <c r="C49" s="125" t="inlineStr">
        <is>
          <t>Singapore</t>
        </is>
      </c>
      <c r="D49" s="125" t="inlineStr">
        <is>
          <t>Clover Vet</t>
        </is>
      </c>
      <c r="E49" s="125" t="inlineStr">
        <is>
          <t>Clover Vet</t>
        </is>
      </c>
      <c r="F49" s="125" t="inlineStr">
        <is>
          <t>ask@clovervet.sg</t>
        </is>
      </c>
      <c r="G49" s="125" t="n"/>
      <c r="H49" s="125" t="inlineStr">
        <is>
          <t>Clover Vet: ultrasound at a price that pays back in scans, not years</t>
        </is>
      </c>
      <c r="I49" s="125" t="inlineStr">
        <is>
          <t>CHISON_VET Introduction 2027_v2.pdf</t>
        </is>
      </c>
      <c r="J49" s="125" t="inlineStr">
        <is>
          <t>P3</t>
        </is>
      </c>
      <c r="K49" s="126" t="n">
        <v>46300</v>
      </c>
      <c r="L49" s="125" t="inlineStr">
        <is>
          <t>No</t>
        </is>
      </c>
      <c r="M49" s="125" t="n"/>
      <c r="N49" s="125" t="inlineStr">
        <is>
          <t>End user</t>
        </is>
      </c>
    </row>
  </sheetData>
  <autoFilter ref="A4:M17"/>
  <dataValidations count="1">
    <dataValidation sqref="L5:L217" showDropDown="0" showInputMessage="0" showErrorMessage="0" allowBlank="1" type="list">
      <formula1>"No,Yes,Bounced,Out of office"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88"/>
  <sheetViews>
    <sheetView topLeftCell="A8" zoomScaleNormal="100" workbookViewId="0">
      <pane xSplit="7" ySplit="4" topLeftCell="H5" activePane="bottomRight" state="frozen"/>
      <selection activeCell="A8" sqref="A8"/>
      <selection pane="topRight" activeCell="H8" sqref="H8"/>
      <selection pane="bottomLeft" activeCell="A5" sqref="A5"/>
      <selection pane="bottomRight" activeCell="E5" sqref="E5"/>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 width="58" customWidth="1" style="114" min="23" max="23"/>
  </cols>
  <sheetData>
    <row r="1" ht="18" customHeight="1" s="114">
      <c r="A1" s="16" t="inlineStr">
        <is>
          <t>SINGAPORE: END-USER CLINIC ACCOUNTS. v11 note: the channel agreed with Jerry is dealer led in all four markets, so treat this tab as demand, KOL and evaluation targets. Emails no longer promise direct supply; they say AstraMed supports units locally.</t>
        </is>
      </c>
    </row>
    <row r="2" ht="30" customHeight="1" s="114">
      <c r="A2" s="17" t="inlineStr">
        <is>
          <t>Direct model: AstraMed invoices, installs and services. Every row carries a ready-to-send email in the two right-hand columns. Base list = SVA register of AVS-registered veterinary centres, edition dated May 2024, re-fetched 4 Aug 2026 — reconfirm every phone number on the call.</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c r="W4" s="18" t="inlineStr">
        <is>
          <t>Delivery Status / Remark</t>
        </is>
      </c>
    </row>
    <row r="5" ht="165" customHeight="1" s="114">
      <c r="A5" s="113" t="n">
        <v>1</v>
      </c>
      <c r="B5" s="113" t="inlineStr">
        <is>
          <t>Mount Pleasant Veterinary Group</t>
        </is>
      </c>
      <c r="C5" s="113" t="inlineStr">
        <is>
          <t>Corporate GP chain (Mars Veterinary Health)</t>
        </is>
      </c>
      <c r="D5" s="42" t="inlineStr">
        <is>
          <t>Evaluation placed</t>
        </is>
      </c>
      <c r="E5" s="43" t="n"/>
      <c r="F5" s="44" t="n"/>
      <c r="G5" s="45" t="n"/>
      <c r="H5" s="46" t="inlineStr">
        <is>
          <t>Corporate GP chain (Mars Veterinary Health). 9 centres on the SVA register (Gelenggang, East, North, Changi, Mandai, Whitley, Bedok, Clementi, Farrer). Located at 2 Jalan Gelenggang S578187 (Gelenggang). RELEVANCE: multi-site groups make one equipment decision and repeat it, which turns a single scanner sale into a fleet order. They also have a procurement function, so the conversation belongs at head office rather than at a clinic. Lead product: SonoEye P3 VET fleet (one per site).</t>
        </is>
      </c>
      <c r="I5" s="113" t="inlineStr">
        <is>
          <t>9 centres on the SVA register (Gelenggang, East, North, Changi, Mandai, Whitley, Bedok, Clementi, Farrer)</t>
        </is>
      </c>
      <c r="J5" s="113" t="inlineStr">
        <is>
          <t>2 Jalan Gelenggang S578187 (Gelenggang)</t>
        </is>
      </c>
      <c r="K5" s="46" t="inlineStr">
        <is>
          <t>6251 7666</t>
        </is>
      </c>
      <c r="L5" s="47" t="inlineStr">
        <is>
          <t>https://mountpleasant.com.sg</t>
        </is>
      </c>
      <c r="M5" s="113" t="inlineStr">
        <is>
          <t>mpvc@mountpleasant.com.sg (Gelenggang HQ) · mpeast@singnet.com.sg · mpnorth@mountpleasant.com.sg · mpchangi@mountpleasant.com.sg · mpmandai@mountpleasant.com.sg · mpamcbedok@gmail.com · mpamc04@gmail.com (Clementi) · mpamcfarrer@gmail.com · mpvc.whitley@gmail.com</t>
        </is>
      </c>
      <c r="N5" s="113" t="inlineStr">
        <is>
          <t>B — SVA REGISTER (May 2024 edition). Phone, address and website as published there; RECONFIRM the number on the call. Emails shown are those the register printed.</t>
        </is>
      </c>
      <c r="O5" s="113" t="inlineStr">
        <is>
          <t>The largest GP chain in Singapore and roughly a tenth of the market in one relationship. Because Mars consolidated it, there is a procurement function — so this is one fleet proposal, not nine clinic visits. Do not walk into a branch and demo; get to regional procurement first.</t>
        </is>
      </c>
      <c r="P5" s="113" t="inlineStr">
        <is>
          <t>SonoEye P3 VET fleet (one per site)</t>
        </is>
      </c>
      <c r="Q5" s="48" t="inlineStr">
        <is>
          <t>P1 — engage now</t>
        </is>
      </c>
      <c r="R5" s="49" t="inlineStr">
        <is>
          <t>HIGH — AstraMed can invoice, install and service directly today, and this account has scale or reference value.</t>
        </is>
      </c>
      <c r="S5" s="113" t="inlineStr">
        <is>
          <t>H-Fleet</t>
        </is>
      </c>
      <c r="T5" s="113" t="inlineStr">
        <is>
          <t>Verified (SVA register)</t>
        </is>
      </c>
      <c r="U5" s="50" t="inlineStr">
        <is>
          <t>Mount Pleasant Veterinary Group: one scanner per site</t>
        </is>
      </c>
      <c r="V5" s="50" t="inlineStr">
        <is>
          <t>Dear Mount Pleasant Veterinary Group team,
My name is Casper Tan, Senior Regional Sales Manager at AstraMed Healthcare, a subsidiary of CHISON Medical Technologies. I am writing to Mount Pleasant Veterinary Group specifically, not to a list. You run nine centres on the AVS register, which makes you the largest general-practice group in Singapore and, unusually, one with an actual procurement function rather than nine separate equipment decisions.
AstraMed is CHISON's own subsidiary in Singapore, so installation, training and service are handled locally. At CHISON's price point the interesting question stops being which console to buy for the flagship and becomes whether every site can have its own scanner.
The product I would put in front of you first is the SonoEye P3 VET fleet (one per site).
Could I have thirty minutes with whoever owns equipment decisions across the group? I would rather have one conversation at group level than one per clinic.
Best regards,
Casper Tan
Senior Regional Sales Manager
AstraMed Healthcare, a subsidiary of CHISON Medical Technologies
casper@astramed.sg | +65 8719 0121</t>
        </is>
      </c>
    </row>
    <row r="6" ht="165" customHeight="1" s="114">
      <c r="A6" s="113" t="n">
        <v>2</v>
      </c>
      <c r="B6" s="113" t="inlineStr">
        <is>
          <t>Veterinary Emergency &amp; Specialty Hospital (VES)</t>
        </is>
      </c>
      <c r="C6" s="113" t="inlineStr">
        <is>
          <t>Specialty + 24h emergency hospital (Mars-owned)</t>
        </is>
      </c>
      <c r="D6" s="42" t="inlineStr">
        <is>
          <t>Not started</t>
        </is>
      </c>
      <c r="E6" s="43" t="n"/>
      <c r="F6" s="44" t="n"/>
      <c r="G6" s="45" t="n"/>
      <c r="H6" s="46" t="inlineStr">
        <is>
          <t>Specialty + 24h emergency hospital (Mars-owned). 1 — the largest specialty/ER hospital in Singapore. Located at 2-14 Rochdale Road S535815.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6" s="113" t="inlineStr">
        <is>
          <t>1 — the largest specialty/ER hospital in Singapore</t>
        </is>
      </c>
      <c r="J6" s="113" t="inlineStr">
        <is>
          <t>2-14 Rochdale Road S535815</t>
        </is>
      </c>
      <c r="K6" s="46" t="inlineStr">
        <is>
          <t>6581 7028</t>
        </is>
      </c>
      <c r="L6" s="47" t="inlineStr">
        <is>
          <t>https://veshospital.com.sg</t>
        </is>
      </c>
      <c r="M6" s="113" t="inlineStr">
        <is>
          <t>Not published in the register — via veshospital.com.sg</t>
        </is>
      </c>
      <c r="N6" s="113" t="inlineStr">
        <is>
          <t>B — SVA REGISTER (May 2024 edition). Phone, address and website as published there; RECONFIRM the number on the call. Emails shown are those the register printed.</t>
        </is>
      </c>
      <c r="O6" s="113" t="inlineStr">
        <is>
          <t>Same ownership as Mount Pleasant, so one conversation reaches both. More importantly this is the reference installation the Japanese, Korean and Taiwanese distributors will be shown — an English-language case site in a market CHISON can already invoice.</t>
        </is>
      </c>
      <c r="P6" s="113" t="inlineStr">
        <is>
          <t>SonoAir 70 VET + SonoEye P3 VET</t>
        </is>
      </c>
      <c r="Q6" s="48" t="inlineStr">
        <is>
          <t>P1 — engage now</t>
        </is>
      </c>
      <c r="R6" s="49" t="inlineStr">
        <is>
          <t>HIGH — AstraMed can invoice, install and service directly today, and this account has scale or reference value.</t>
        </is>
      </c>
      <c r="S6" s="113" t="inlineStr">
        <is>
          <t>H-Ref</t>
        </is>
      </c>
      <c r="T6" s="113" t="inlineStr">
        <is>
          <t>Verified (SVA register)</t>
        </is>
      </c>
      <c r="U6" s="50" t="inlineStr">
        <is>
          <t>Veterinary Emergency &amp; Specialty Hospital (VES): a reference installation, and what we would give for it</t>
        </is>
      </c>
      <c r="V6" s="50" t="inlineStr">
        <is>
          <t>Dear Veterinary Emergency &amp; Specialty Hospital (VES) team,
My name is Casper Tan, Senior Regional Sales Manager at AstraMed Healthcare, a subsidiary of CHISON Medical Technologies. I am writing to Veterinary Emergency &amp; Specialty Hospital (VES) specifically, not to a list. You are the largest specialty and emergency hospital in Singapore, and you are the site the distributors we are appointing across Japan, Korea and Taiwan will ask to see.
AstraMed is CHISON's own subsidiary in Singapore, so installation, training and service are handled locally. I would like to propose a reference installation on terms that reflect what that reference is worth to us.
The product I would put in front of you first is the SonoAir 70 VET and SonoEye P3 VET.
Worth exploring?
Best regards,
Casper Tan
Senior Regional Sales Manager
AstraMed Healthcare, a subsidiary of CHISON Medical Technologies
casper@astramed.sg | +65 8719 0121</t>
        </is>
      </c>
    </row>
    <row r="7" ht="165" customHeight="1" s="114">
      <c r="A7" s="113" t="n">
        <v>3</v>
      </c>
      <c r="B7" s="113" t="inlineStr">
        <is>
          <t>Advanced Vet Care &amp; Pet Emergency</t>
        </is>
      </c>
      <c r="C7" s="113" t="inlineStr">
        <is>
          <t>Independent 24-hour + GP hospital</t>
        </is>
      </c>
      <c r="D7" s="42" t="inlineStr">
        <is>
          <t>Not started</t>
        </is>
      </c>
      <c r="E7" s="43" t="n"/>
      <c r="F7" s="44" t="n"/>
      <c r="G7" s="45" t="n"/>
      <c r="H7" s="46" t="inlineStr">
        <is>
          <t>Independent 24-hour + GP hospital. 1. Located at 18 Jalan Pari Burong S488684. RELEVANCE: emergency work is the fastest-converting handheld use case there is. A FAST scan has to happen in seconds, the vet on shift is usually also the decision-maker, and there is no procurement layer between the demonstration and the decision. Lead product: SonoEye P3 VET — 30-day night-shift evaluation.</t>
        </is>
      </c>
      <c r="I7" s="113" t="inlineStr">
        <is>
          <t>1</t>
        </is>
      </c>
      <c r="J7" s="113" t="inlineStr">
        <is>
          <t>18 Jalan Pari Burong S488684</t>
        </is>
      </c>
      <c r="K7" s="46" t="inlineStr">
        <is>
          <t>6636 1788</t>
        </is>
      </c>
      <c r="L7" s="47" t="inlineStr">
        <is>
          <t>https://advancedvetcare.sg</t>
        </is>
      </c>
      <c r="M7" s="113" t="inlineStr">
        <is>
          <t>Not published in the register — via advancedvetcare.sg</t>
        </is>
      </c>
      <c r="N7" s="113" t="inlineStr">
        <is>
          <t>B — SVA REGISTER (May 2024 edition). Phone, address and website as published there; RECONFIRM the number on the call. Emails shown are those the register printed.</t>
        </is>
      </c>
      <c r="O7" s="113" t="inlineStr">
        <is>
          <t>Emergency abdominal scanning is the fastest-converting handheld use case there is: the vet on the night shift is also the buyer, so there is no procurement layer between the demo and the decision. Independent, so no group politics.</t>
        </is>
      </c>
      <c r="P7" s="113" t="inlineStr">
        <is>
          <t>SonoEye P3 VET — 30-day night-shift evaluation</t>
        </is>
      </c>
      <c r="Q7" s="48" t="inlineStr">
        <is>
          <t>P1 — engage now</t>
        </is>
      </c>
      <c r="R7" s="49" t="inlineStr">
        <is>
          <t>HIGH — AstraMed can invoice, install and service directly today, and this account has scale or reference value.</t>
        </is>
      </c>
      <c r="S7" s="113" t="inlineStr">
        <is>
          <t>H-Eval</t>
        </is>
      </c>
      <c r="T7" s="113" t="inlineStr">
        <is>
          <t>Verified (SVA register)</t>
        </is>
      </c>
      <c r="U7" s="50" t="inlineStr">
        <is>
          <t>Advanced Vet Care &amp; Pet Emergency: a scanner on your night shift for 30 days, no cost</t>
        </is>
      </c>
      <c r="V7" s="50" t="inlineStr">
        <is>
          <t>Dear Advanced Vet Care &amp; Pet Emergency team,
My name is Casper Tan, Senior Regional Sales Manager at AstraMed Healthcare, a subsidiary of CHISON Medical Technologies. I am writing to Advanced Vet Care &amp; Pet Emergency specifically, not to a list. You run an independent twenty-four-hour hospital, and emergency abdominal scanning is the fastest-converting use case a handheld has, because the veterinarian on shift is also the person who decides.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30-day night-shift evaluation.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8" ht="165" customHeight="1" s="114">
      <c r="A8" s="113" t="n">
        <v>4</v>
      </c>
      <c r="B8" s="113" t="inlineStr">
        <is>
          <t>Landon Veterinary Specialist Hospital</t>
        </is>
      </c>
      <c r="C8" s="113" t="inlineStr">
        <is>
          <t>Specialty referral hospital</t>
        </is>
      </c>
      <c r="D8" s="42" t="inlineStr">
        <is>
          <t>Not started</t>
        </is>
      </c>
      <c r="E8" s="43" t="n"/>
      <c r="F8" s="44" t="n"/>
      <c r="G8" s="45" t="n"/>
      <c r="H8" s="46" t="inlineStr">
        <is>
          <t>Specialty referral hospital. 1. Located at 41 Eng Kong Terrace S599013.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 + EBit 60 VET.</t>
        </is>
      </c>
      <c r="I8" s="113" t="inlineStr">
        <is>
          <t>1</t>
        </is>
      </c>
      <c r="J8" s="113" t="inlineStr">
        <is>
          <t>41 Eng Kong Terrace S599013</t>
        </is>
      </c>
      <c r="K8" s="46" t="inlineStr">
        <is>
          <t>6463 7228</t>
        </is>
      </c>
      <c r="L8" s="47" t="inlineStr">
        <is>
          <t>https://lvs.com.sg</t>
        </is>
      </c>
      <c r="M8" s="113" t="inlineStr">
        <is>
          <t>Not published in the register — via lvs.com.sg</t>
        </is>
      </c>
      <c r="N8" s="113" t="inlineStr">
        <is>
          <t>B — SVA REGISTER (May 2024 edition). Phone, address and website as published there; RECONFIRM the number on the call. Emails shown are those the register printed.</t>
        </is>
      </c>
      <c r="O8" s="113" t="inlineStr">
        <is>
          <t>The independent specialist counterweight to the Mars group. Produces publishable clinical case material from a site with no corporate conflict — which is what the evidence pack for the three dealer markets is missing.</t>
        </is>
      </c>
      <c r="P8" s="113" t="inlineStr">
        <is>
          <t>SonoEye P3 VET + EBit 60 VET</t>
        </is>
      </c>
      <c r="Q8" s="48" t="inlineStr">
        <is>
          <t>P1 — engage now</t>
        </is>
      </c>
      <c r="R8" s="49" t="inlineStr">
        <is>
          <t>HIGH — AstraMed can invoice, install and service directly today, and this account has scale or reference value.</t>
        </is>
      </c>
      <c r="S8" s="113" t="inlineStr">
        <is>
          <t>H-Eval</t>
        </is>
      </c>
      <c r="T8" s="113" t="inlineStr">
        <is>
          <t>Verified (SVA register)</t>
        </is>
      </c>
      <c r="U8" s="50" t="inlineStr">
        <is>
          <t>Landon Veterinary Specialist Hospital: a scanner on your night shift for 30 days, no cost</t>
        </is>
      </c>
      <c r="V8" s="50" t="inlineStr">
        <is>
          <t>Dear Landon Veterinary Specialist Hospital team,
My name is Casper Tan, Senior Regional Sales Manager at AstraMed Healthcare, a subsidiary of CHISON Medical Technologies. I am writing to Landon Veterinary Specialist Hospital specifically, not to a list. You are a specialist referral hospital with no corporate group above you, which makes you both a demanding test of image quality and a credible independent voice on it.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and EBit 60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9" ht="165" customHeight="1" s="114">
      <c r="A9" s="113" t="n">
        <v>5</v>
      </c>
      <c r="B9" s="113" t="inlineStr">
        <is>
          <t>Westside Emergency</t>
        </is>
      </c>
      <c r="C9" s="113" t="inlineStr">
        <is>
          <t>Independent emergency hospital</t>
        </is>
      </c>
      <c r="D9" s="42" t="inlineStr">
        <is>
          <t>Not started</t>
        </is>
      </c>
      <c r="E9" s="43" t="n"/>
      <c r="F9" s="44" t="n"/>
      <c r="G9" s="45" t="n"/>
      <c r="H9" s="46" t="inlineStr">
        <is>
          <t>Independent emergency hospital. 1. Located at 86 Serangoon Garden Way S555982.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9" s="113" t="inlineStr">
        <is>
          <t>1</t>
        </is>
      </c>
      <c r="J9" s="113" t="inlineStr">
        <is>
          <t>86 Serangoon Garden Way S555982</t>
        </is>
      </c>
      <c r="K9" s="46" t="inlineStr">
        <is>
          <t>6931 0095</t>
        </is>
      </c>
      <c r="L9" s="47" t="inlineStr">
        <is>
          <t>https://westsideemergency.com.sg</t>
        </is>
      </c>
      <c r="M9" s="113" t="inlineStr">
        <is>
          <t>Not published in the register — via westsideemergency.com.sg</t>
        </is>
      </c>
      <c r="N9" s="113" t="inlineStr">
        <is>
          <t>B — SVA REGISTER (May 2024 edition). Phone, address and website as published there; RECONFIRM the number on the call. Emails shown are those the register printed.</t>
        </is>
      </c>
      <c r="O9" s="113" t="inlineStr">
        <is>
          <t>Same pitch as Advanced Vet Care. Take it second so the two evaluation units are not both sitting in the emergency segment at the same time.</t>
        </is>
      </c>
      <c r="P9" s="113" t="inlineStr">
        <is>
          <t>SonoEye P3 VET</t>
        </is>
      </c>
      <c r="Q9" s="51" t="inlineStr">
        <is>
          <t>P2</t>
        </is>
      </c>
      <c r="R9" s="49" t="inlineStr">
        <is>
          <t>HIGH — AstraMed can invoice, install and service directly today. Single decision-maker, realistic first order.</t>
        </is>
      </c>
      <c r="S9" s="113" t="inlineStr">
        <is>
          <t>H-Eval</t>
        </is>
      </c>
      <c r="T9" s="113" t="inlineStr">
        <is>
          <t>Verified (SVA register)</t>
        </is>
      </c>
      <c r="U9" s="50" t="inlineStr">
        <is>
          <t>Westside Emergency: a scanner on your night shift for 30 days, no cost</t>
        </is>
      </c>
      <c r="V9" s="50" t="inlineStr">
        <is>
          <t>Dear Westside Emergency team,
My name is Casper Tan, Senior Regional Sales Manager at AstraMed Healthcare, a subsidiary of CHISON Medical Technologies. I am writing to Westside Emergency specifically, not to a list. You run an independent emergency hospital, where the case for a handheld is the overnight abdomen, the veterinarian on shift needs an answer before the imaging room opens.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10" ht="165" customHeight="1" s="114">
      <c r="A10" s="113" t="n">
        <v>6</v>
      </c>
      <c r="B10" s="113" t="inlineStr">
        <is>
          <t>Pet Space Singapore — Animal Recovery Veterinary Centre (Pet Space Group)</t>
        </is>
      </c>
      <c r="C10" s="113" t="inlineStr">
        <is>
          <t>24-hour referral and general practice hospital; Singapore arm of Hong Kong's largest veterinary group</t>
        </is>
      </c>
      <c r="D10" s="42" t="inlineStr">
        <is>
          <t>Not started</t>
        </is>
      </c>
      <c r="E10" s="43" t="n"/>
      <c r="F10" s="44" t="n"/>
      <c r="G10" s="45" t="n"/>
      <c r="H10" s="46" t="inlineStr">
        <is>
          <t>24-hour referral and general practice hospital; Singapore arm of Hong Kong's largest veterinary group. 1 Singapore hospital within a 12-clinic Hong Kong + Singapore group. Located at 466 Serangoon Road S218225. RELEVANCE: multi-site groups make one equipment decision and repeat it, which turns a single scanner sale into a fleet order. They also have a procurement function, so the conversation belongs at head office rather than at a clinic. Lead product: SonoEye P3 VET (house-call and ward fleet) + SonoAir 70 VET at the Singapore hospital.</t>
        </is>
      </c>
      <c r="I10" s="113" t="inlineStr">
        <is>
          <t>1 Singapore hospital within a 12-clinic Hong Kong + Singapore group</t>
        </is>
      </c>
      <c r="J10" s="113" t="inlineStr">
        <is>
          <t>466 Serangoon Road S218225</t>
        </is>
      </c>
      <c r="K10" s="46" t="inlineStr">
        <is>
          <t>6252 2623</t>
        </is>
      </c>
      <c r="L10" s="47" t="inlineStr">
        <is>
          <t>https://doctorsbeckandstone.com</t>
        </is>
      </c>
      <c r="M10" s="113" t="inlineStr">
        <is>
          <t>Not published — via doctorsbeckandstone.com</t>
        </is>
      </c>
      <c r="N10" s="113" t="inlineStr">
        <is>
          <t>B — VERIFIED PARTIAL (petspace.sg and sg.petspace.group opened 6 Aug 2026: group structure, Singapore hospital, ultrasound service and house-call service all confirmed. Phone and address as previously held from the SVA register; no direct email published)</t>
        </is>
      </c>
      <c r="O10" s="113" t="inlineStr">
        <is>
          <t>MERGE CORRECTION, AUGUST 2026: 'Animal Recovery Veterinary Referral Centre' and 'Pet Space Singapore' were two rows for ONE company — Animal Recovery Veterinary Centre Pte Ltd was formerly Pet Space (Singapore) Pte Ltd, and the group now lists the Singapore site among its clinics. They are merged here. The angle: a 12-clinic APAC group that already offers ultrasound examinations AND a house-call service — the house calls are the opening, because a console cannot go to a client's home and a SonoEye can. One standardisation decision here travels to Hong Kong.</t>
        </is>
      </c>
      <c r="P10" s="113" t="inlineStr">
        <is>
          <t>SonoEye P3 VET (house-call and ward fleet) + SonoAir 70 VET at the Singapore hospital</t>
        </is>
      </c>
      <c r="Q10" s="48" t="inlineStr">
        <is>
          <t>P1 — engage now</t>
        </is>
      </c>
      <c r="R10" s="49" t="inlineStr">
        <is>
          <t>HIGH — AstraMed can invoice, install and service directly today, and this account has scale or reference value.</t>
        </is>
      </c>
      <c r="S10" s="113" t="inlineStr">
        <is>
          <t>H-Fleet</t>
        </is>
      </c>
      <c r="T10" s="113" t="inlineStr">
        <is>
          <t>Verified — petspace.sg group and clinic pages opened 6 Aug 2026</t>
        </is>
      </c>
      <c r="U10" s="50" t="inlineStr">
        <is>
          <t>Pet Space Group: a scanner that goes to the house call, across all twelve clinics</t>
        </is>
      </c>
      <c r="V10" s="50" t="inlineStr">
        <is>
          <t>Dear Pet Space Singapore team,
My name is Casper Tan, Senior Regional Sales Manager at AstraMed Healthcare, a subsidiary of CHISON Medical Technologies. I cover Singapore, Japan, South Korea and Taiwan for CHISON veterinary ultrasound.
Two things about Pet Space made me write rather than send a brochure. You run a house-call service, and you already offer ultrasound examinations, and those two facts sit awkwardly together, because a cart scanner cannot go into a client's living room. A pocket-format scanner turns a house call into a diagnostic appointment instead of a triage visit. Second, you are twelve clinics across Hong Kong and Singapore, so a decision made once here does not have to be made eleven more times.
AstraMed is CHISON's own subsidiary in Singapore, so installation, training and service are handled locally.
The configuration I would put in front of you is the SonoEye P3 VET for the house-call and ward work, with a SonoAir 70 VET at the Singapore hospital for the referral case load.
Would you be open to a 30-day evaluation placement at no cost, one unit on the house-call rota, so your clinicians judge it on real visits rather than on a demonstration table?
Kind regards,
Casper Tan
Senior Regional Sales Manager, AstraMed Healthcare
CHISON veterinary ultrasound (Singapore · Japan · South Korea · Taiwan)
casper@astramed.sg</t>
        </is>
      </c>
    </row>
    <row r="11" ht="165" customHeight="1" s="114">
      <c r="A11" s="113" t="n">
        <v>7</v>
      </c>
      <c r="B11" s="113" t="inlineStr">
        <is>
          <t>Animal Ark Veterinary Group</t>
        </is>
      </c>
      <c r="C11" s="113" t="inlineStr">
        <is>
          <t>Independent multi-site GP group</t>
        </is>
      </c>
      <c r="D11" s="42" t="inlineStr">
        <is>
          <t>Not started</t>
        </is>
      </c>
      <c r="E11" s="43" t="n"/>
      <c r="F11" s="44" t="n"/>
      <c r="G11" s="45" t="n"/>
      <c r="H11" s="46" t="inlineStr">
        <is>
          <t>Independent multi-site GP group. 4 (Binjai, Greendale, Tampines, Tampines TCM). Located at 11 Binjai Park S589823. RELEVANCE: multi-site groups make one equipment decision and repeat it, which turns a single scanner sale into a fleet order. They also have a procurement function, so the conversation belongs at head office rather than at a clinic. Lead product: SonoEye P3 VET x4.</t>
        </is>
      </c>
      <c r="I11" s="113" t="inlineStr">
        <is>
          <t>4 (Binjai, Greendale, Tampines, Tampines TCM)</t>
        </is>
      </c>
      <c r="J11" s="113" t="inlineStr">
        <is>
          <t>11 Binjai Park S589823</t>
        </is>
      </c>
      <c r="K11" s="46" t="inlineStr">
        <is>
          <t>6100 6000</t>
        </is>
      </c>
      <c r="L11" s="47" t="inlineStr">
        <is>
          <t>https://arkvet.com.sg</t>
        </is>
      </c>
      <c r="M11" s="113" t="inlineStr">
        <is>
          <t>Not published in the register — via arkvet.com.sg</t>
        </is>
      </c>
      <c r="N11" s="113" t="inlineStr">
        <is>
          <t>B — SVA REGISTER (May 2024 edition). Phone, address and website as published there; RECONFIRM the number on the call. Emails shown are those the register printed.</t>
        </is>
      </c>
      <c r="O11" s="113" t="inlineStr">
        <is>
          <t>The largest genuinely independent multi-site group on the register. One owner, four sites, no corporate procurement to navigate — the ideal size for a first fleet reference in Singapore.</t>
        </is>
      </c>
      <c r="P11" s="113" t="inlineStr">
        <is>
          <t>SonoEye P3 VET x4</t>
        </is>
      </c>
      <c r="Q11" s="48" t="inlineStr">
        <is>
          <t>P1 — engage now</t>
        </is>
      </c>
      <c r="R11" s="49" t="inlineStr">
        <is>
          <t>HIGH — AstraMed can invoice, install and service directly today, and this account has scale or reference value.</t>
        </is>
      </c>
      <c r="S11" s="113" t="inlineStr">
        <is>
          <t>H-Fleet</t>
        </is>
      </c>
      <c r="T11" s="113" t="inlineStr">
        <is>
          <t>Verified (SVA register)</t>
        </is>
      </c>
      <c r="U11" s="50" t="inlineStr">
        <is>
          <t>Animal Ark Veterinary Group: one scanner per site</t>
        </is>
      </c>
      <c r="V11" s="50" t="inlineStr">
        <is>
          <t>Dear Animal Ark Veterinary Group team,
My name is Casper Tan, Senior Regional Sales Manager at AstraMed Healthcare, a subsidiary of CHISON Medical Technologies. I am writing to Animal Ark Veterinary Group specifically, not to a list. You run four sites under one ownership, which makes you the largest genuinely independent group on the AVS register, and the right size for a fleet decision without a corporate procurement process.
AstraMed is CHISON's own subsidiary in Singapore, so installation, training and service are handled locally. At CHISON's price point the interesting question stops being which console to buy for the flagship and becomes whether every site can have its own scanner.
The product I would put in front of you first is the SonoEye P3 VET x4.
Could I have thirty minutes with whoever owns equipment decisions across the group? I would rather have one conversation at group level than one per clinic.
Best regards,
Casper Tan
Senior Regional Sales Manager
AstraMed Healthcare, a subsidiary of CHISON Medical Technologies
casper@astramed.sg | +65 8719 0121</t>
        </is>
      </c>
    </row>
    <row r="12" ht="165" customHeight="1" s="114">
      <c r="A12" s="113" t="n">
        <v>8</v>
      </c>
      <c r="B12" s="113" t="inlineStr">
        <is>
          <t>Amber Veterinary Practice + Amber Cat Vet</t>
        </is>
      </c>
      <c r="C12" s="113" t="inlineStr">
        <is>
          <t>Advanced-diagnostics practice + dedicated feline clinic</t>
        </is>
      </c>
      <c r="D12" s="42" t="inlineStr">
        <is>
          <t>Contacted</t>
        </is>
      </c>
      <c r="E12" s="43" t="inlineStr">
        <is>
          <t>Casper</t>
        </is>
      </c>
      <c r="F12" s="44" t="inlineStr">
        <is>
          <t>Follow up by phone or email if no reply</t>
        </is>
      </c>
      <c r="G12" s="121" t="n">
        <v>46300</v>
      </c>
      <c r="H12" s="46" t="inlineStr">
        <is>
          <t>Advanced-diagnostics practice + dedicated feline clinic. 2 (adjacent, Frankel Estate). Located at 50 Burnfoot Terrace S459837.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 + P3 VET.</t>
        </is>
      </c>
      <c r="I12" s="113" t="inlineStr">
        <is>
          <t>2 (adjacent, Frankel Estate)</t>
        </is>
      </c>
      <c r="J12" s="113" t="inlineStr">
        <is>
          <t>50 Burnfoot Terrace S459837</t>
        </is>
      </c>
      <c r="K12" s="46" t="inlineStr">
        <is>
          <t>6245 5543</t>
        </is>
      </c>
      <c r="L12" s="47" t="inlineStr">
        <is>
          <t>https://ambervet.com</t>
        </is>
      </c>
      <c r="M12" s="113" t="inlineStr">
        <is>
          <t>enquiry@ambervet.com</t>
        </is>
      </c>
      <c r="N12" s="113" t="inlineStr">
        <is>
          <t>B — SVA REGISTER (May 2024 edition). Phone, address and website as published there; RECONFIRM the number on the call. Emails shown are those the register printed.</t>
        </is>
      </c>
      <c r="O12" s="113" t="inlineStr">
        <is>
          <t>Positioned publicly on advanced diagnostics and oncology. A feline-only sister clinic makes high-frequency small-patient imaging a daily requirement, which is the specific case for the P5 rather than the P3.</t>
        </is>
      </c>
      <c r="P12" s="113" t="inlineStr">
        <is>
          <t>SonoEye P5 VET (high-frequency, feline) + P3 VET</t>
        </is>
      </c>
      <c r="Q12" s="48" t="inlineStr">
        <is>
          <t>P1 — engage now</t>
        </is>
      </c>
      <c r="R12" s="49" t="inlineStr">
        <is>
          <t>HIGH — AstraMed can invoice, install and service directly today, and this account has scale or reference value.</t>
        </is>
      </c>
      <c r="S12" s="113" t="inlineStr">
        <is>
          <t>H-Eval</t>
        </is>
      </c>
      <c r="T12" s="113" t="inlineStr">
        <is>
          <t>Verified (SVA register)</t>
        </is>
      </c>
      <c r="U12" s="50" t="inlineStr">
        <is>
          <t>Amber Veterinary Practice + Amber Cat Vet: a scanner on your night shift for 30 days, no cost</t>
        </is>
      </c>
      <c r="V12" s="50" t="inlineStr">
        <is>
          <t>Dear Amber Veterinary Practice + Amber Cat Vet team,
My name is Casper Tan, Senior Regional Sales Manager at AstraMed Healthcare, a subsidiary of CHISON Medical Technologies. I am writing to Amber Veterinary Practice + Amber Cat Vet specifically, not to a list. You position publicly on advanced diagnostics and oncology, and you run a dedicated feline clinic alongside the main practice. Cats are small patients with shallow structures, which is a high-frequency imaging problem rather than a general one.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P5 VET (high-frequency, feline) and P3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c r="W12" t="inlineStr">
        <is>
          <t>EMAIL SENT 28 Sep 2026. Auto reply only (3 to 5 working days). Email appears twice in Sent, sent twice on 28 Sep.</t>
        </is>
      </c>
    </row>
    <row r="13" ht="165" customHeight="1" s="114">
      <c r="A13" s="113" t="n">
        <v>9</v>
      </c>
      <c r="B13" s="113" t="inlineStr">
        <is>
          <t>The Animal Clinic</t>
        </is>
      </c>
      <c r="C13" s="113" t="inlineStr">
        <is>
          <t>Independent GP group</t>
        </is>
      </c>
      <c r="D13" s="42" t="inlineStr">
        <is>
          <t>Not started</t>
        </is>
      </c>
      <c r="E13" s="43" t="n"/>
      <c r="F13" s="44" t="n"/>
      <c r="G13" s="45" t="n"/>
      <c r="H13" s="46" t="inlineStr">
        <is>
          <t>Independent GP group. 2 (Katong, Clementi). Located at 55 Lorong L, Telok Kurau S425500. RELEVANCE: multi-site groups make one equipment decision and repeat it, which turns a single scanner sale into a fleet order. They also have a procurement function, so the conversation belongs at head office rather than at a clinic. Lead product: SonoEye P3 VET.</t>
        </is>
      </c>
      <c r="I13" s="113" t="inlineStr">
        <is>
          <t>2 (Katong, Clementi)</t>
        </is>
      </c>
      <c r="J13" s="113" t="inlineStr">
        <is>
          <t>55 Lorong L, Telok Kurau S425500</t>
        </is>
      </c>
      <c r="K13" s="46" t="inlineStr">
        <is>
          <t>6440 4767</t>
        </is>
      </c>
      <c r="L13" s="47" t="inlineStr">
        <is>
          <t>https://animalclinic.com.sg</t>
        </is>
      </c>
      <c r="M13" s="113" t="inlineStr">
        <is>
          <t>Not published in the register — via animalclinic.com.sg</t>
        </is>
      </c>
      <c r="N13" s="113" t="inlineStr">
        <is>
          <t>B — SVA REGISTER (May 2024 edition). Phone, address and website as published there; RECONFIRM the number on the call. Emails shown are those the register printed.</t>
        </is>
      </c>
      <c r="O13" s="113" t="inlineStr">
        <is>
          <t>Long-established two-site GP group. Straight commercial sale — lead on price against the console they are currently quoting for, and on the fact that AstraMed services it locally.</t>
        </is>
      </c>
      <c r="P13" s="113" t="inlineStr">
        <is>
          <t>SonoEye P3 VET</t>
        </is>
      </c>
      <c r="Q13" s="51" t="inlineStr">
        <is>
          <t>P2</t>
        </is>
      </c>
      <c r="R13" s="49" t="inlineStr">
        <is>
          <t>HIGH — AstraMed can invoice, install and service directly today. Single decision-maker, realistic first order.</t>
        </is>
      </c>
      <c r="S13" s="113" t="inlineStr">
        <is>
          <t>H-GP</t>
        </is>
      </c>
      <c r="T13" s="113" t="inlineStr">
        <is>
          <t>Verified (SVA register)</t>
        </is>
      </c>
      <c r="U13" s="50" t="inlineStr">
        <is>
          <t>The Animal Clinic: ultrasound at a price that pays back in scans, not years</t>
        </is>
      </c>
      <c r="V13" s="50" t="inlineStr">
        <is>
          <t>Dear The Animal Clinic team,
My name is Casper Tan, Senior Regional Sales Manager at AstraMed Healthcare, a subsidiary of CHISON Medical Technologies. I am writing to The Animal Clinic specifically, not to a list. You have run two established general practices in Katong and Clementi for many years, on caseload that comfortably supports an in-house scanner at the right price.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14" ht="165" customHeight="1" s="114">
      <c r="A14" s="113" t="n">
        <v>10</v>
      </c>
      <c r="B14" s="113" t="inlineStr">
        <is>
          <t>The Animal Doctors</t>
        </is>
      </c>
      <c r="C14" s="113" t="inlineStr">
        <is>
          <t>Independent GP group</t>
        </is>
      </c>
      <c r="D14" s="42" t="inlineStr">
        <is>
          <t>Contacted</t>
        </is>
      </c>
      <c r="E14" s="43" t="inlineStr">
        <is>
          <t>Casper</t>
        </is>
      </c>
      <c r="F14" s="44" t="inlineStr">
        <is>
          <t>Get working email (call 6451 4531), then resend</t>
        </is>
      </c>
      <c r="G14" s="127" t="n"/>
      <c r="H14" s="46" t="inlineStr">
        <is>
          <t>Independent GP group. 2 (Ang Mo Kio, Tiong Bahru). Located at Blk 108 Ang Mo Kio Ave 4. RELEVANCE: multi-site groups make one equipment decision and repeat it, which turns a single scanner sale into a fleet order. They also have a procurement function, so the conversation belongs at head office rather than at a clinic. Lead product: SonoEye P3 VET.</t>
        </is>
      </c>
      <c r="I14" s="113" t="inlineStr">
        <is>
          <t>2 (Ang Mo Kio, Tiong Bahru)</t>
        </is>
      </c>
      <c r="J14" s="113" t="inlineStr">
        <is>
          <t>Blk 108 Ang Mo Kio Ave 4 #01-94/96 S560108</t>
        </is>
      </c>
      <c r="K14" s="46" t="inlineStr">
        <is>
          <t>6451 4531</t>
        </is>
      </c>
      <c r="L14" s="47" t="inlineStr">
        <is>
          <t>https://theanimaldoctors.com.sg</t>
        </is>
      </c>
      <c r="M14" s="128" t="inlineStr">
        <is>
          <t>theanimaldoctors@singnet.com.sg · tad_tb11a@singnet.com.sg (Tiong Bahru)</t>
        </is>
      </c>
      <c r="N14" s="113" t="inlineStr">
        <is>
          <t>B — SVA REGISTER (May 2024 edition). Phone, address and website as published there; RECONFIRM the number on the call. Emails shown are those the register printed.</t>
        </is>
      </c>
      <c r="O14" s="113" t="inlineStr">
        <is>
          <t>Two-site GP group in dense HDB catchments — high consultation volume, price-sensitive, exactly the buyer CHISON's cost position is built for.</t>
        </is>
      </c>
      <c r="P14" s="113" t="inlineStr">
        <is>
          <t>SonoEye P3 VET</t>
        </is>
      </c>
      <c r="Q14" s="51" t="inlineStr">
        <is>
          <t>P2</t>
        </is>
      </c>
      <c r="R14" s="49" t="inlineStr">
        <is>
          <t>HIGH — AstraMed can invoice, install and service directly today. Single decision-maker, realistic first order.</t>
        </is>
      </c>
      <c r="S14" s="113" t="inlineStr">
        <is>
          <t>H-GP</t>
        </is>
      </c>
      <c r="T14" s="113" t="inlineStr">
        <is>
          <t>Verified (SVA register)</t>
        </is>
      </c>
      <c r="U14" s="50" t="inlineStr">
        <is>
          <t>The Animal Doctors: ultrasound at a price that pays back in scans, not years</t>
        </is>
      </c>
      <c r="V14" s="50" t="inlineStr">
        <is>
          <t>Dear The Animal Doctors team,
My name is Casper Tan, Senior Regional Sales Manager at AstraMed Healthcare, a subsidiary of CHISON Medical Technologies. I am writing to The Animal Doctors specifically, not to a list. You run two clinics in dense HDB catchments, in Ang Mo Kio and Tiong Bahru, where consultation volume is high and price discipline matters.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4" s="129" t="inlineStr">
        <is>
          <t>EMAIL FAILED (bounced 29 Sep 2026). Sent 28 Sep 23:51 SGT to theanimaldoctors@singnet.com.sg and tad_tb11a@singnet.com.sg. Server response: 550 5.1.1 recipient rejected (tad_tb11a@ address explicitly rejected; both addresses returned as permanent fatal errors). Not delivered. To do: call 6451 4531 for a working email or use the website contact form, then resend.</t>
        </is>
      </c>
    </row>
    <row r="15" ht="165" customHeight="1" s="114">
      <c r="A15" s="113" t="n">
        <v>11</v>
      </c>
      <c r="B15" s="113" t="inlineStr">
        <is>
          <t>Vet Central</t>
        </is>
      </c>
      <c r="C15" s="113" t="inlineStr">
        <is>
          <t>Independent GP group</t>
        </is>
      </c>
      <c r="D15" s="42" t="inlineStr">
        <is>
          <t>Contacted</t>
        </is>
      </c>
      <c r="E15" s="43" t="inlineStr">
        <is>
          <t>Casper</t>
        </is>
      </c>
      <c r="F15" s="44" t="inlineStr">
        <is>
          <t>Follow up by phone or email if no reply</t>
        </is>
      </c>
      <c r="G15" s="121" t="n">
        <v>46300</v>
      </c>
      <c r="H15" s="46" t="inlineStr">
        <is>
          <t>Independent GP group. 2 (Toa Payoh, Swan Lake). Located at Blk 69 Lorong 4 Toa Payoh. RELEVANCE: multi-site groups make one equipment decision and repeat it, which turns a single scanner sale into a fleet order. They also have a procurement function, so the conversation belongs at head office rather than at a clinic. Lead product: SonoEye P3 VET x2.</t>
        </is>
      </c>
      <c r="I15" s="113" t="inlineStr">
        <is>
          <t>2 (Toa Payoh, Swan Lake)</t>
        </is>
      </c>
      <c r="J15" s="113" t="inlineStr">
        <is>
          <t>Blk 69 Lorong 4 Toa Payoh #01-357 S310069</t>
        </is>
      </c>
      <c r="K15" s="46" t="inlineStr">
        <is>
          <t>6635 8646</t>
        </is>
      </c>
      <c r="L15" s="47" t="inlineStr">
        <is>
          <t>https://vetcentral.com.sg</t>
        </is>
      </c>
      <c r="M15" s="113" t="inlineStr">
        <is>
          <t>contact@vetcentral.com.sg</t>
        </is>
      </c>
      <c r="N15" s="113" t="inlineStr">
        <is>
          <t>B — SVA REGISTER (May 2024 edition). Phone, address and website as published there; RECONFIRM the number on the call. Emails shown are those the register printed.</t>
        </is>
      </c>
      <c r="O15" s="113" t="inlineStr">
        <is>
          <t>Two sites, one owner. A two-unit order is an easy first close and gives you a second Singapore reference quickly.</t>
        </is>
      </c>
      <c r="P15" s="113" t="inlineStr">
        <is>
          <t>SonoEye P3 VET x2</t>
        </is>
      </c>
      <c r="Q15" s="51" t="inlineStr">
        <is>
          <t>P2</t>
        </is>
      </c>
      <c r="R15" s="49" t="inlineStr">
        <is>
          <t>HIGH — AstraMed can invoice, install and service directly today. Single decision-maker, realistic first order.</t>
        </is>
      </c>
      <c r="S15" s="113" t="inlineStr">
        <is>
          <t>H-GP</t>
        </is>
      </c>
      <c r="T15" s="113" t="inlineStr">
        <is>
          <t>Verified (SVA register)</t>
        </is>
      </c>
      <c r="U15" s="50" t="inlineStr">
        <is>
          <t>Vet Central: ultrasound at a price that pays back in scans, not years</t>
        </is>
      </c>
      <c r="V15" s="50" t="inlineStr">
        <is>
          <t>Dear Vet Central team,
My name is Casper Tan, Senior Regional Sales Manager at AstraMed Healthcare, a subsidiary of CHISON Medical Technologies. I am writing to Vet Central specifically, not to a list. You run two sites, in Toa Payoh and at Swan Lake, under one ownership, which makes a two-unit decision a single conversation.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5" t="inlineStr">
        <is>
          <t>EMAIL SENT 28 Sep 2026. Auto reply only (reply within 5 business days).</t>
        </is>
      </c>
    </row>
    <row r="16" ht="165" customHeight="1" s="114">
      <c r="A16" s="113" t="n">
        <v>12</v>
      </c>
      <c r="B16" s="113" t="inlineStr">
        <is>
          <t>Vets for Life Animal Clinic</t>
        </is>
      </c>
      <c r="C16" s="113" t="inlineStr">
        <is>
          <t>Independent GP group</t>
        </is>
      </c>
      <c r="D16" s="42" t="inlineStr">
        <is>
          <t>Contacted</t>
        </is>
      </c>
      <c r="E16" s="43" t="inlineStr">
        <is>
          <t>Casper</t>
        </is>
      </c>
      <c r="F16" s="44" t="inlineStr">
        <is>
          <t>Follow up by phone or email if no reply</t>
        </is>
      </c>
      <c r="G16" s="121" t="n">
        <v>46300</v>
      </c>
      <c r="H16" s="46" t="inlineStr">
        <is>
          <t>Independent GP group. 2 (River Valley, Tanjong Katong). Located at 491 River Valley Rd, Valley Point. RELEVANCE: multi-site groups make one equipment decision and repeat it, which turns a single scanner sale into a fleet order. They also have a procurement function, so the conversation belongs at head office rather than at a clinic. Lead product: SonoEye P3 VET x2.</t>
        </is>
      </c>
      <c r="I16" s="113" t="inlineStr">
        <is>
          <t>2 (River Valley, Tanjong Katong)</t>
        </is>
      </c>
      <c r="J16" s="113" t="inlineStr">
        <is>
          <t>491 River Valley Rd, Valley Point #01-05/06 S248371</t>
        </is>
      </c>
      <c r="K16" s="46" t="inlineStr">
        <is>
          <t>6732 0273</t>
        </is>
      </c>
      <c r="L16" s="47" t="inlineStr">
        <is>
          <t>https://vetsforlife.com.sg</t>
        </is>
      </c>
      <c r="M16" s="113" t="inlineStr">
        <is>
          <t>enquiries@vetsforlife.com.sg</t>
        </is>
      </c>
      <c r="N16" s="113" t="inlineStr">
        <is>
          <t>B — SVA REGISTER (May 2024 edition). Phone, address and website as published there; RECONFIRM the number on the call. Emails shown are those the register printed.</t>
        </is>
      </c>
      <c r="O16" s="113" t="inlineStr">
        <is>
          <t>Central and east coast sites serving a higher-income catchment where owners accept diagnostic imaging charges — so the clinic recovers the unit cost quickly. Lead with payback, not with price.</t>
        </is>
      </c>
      <c r="P16" s="113" t="inlineStr">
        <is>
          <t>SonoEye P3 VET x2</t>
        </is>
      </c>
      <c r="Q16" s="51" t="inlineStr">
        <is>
          <t>P2</t>
        </is>
      </c>
      <c r="R16" s="49" t="inlineStr">
        <is>
          <t>HIGH — AstraMed can invoice, install and service directly today. Single decision-maker, realistic first order.</t>
        </is>
      </c>
      <c r="S16" s="113" t="inlineStr">
        <is>
          <t>H-GP</t>
        </is>
      </c>
      <c r="T16" s="113" t="inlineStr">
        <is>
          <t>Verified (SVA register)</t>
        </is>
      </c>
      <c r="U16" s="50" t="inlineStr">
        <is>
          <t>Vets for Life Animal Clinic: ultrasound at a price that pays back in scans, not years</t>
        </is>
      </c>
      <c r="V16" s="50" t="inlineStr">
        <is>
          <t>Dear Vets for Life Animal Clinic team,
My name is Casper Tan, Senior Regional Sales Manager at AstraMed Healthcare, a subsidiary of CHISON Medical Technologies. I am writing to Vets for Life Animal Clinic specifically, not to a list. Your River Valley and Tanjong Katong catchments are ones where owners accept diagnostic charges, so an in-house scanner recovers its cost quickly rather than sitting as a sunk expense.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6" t="inlineStr">
        <is>
          <t>EMAIL SENT 28 Sep 2026. No reply yet.</t>
        </is>
      </c>
    </row>
    <row r="17" ht="165" customHeight="1" s="114">
      <c r="A17" s="113" t="n">
        <v>13</v>
      </c>
      <c r="B17" s="113" t="inlineStr">
        <is>
          <t>The Veterinary Clinic</t>
        </is>
      </c>
      <c r="C17" s="113" t="inlineStr">
        <is>
          <t>Independent GP group</t>
        </is>
      </c>
      <c r="D17" s="42" t="inlineStr">
        <is>
          <t>Contacted</t>
        </is>
      </c>
      <c r="E17" s="43" t="inlineStr">
        <is>
          <t>Casper</t>
        </is>
      </c>
      <c r="F17" s="44" t="inlineStr">
        <is>
          <t>Get working email (call 6468 6312), then resend</t>
        </is>
      </c>
      <c r="G17" s="127" t="n"/>
      <c r="H17" s="46" t="inlineStr">
        <is>
          <t>Independent GP group. 2 (Holland Village, Tampines). Located at 31A &amp; 33A Lorong Liput S277742. RELEVANCE: multi-site groups make one equipment decision and repeat it, which turns a single scanner sale into a fleet order. They also have a procurement function, so the conversation belongs at head office rather than at a clinic. Lead product: SonoEye P3 VET x2.</t>
        </is>
      </c>
      <c r="I17" s="113" t="inlineStr">
        <is>
          <t>2 (Holland Village, Tampines)</t>
        </is>
      </c>
      <c r="J17" s="113" t="inlineStr">
        <is>
          <t>31A &amp; 33A Lorong Liput S277742</t>
        </is>
      </c>
      <c r="K17" s="46" t="inlineStr">
        <is>
          <t>6468 6312</t>
        </is>
      </c>
      <c r="L17" s="47" t="inlineStr">
        <is>
          <t>https://vetclinic.sg</t>
        </is>
      </c>
      <c r="M17" s="128" t="inlineStr">
        <is>
          <t>enquiries@vetclinic.sg</t>
        </is>
      </c>
      <c r="N17" s="113" t="inlineStr">
        <is>
          <t>B — SVA REGISTER (May 2024 edition). Phone, address and website as published there; RECONFIRM the number on the call. Emails shown are those the register printed.</t>
        </is>
      </c>
      <c r="O17" s="113" t="inlineStr">
        <is>
          <t>Two-site group across opposite ends of the island; a shared portable unit is a weaker sell than one per site, so quote both.</t>
        </is>
      </c>
      <c r="P17" s="113" t="inlineStr">
        <is>
          <t>SonoEye P3 VET x2</t>
        </is>
      </c>
      <c r="Q17" s="57" t="inlineStr">
        <is>
          <t>P3</t>
        </is>
      </c>
      <c r="R17" s="52" t="inlineStr">
        <is>
          <t>MEDIUM — AstraMed can invoice, install and service directly today, but a single-site clinic on a price-led decision. Volume comes from working these in clusters.</t>
        </is>
      </c>
      <c r="S17" s="113" t="inlineStr">
        <is>
          <t>H-GP</t>
        </is>
      </c>
      <c r="T17" s="113" t="inlineStr">
        <is>
          <t>Verified (SVA register)</t>
        </is>
      </c>
      <c r="U17" s="50" t="inlineStr">
        <is>
          <t>The Veterinary Clinic: ultrasound at a price that pays back in scans, not years</t>
        </is>
      </c>
      <c r="V17" s="50" t="inlineStr">
        <is>
          <t>Dear The Veterinary Clinic team,
My name is Casper Tan, Senior Regional Sales Manager at AstraMed Healthcare, a subsidiary of CHISON Medical Technologies. I am writing to The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7" s="129" t="inlineStr">
        <is>
          <t>EMAIL FAILED (bounced 29 Sep 2026). Sent 28 Sep 23:48 SGT to enquiries@vetclinic.sg. Server response: 550 5.1.1 User does not exist (Zoho). Not delivered. To do: call 6468 6312 or use the website form to get a valid email, then resend.</t>
        </is>
      </c>
    </row>
    <row r="18" ht="165" customHeight="1" s="114">
      <c r="A18" s="113" t="n">
        <v>14</v>
      </c>
      <c r="B18" s="113" t="inlineStr">
        <is>
          <t>The Joyous Vet</t>
        </is>
      </c>
      <c r="C18" s="113" t="inlineStr">
        <is>
          <t>Independent GP group</t>
        </is>
      </c>
      <c r="D18" s="42" t="inlineStr">
        <is>
          <t>Contacted</t>
        </is>
      </c>
      <c r="E18" s="43" t="inlineStr">
        <is>
          <t>Casper</t>
        </is>
      </c>
      <c r="F18" s="44" t="inlineStr">
        <is>
          <t>Follow up by phone or email if no reply</t>
        </is>
      </c>
      <c r="G18" s="121" t="n">
        <v>46300</v>
      </c>
      <c r="H18" s="46" t="inlineStr">
        <is>
          <t>Independent GP group. 2 (Choa Chu Kang, Yuan Ching). Located at Blk 475 Choa Chu Kang Ave 3. RELEVANCE: multi-site groups make one equipment decision and repeat it, which turns a single scanner sale into a fleet order. They also have a procurement function, so the conversation belongs at head office rather than at a clinic. Lead product: SonoEye P3 VET.</t>
        </is>
      </c>
      <c r="I18" s="113" t="inlineStr">
        <is>
          <t>2 (Choa Chu Kang, Yuan Ching)</t>
        </is>
      </c>
      <c r="J18" s="113" t="inlineStr">
        <is>
          <t>Blk 475 Choa Chu Kang Ave 3 #01-30A S680475</t>
        </is>
      </c>
      <c r="K18" s="46" t="inlineStr">
        <is>
          <t>6769 0304</t>
        </is>
      </c>
      <c r="L18" s="47" t="inlineStr">
        <is>
          <t>https://tjv.com.sg</t>
        </is>
      </c>
      <c r="M18" s="113" t="inlineStr">
        <is>
          <t>admin@tjv.com.sg</t>
        </is>
      </c>
      <c r="N18" s="113" t="inlineStr">
        <is>
          <t>B — SVA REGISTER (May 2024 edition). Phone, address and website as published there; RECONFIRM the number on the call. Emails shown are those the register printed.</t>
        </is>
      </c>
      <c r="O18" s="113" t="inlineStr">
        <is>
          <t>Heartland GP group. Price-led sale — this is where the cost gap against GE, Fujifilm and Mindray does the selling for you.</t>
        </is>
      </c>
      <c r="P18" s="113" t="inlineStr">
        <is>
          <t>SonoEye P3 VET</t>
        </is>
      </c>
      <c r="Q18" s="57" t="inlineStr">
        <is>
          <t>P3</t>
        </is>
      </c>
      <c r="R18" s="52" t="inlineStr">
        <is>
          <t>MEDIUM — AstraMed can invoice, install and service directly today, but a single-site clinic on a price-led decision. Volume comes from working these in clusters.</t>
        </is>
      </c>
      <c r="S18" s="113" t="inlineStr">
        <is>
          <t>H-GP</t>
        </is>
      </c>
      <c r="T18" s="113" t="inlineStr">
        <is>
          <t>Verified (SVA register)</t>
        </is>
      </c>
      <c r="U18" s="50" t="inlineStr">
        <is>
          <t>The Joyous Vet: ultrasound at a price that pays back in scans, not years</t>
        </is>
      </c>
      <c r="V18" s="50" t="inlineStr">
        <is>
          <t>Dear The Joyous Vet team,
My name is Casper Tan, Senior Regional Sales Manager at AstraMed Healthcare, a subsidiary of CHISON Medical Technologies. I am writing to The Joyous Vet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8" t="inlineStr">
        <is>
          <t>EMAIL SENT 28 Sep 2026. No reply yet.</t>
        </is>
      </c>
    </row>
    <row r="19" ht="165" customHeight="1" s="114">
      <c r="A19" s="113" t="n">
        <v>15</v>
      </c>
      <c r="B19" s="113" t="inlineStr">
        <is>
          <t>Vet Practice Pte Ltd</t>
        </is>
      </c>
      <c r="C19" s="113" t="inlineStr">
        <is>
          <t>Independent GP group</t>
        </is>
      </c>
      <c r="D19" s="42" t="inlineStr">
        <is>
          <t>Not started</t>
        </is>
      </c>
      <c r="E19" s="43" t="n"/>
      <c r="F19" s="44" t="n"/>
      <c r="G19" s="45" t="n"/>
      <c r="H19" s="46" t="inlineStr">
        <is>
          <t>Independent GP group. 2 (Lorong Kilat, Holland Close). Located at 21 Lorong Kilat. RELEVANCE: multi-site groups make one equipment decision and repeat it, which turns a single scanner sale into a fleet order. They also have a procurement function, so the conversation belongs at head office rather than at a clinic. Lead product: SonoEye P3 VET.</t>
        </is>
      </c>
      <c r="I19" s="113" t="inlineStr">
        <is>
          <t>2 (Lorong Kilat, Holland Close)</t>
        </is>
      </c>
      <c r="J19" s="113" t="inlineStr">
        <is>
          <t>21 Lorong Kilat #01-04/05 S598123</t>
        </is>
      </c>
      <c r="K19" s="46" t="inlineStr">
        <is>
          <t>6462 1757</t>
        </is>
      </c>
      <c r="L19" s="47" t="inlineStr">
        <is>
          <t>https://vetpractice.com.sg</t>
        </is>
      </c>
      <c r="M19" s="113" t="inlineStr">
        <is>
          <t>Not published in the register — via vetpractice.com.sg</t>
        </is>
      </c>
      <c r="N19" s="113" t="inlineStr">
        <is>
          <t>B — SVA REGISTER (May 2024 edition). Phone, address and website as published there; RECONFIRM the number on the call. Emails shown are those the register printed.</t>
        </is>
      </c>
      <c r="O19" s="113" t="inlineStr">
        <is>
          <t>Two-site west-central group. Standard GP pitch.</t>
        </is>
      </c>
      <c r="P19" s="113" t="inlineStr">
        <is>
          <t>SonoEye P3 VET</t>
        </is>
      </c>
      <c r="Q19" s="57" t="inlineStr">
        <is>
          <t>P3</t>
        </is>
      </c>
      <c r="R19" s="52" t="inlineStr">
        <is>
          <t>MEDIUM — AstraMed can invoice, install and service directly today, but a single-site clinic on a price-led decision. Volume comes from working these in clusters.</t>
        </is>
      </c>
      <c r="S19" s="113" t="inlineStr">
        <is>
          <t>H-GP</t>
        </is>
      </c>
      <c r="T19" s="113" t="inlineStr">
        <is>
          <t>Verified (SVA register)</t>
        </is>
      </c>
      <c r="U19" s="50" t="inlineStr">
        <is>
          <t>Vet Practice Pte Ltd: ultrasound at a price that pays back in scans, not years</t>
        </is>
      </c>
      <c r="V19" s="50" t="inlineStr">
        <is>
          <t>Dear Vet Practice Pte Ltd team,
My name is Casper Tan, Senior Regional Sales Manager at AstraMed Healthcare, a subsidiary of CHISON Medical Technologies. I am writing to Vet Practice Pte Ltd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0" ht="165" customHeight="1" s="114">
      <c r="A20" s="113" t="n">
        <v>16</v>
      </c>
      <c r="B20" s="113" t="inlineStr">
        <is>
          <t>Island Veterinary Clinic</t>
        </is>
      </c>
      <c r="C20" s="113" t="inlineStr">
        <is>
          <t>Independent GP group</t>
        </is>
      </c>
      <c r="D20" s="42" t="inlineStr">
        <is>
          <t>Contacted</t>
        </is>
      </c>
      <c r="E20" s="43" t="inlineStr">
        <is>
          <t>Casper</t>
        </is>
      </c>
      <c r="F20" s="44" t="inlineStr">
        <is>
          <t>Follow up by phone or email if no reply</t>
        </is>
      </c>
      <c r="G20" s="121" t="n">
        <v>46300</v>
      </c>
      <c r="H20" s="46" t="inlineStr">
        <is>
          <t>Independent GP group. 2 (Jurong East, Bedok North). Located at 114 Jurong East St 13. RELEVANCE: multi-site groups make one equipment decision and repeat it, which turns a single scanner sale into a fleet order. They also have a procurement function, so the conversation belongs at head office rather than at a clinic. Lead product: SonoEye P3 VET x2.</t>
        </is>
      </c>
      <c r="I20" s="113" t="inlineStr">
        <is>
          <t>2 (Jurong East, Bedok North)</t>
        </is>
      </c>
      <c r="J20" s="113" t="inlineStr">
        <is>
          <t>114 Jurong East St 13 #01-404 S600114</t>
        </is>
      </c>
      <c r="K20" s="46" t="inlineStr">
        <is>
          <t>6560 5991</t>
        </is>
      </c>
      <c r="L20" s="47" t="inlineStr">
        <is>
          <t>https://ivc.com.sg</t>
        </is>
      </c>
      <c r="M20" s="113" t="inlineStr">
        <is>
          <t>islandvets@ivc.com.sg</t>
        </is>
      </c>
      <c r="N20" s="113" t="inlineStr">
        <is>
          <t>B — SVA REGISTER (May 2024 edition). Phone, address and website as published there; RECONFIRM the number on the call. Emails shown are those the register printed.</t>
        </is>
      </c>
      <c r="O20" s="113" t="inlineStr">
        <is>
          <t>Two sites at opposite ends of the island. Quote two units, not one shared.</t>
        </is>
      </c>
      <c r="P20" s="113" t="inlineStr">
        <is>
          <t>SonoEye P3 VET x2</t>
        </is>
      </c>
      <c r="Q20" s="57" t="inlineStr">
        <is>
          <t>P3</t>
        </is>
      </c>
      <c r="R20" s="52" t="inlineStr">
        <is>
          <t>MEDIUM — AstraMed can invoice, install and service directly today, but a single-site clinic on a price-led decision. Volume comes from working these in clusters.</t>
        </is>
      </c>
      <c r="S20" s="113" t="inlineStr">
        <is>
          <t>H-GP</t>
        </is>
      </c>
      <c r="T20" s="113" t="inlineStr">
        <is>
          <t>Verified (SVA register)</t>
        </is>
      </c>
      <c r="U20" s="50" t="inlineStr">
        <is>
          <t>Island Veterinary Clinic: ultrasound at a price that pays back in scans, not years</t>
        </is>
      </c>
      <c r="V20" s="50" t="inlineStr">
        <is>
          <t>Dear Island Veterinary Clinic team,
My name is Casper Tan, Senior Regional Sales Manager at AstraMed Healthcare, a subsidiary of CHISON Medical Technologies. I am writing to Island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0" t="inlineStr">
        <is>
          <t>EMAIL SENT 28 Sep 2026. No reply yet.</t>
        </is>
      </c>
    </row>
    <row r="21" ht="165" customHeight="1" s="114">
      <c r="A21" s="113" t="n">
        <v>17</v>
      </c>
      <c r="B21" s="113" t="inlineStr">
        <is>
          <t>Stars Veterinary Clinic</t>
        </is>
      </c>
      <c r="C21" s="113" t="inlineStr">
        <is>
          <t>Independent GP group</t>
        </is>
      </c>
      <c r="D21" s="42" t="inlineStr">
        <is>
          <t>Contacted</t>
        </is>
      </c>
      <c r="E21" s="43" t="inlineStr">
        <is>
          <t>Casper</t>
        </is>
      </c>
      <c r="F21" s="44" t="inlineStr">
        <is>
          <t>Follow up by phone or email if no reply</t>
        </is>
      </c>
      <c r="G21" s="121" t="n">
        <v>46300</v>
      </c>
      <c r="H21" s="46" t="inlineStr">
        <is>
          <t>Independent GP group. 2 (Hougang St 21, Hougang Village). Located at 211 Hougang St 21. RELEVANCE: multi-site groups make one equipment decision and repeat it, which turns a single scanner sale into a fleet order. They also have a procurement function, so the conversation belongs at head office rather than at a clinic. Lead product: SonoEye P3 VET (shared between two sites).</t>
        </is>
      </c>
      <c r="I21" s="113" t="inlineStr">
        <is>
          <t>2 (Hougang St 21, Hougang Village)</t>
        </is>
      </c>
      <c r="J21" s="113" t="inlineStr">
        <is>
          <t>211 Hougang St 21 #01-301 S530211</t>
        </is>
      </c>
      <c r="K21" s="46" t="inlineStr">
        <is>
          <t>6280 9880</t>
        </is>
      </c>
      <c r="L21" s="47" t="inlineStr">
        <is>
          <t>https://starsveterinaryclinic.com</t>
        </is>
      </c>
      <c r="M21" s="113" t="inlineStr">
        <is>
          <t>starsveterinary.hgv@gmail.com (Hougang Village)</t>
        </is>
      </c>
      <c r="N21" s="113" t="inlineStr">
        <is>
          <t>B — SVA REGISTER (May 2024 edition). Phone, address and website as published there; RECONFIRM the number on the call. Emails shown are those the register printed.</t>
        </is>
      </c>
      <c r="O21" s="113" t="inlineStr">
        <is>
          <t>Two Hougang sites close together — a genuine case for one shared portable unit, which lowers the entry price and makes a first order easy.</t>
        </is>
      </c>
      <c r="P21" s="113" t="inlineStr">
        <is>
          <t>SonoEye P3 VET (shared between two sites)</t>
        </is>
      </c>
      <c r="Q21" s="57" t="inlineStr">
        <is>
          <t>P3</t>
        </is>
      </c>
      <c r="R21" s="52" t="inlineStr">
        <is>
          <t>MEDIUM — AstraMed can invoice, install and service directly today, but a single-site clinic on a price-led decision. Volume comes from working these in clusters.</t>
        </is>
      </c>
      <c r="S21" s="113" t="inlineStr">
        <is>
          <t>H-GP</t>
        </is>
      </c>
      <c r="T21" s="113" t="inlineStr">
        <is>
          <t>Verified (SVA register)</t>
        </is>
      </c>
      <c r="U21" s="50" t="inlineStr">
        <is>
          <t>Stars Veterinary Clinic: ultrasound at a price that pays back in scans, not years</t>
        </is>
      </c>
      <c r="V21" s="50" t="inlineStr">
        <is>
          <t>Dear Stars Veterinary Clinic team,
My name is Casper Tan, Senior Regional Sales Manager at AstraMed Healthcare, a subsidiary of CHISON Medical Technologies. I am writing to Stars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(shared between two sites).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1" t="inlineStr">
        <is>
          <t>EMAIL SENT 28 Sep 2026. No reply yet.</t>
        </is>
      </c>
    </row>
    <row r="22" ht="165" customHeight="1" s="114">
      <c r="A22" s="113" t="n">
        <v>18</v>
      </c>
      <c r="B22" s="113" t="inlineStr">
        <is>
          <t>Point Veterinary Surgery</t>
        </is>
      </c>
      <c r="C22" s="113" t="inlineStr">
        <is>
          <t>Independent GP group</t>
        </is>
      </c>
      <c r="D22" s="42" t="inlineStr">
        <is>
          <t>Not started</t>
        </is>
      </c>
      <c r="E22" s="43" t="n"/>
      <c r="F22" s="44" t="n"/>
      <c r="G22" s="45" t="n"/>
      <c r="H22" s="46" t="inlineStr">
        <is>
          <t>Independent GP group. 2 (Jurong West, Telok Blangah). Located at 541 Jurong West Ave 1. RELEVANCE: multi-site groups make one equipment decision and repeat it, which turns a single scanner sale into a fleet order. They also have a procurement function, so the conversation belongs at head office rather than at a clinic. Lead product: SonoEye P3 VET.</t>
        </is>
      </c>
      <c r="I22" s="113" t="inlineStr">
        <is>
          <t>2 (Jurong West, Telok Blangah)</t>
        </is>
      </c>
      <c r="J22" s="113" t="inlineStr">
        <is>
          <t>541 Jurong West Ave 1 #01-1044 S640541</t>
        </is>
      </c>
      <c r="K22" s="46" t="inlineStr">
        <is>
          <t>6425 6772</t>
        </is>
      </c>
      <c r="L22" s="47" t="inlineStr">
        <is>
          <t>https://pointveterinarysurgery.com</t>
        </is>
      </c>
      <c r="M22" s="113" t="inlineStr">
        <is>
          <t>Not published in the register — via pointveterinarysurgery.com</t>
        </is>
      </c>
      <c r="N22" s="113" t="inlineStr">
        <is>
          <t>B — SVA REGISTER (May 2024 edition). Phone, address and website as published there; RECONFIRM the number on the call. Emails shown are those the register printed.</t>
        </is>
      </c>
      <c r="O22" s="113" t="inlineStr">
        <is>
          <t>Standard two-site GP pitch, heartland catchment, price-led.</t>
        </is>
      </c>
      <c r="P22" s="113" t="inlineStr">
        <is>
          <t>SonoEye P3 VET</t>
        </is>
      </c>
      <c r="Q22" s="57" t="inlineStr">
        <is>
          <t>P3</t>
        </is>
      </c>
      <c r="R22" s="52" t="inlineStr">
        <is>
          <t>MEDIUM — AstraMed can invoice, install and service directly today, but a single-site clinic on a price-led decision. Volume comes from working these in clusters.</t>
        </is>
      </c>
      <c r="S22" s="113" t="inlineStr">
        <is>
          <t>H-GP</t>
        </is>
      </c>
      <c r="T22" s="113" t="inlineStr">
        <is>
          <t>Verified (SVA register)</t>
        </is>
      </c>
      <c r="U22" s="50" t="inlineStr">
        <is>
          <t>Point Veterinary Surgery: ultrasound at a price that pays back in scans, not years</t>
        </is>
      </c>
      <c r="V22" s="50" t="inlineStr">
        <is>
          <t>Dear Point Veterinary Surgery team,
My name is Casper Tan, Senior Regional Sales Manager at AstraMed Healthcare, a subsidiary of CHISON Medical Technologies. I am writing to Point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3" ht="165" customHeight="1" s="114">
      <c r="A23" s="113" t="n">
        <v>19</v>
      </c>
      <c r="B23" s="113" t="inlineStr">
        <is>
          <t>Animal Infirmary</t>
        </is>
      </c>
      <c r="C23" s="113" t="inlineStr">
        <is>
          <t>Independent hospital</t>
        </is>
      </c>
      <c r="D23" s="42" t="inlineStr">
        <is>
          <t>Not started</t>
        </is>
      </c>
      <c r="E23" s="43" t="n"/>
      <c r="F23" s="44" t="n"/>
      <c r="G23" s="45" t="n"/>
      <c r="H23" s="46" t="inlineStr">
        <is>
          <t>Independent hospital. 1. Located at 74 Thomson Road S307590.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EBit 50 VET.</t>
        </is>
      </c>
      <c r="I23" s="113" t="inlineStr">
        <is>
          <t>1</t>
        </is>
      </c>
      <c r="J23" s="113" t="inlineStr">
        <is>
          <t>74 Thomson Road S307590</t>
        </is>
      </c>
      <c r="K23" s="46" t="inlineStr">
        <is>
          <t>6358 2663</t>
        </is>
      </c>
      <c r="L23" s="47" t="inlineStr">
        <is>
          <t>https://aivet.com.sg</t>
        </is>
      </c>
      <c r="M23" s="113" t="inlineStr">
        <is>
          <t>NOT CONFIRMED · info@aivet.com.sg bounces (domain does not exist, checked 27 Sep 2026); use the form at https://animalinfirmary.com.sg/contact/</t>
        </is>
      </c>
      <c r="N23" s="113" t="inlineStr">
        <is>
          <t>B — SVA REGISTER (May 2024 edition). Phone, address and website as published there; RECONFIRM the number on the call. Emails shown are those the register printed.</t>
        </is>
      </c>
      <c r="O23" s="113" t="inlineStr">
        <is>
          <t>Central-location hospital with inpatient capability — inpatients mean repeat scanning, which is the utilisation argument that justifies a dedicated unit rather than borrowing one.</t>
        </is>
      </c>
      <c r="P23" s="113" t="inlineStr">
        <is>
          <t>SonoEye P3 VET + EBit 50 VET</t>
        </is>
      </c>
      <c r="Q23" s="51" t="inlineStr">
        <is>
          <t>P2</t>
        </is>
      </c>
      <c r="R23" s="49" t="inlineStr">
        <is>
          <t>HIGH — AstraMed can invoice, install and service directly today. Single decision-maker, realistic first order.</t>
        </is>
      </c>
      <c r="S23" s="113" t="inlineStr">
        <is>
          <t>H-Eval</t>
        </is>
      </c>
      <c r="T23" s="113" t="inlineStr">
        <is>
          <t>Verified (SVA register) · v11 CHECK 27 Sep 2026: aivet.com.sg did not resolve in DNS; the site may have moved or closed, confirm before relying on it.</t>
        </is>
      </c>
      <c r="U23" s="50" t="inlineStr">
        <is>
          <t>Animal Infirmary: a scanner on your night shift for 30 days, no cost</t>
        </is>
      </c>
      <c r="V23" s="50" t="inlineStr">
        <is>
          <t>Dear Animal Infirmary team,
My name is Casper Tan, Senior Regional Sales Manager at AstraMed Healthcare, a subsidiary of CHISON Medical Technologies. I am writing to Animal Infirmary specifically, not to a list. Most general practices in Singapore either refer ultrasound out or work around a machine bought years ago, because the quotes coming from the large brands do not make sense at general-practice caseload.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and EBit 50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24" ht="165" customHeight="1" s="114">
      <c r="A24" s="113" t="n">
        <v>20</v>
      </c>
      <c r="B24" s="113" t="inlineStr">
        <is>
          <t>Companion Animal Surgery</t>
        </is>
      </c>
      <c r="C24" s="113" t="inlineStr">
        <is>
          <t>Surgery-led practice</t>
        </is>
      </c>
      <c r="D24" s="42" t="inlineStr">
        <is>
          <t>Contacted</t>
        </is>
      </c>
      <c r="E24" s="43" t="inlineStr">
        <is>
          <t>Casper</t>
        </is>
      </c>
      <c r="F24" s="44" t="inlineStr">
        <is>
          <t>Follow up by phone or email if no reply</t>
        </is>
      </c>
      <c r="G24" s="121" t="n">
        <v>46300</v>
      </c>
      <c r="H24" s="46" t="inlineStr">
        <is>
          <t>Surgery-led practice. 1. Located at 12 Boon Teck Rd. RELEVANCE: a surgical practice buys imaging for peri-operative use — nerve block, vascular access and pre-anaesthetic FAST — which is a different demonstration from the abdominal one and the one that closes this account. Lead product: SonoEye P3 VET (peri-op) + SonoTouch VET.</t>
        </is>
      </c>
      <c r="I24" s="113" t="inlineStr">
        <is>
          <t>1</t>
        </is>
      </c>
      <c r="J24" s="113" t="inlineStr">
        <is>
          <t>12 Boon Teck Rd #01-04/05, Shaw Corner S329586</t>
        </is>
      </c>
      <c r="K24" s="46" t="inlineStr">
        <is>
          <t>6255 7950</t>
        </is>
      </c>
      <c r="L24" s="47" t="inlineStr">
        <is>
          <t>https://comvet.com</t>
        </is>
      </c>
      <c r="M24" s="113" t="inlineStr">
        <is>
          <t>clinic@comvet.com</t>
        </is>
      </c>
      <c r="N24" s="113" t="inlineStr">
        <is>
          <t>B — SVA REGISTER (May 2024 edition). Phone, address and website as published there; RECONFIRM the number on the call. Emails shown are those the register printed.</t>
        </is>
      </c>
      <c r="O24" s="113" t="inlineStr">
        <is>
          <t>Surgical practice: the case is peri-operative, not diagnostic. Nerve block, vascular access and pre-anaesthetic FAST — that is a different demo from the abdominal one, and it is the demo that lands here.</t>
        </is>
      </c>
      <c r="P24" s="113" t="inlineStr">
        <is>
          <t>SonoEye P3 VET (peri-op) + SonoTouch VET</t>
        </is>
      </c>
      <c r="Q24" s="51" t="inlineStr">
        <is>
          <t>P2</t>
        </is>
      </c>
      <c r="R24" s="49" t="inlineStr">
        <is>
          <t>HIGH — AstraMed can invoice, install and service directly today. Single decision-maker, realistic first order.</t>
        </is>
      </c>
      <c r="S24" s="113" t="inlineStr">
        <is>
          <t>H-Surg</t>
        </is>
      </c>
      <c r="T24" s="113" t="inlineStr">
        <is>
          <t>Verified (SVA register)</t>
        </is>
      </c>
      <c r="U24" s="50" t="inlineStr">
        <is>
          <t>Companion Animal Surgery: nerve blocks and vascular access without leaving theatre</t>
        </is>
      </c>
      <c r="V24" s="50" t="inlineStr">
        <is>
          <t>Dear Companion Animal Surgery team,
My name is Casper Tan, Senior Regional Sales Manager at AstraMed Healthcare, a subsidiary of CHISON Medical Technologies. I am writing to Companion Animal Surgery specifically, not to a list. Your practice is surgical rather than diagnostic, so the usual ultrasound pitch, abdominal work-ups, is not the one that should matter to you.
The case for a handheld in a surgical practice is peri-operative rather than diagnostic: ultrasound-guided nerve blocks, vascular access in a collapsed patient, and a pre-anaesthetic FAST that takes ninety seconds. CHISON's SonoEye P3 VET is pocket-sized, so it stays in theatre. AstraMed is CHISON's own subsidiary in Singapore, so installation, training and service are handled locally.
The product I would put in front of you first is the SonoEye P3 VET (peri-op) and SonoTouch VET.
Could I come in and do the nerve-block demo rather than describe it?
Best regards,
Casper Tan
Senior Regional Sales Manager
AstraMed Healthcare, a subsidiary of CHISON Medical Technologies
casper@astramed.sg | +65 8719 0121</t>
        </is>
      </c>
      <c r="W24" t="inlineStr">
        <is>
          <t>EMAIL SENT 28 Sep 2026. No reply yet.</t>
        </is>
      </c>
    </row>
    <row r="25" ht="165" customHeight="1" s="114">
      <c r="A25" s="113" t="n">
        <v>21</v>
      </c>
      <c r="B25" s="113" t="inlineStr">
        <is>
          <t>James Tan Veterinary Centre</t>
        </is>
      </c>
      <c r="C25" s="113" t="inlineStr">
        <is>
          <t>Established independent practice</t>
        </is>
      </c>
      <c r="D25" s="42" t="inlineStr">
        <is>
          <t>Not started</t>
        </is>
      </c>
      <c r="E25" s="43" t="n"/>
      <c r="F25" s="44" t="n"/>
      <c r="G25" s="45" t="n"/>
      <c r="H25" s="46" t="inlineStr">
        <is>
          <t>Established independent practice. 1. Located at 230 Whitley Road S297823.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5" s="113" t="inlineStr">
        <is>
          <t>1</t>
        </is>
      </c>
      <c r="J25" s="113" t="inlineStr">
        <is>
          <t>230 Whitley Road S297823</t>
        </is>
      </c>
      <c r="K25" s="46" t="inlineStr">
        <is>
          <t>6253 1122</t>
        </is>
      </c>
      <c r="L25" s="47" t="inlineStr">
        <is>
          <t>https://jtvet.com</t>
        </is>
      </c>
      <c r="M25" s="113" t="inlineStr">
        <is>
          <t>Not published in the register — via jtvet.com</t>
        </is>
      </c>
      <c r="N25" s="113" t="inlineStr">
        <is>
          <t>B — SVA REGISTER (May 2024 edition). Phone, address and website as published there; RECONFIRM the number on the call. Emails shown are those the register printed.</t>
        </is>
      </c>
      <c r="O25" s="113" t="inlineStr">
        <is>
          <t>Long-established Whitley Road practice with a senior clinician-owner. Peer credibility: if this vet buys, other independents notice.</t>
        </is>
      </c>
      <c r="P25" s="113" t="inlineStr">
        <is>
          <t>SonoEye P3 VET</t>
        </is>
      </c>
      <c r="Q25" s="57" t="inlineStr">
        <is>
          <t>P3</t>
        </is>
      </c>
      <c r="R25" s="52" t="inlineStr">
        <is>
          <t>MEDIUM — AstraMed can invoice, install and service directly today, but a single-site clinic on a price-led decision. Volume comes from working these in clusters.</t>
        </is>
      </c>
      <c r="S25" s="113" t="inlineStr">
        <is>
          <t>H-GP</t>
        </is>
      </c>
      <c r="T25" s="113" t="inlineStr">
        <is>
          <t>Verified (SVA register)</t>
        </is>
      </c>
      <c r="U25" s="50" t="inlineStr">
        <is>
          <t>James Tan Veterinary Centre: ultrasound at a price that pays back in scans, not years</t>
        </is>
      </c>
      <c r="V25" s="50" t="inlineStr">
        <is>
          <t>Dear James Tan Veterinary Centre team,
My name is Casper Tan, Senior Regional Sales Manager at AstraMed Healthcare, a subsidiary of CHISON Medical Technologies. I am writing to James Tan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6" ht="165" customHeight="1" s="114">
      <c r="A26" s="113" t="n">
        <v>22</v>
      </c>
      <c r="B26" s="113" t="inlineStr">
        <is>
          <t>Brighton Vet Care</t>
        </is>
      </c>
      <c r="C26" s="113" t="inlineStr">
        <is>
          <t>Independent practice</t>
        </is>
      </c>
      <c r="D26" s="42" t="inlineStr">
        <is>
          <t>Contacted</t>
        </is>
      </c>
      <c r="E26" s="43" t="inlineStr">
        <is>
          <t>Casper</t>
        </is>
      </c>
      <c r="F26" s="44" t="inlineStr">
        <is>
          <t>Follow up by phone or email if no reply</t>
        </is>
      </c>
      <c r="G26" s="121" t="n">
        <v>46300</v>
      </c>
      <c r="H26" s="46" t="inlineStr">
        <is>
          <t>Independent practice. 1. Located at 74 Serangoon Garden Way S555970.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6" s="113" t="inlineStr">
        <is>
          <t>1</t>
        </is>
      </c>
      <c r="J26" s="113" t="inlineStr">
        <is>
          <t>74 Serangoon Garden Way S555970</t>
        </is>
      </c>
      <c r="K26" s="46" t="inlineStr">
        <is>
          <t>6282 2484</t>
        </is>
      </c>
      <c r="L26" s="47" t="inlineStr">
        <is>
          <t>https://brightonvetcare.com</t>
        </is>
      </c>
      <c r="M26" s="113" t="inlineStr">
        <is>
          <t>enquiries@brightonvetcare.com</t>
        </is>
      </c>
      <c r="N26" s="113" t="inlineStr">
        <is>
          <t>B — SVA REGISTER (May 2024 edition). Phone, address and website as published there; RECONFIRM the number on the call. Emails shown are those the register printed.</t>
        </is>
      </c>
      <c r="O26" s="113" t="inlineStr">
        <is>
          <t>Serangoon Garden catchment, sits next door to Westside Emergency — useful for a same-day double visit.</t>
        </is>
      </c>
      <c r="P26" s="113" t="inlineStr">
        <is>
          <t>SonoEye P3 VET</t>
        </is>
      </c>
      <c r="Q26" s="57" t="inlineStr">
        <is>
          <t>P3</t>
        </is>
      </c>
      <c r="R26" s="52" t="inlineStr">
        <is>
          <t>MEDIUM — AstraMed can invoice, install and service directly today, but a single-site clinic on a price-led decision. Volume comes from working these in clusters.</t>
        </is>
      </c>
      <c r="S26" s="113" t="inlineStr">
        <is>
          <t>H-GP</t>
        </is>
      </c>
      <c r="T26" s="113" t="inlineStr">
        <is>
          <t>Verified (SVA register)</t>
        </is>
      </c>
      <c r="U26" s="50" t="inlineStr">
        <is>
          <t>Brighton Vet Care: ultrasound at a price that pays back in scans, not years</t>
        </is>
      </c>
      <c r="V26" s="50" t="inlineStr">
        <is>
          <t>Dear Brighton Vet Care team,
My name is Casper Tan, Senior Regional Sales Manager at AstraMed Healthcare, a subsidiary of CHISON Medical Technologies. I am writing to Brighton Vet 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6" t="inlineStr">
        <is>
          <t>EMAIL SENT 28 Sep 2026. No reply yet.</t>
        </is>
      </c>
    </row>
    <row r="27" ht="165" customHeight="1" s="114">
      <c r="A27" s="113" t="n">
        <v>23</v>
      </c>
      <c r="B27" s="113" t="inlineStr">
        <is>
          <t>Allpets &amp; Aqualife Clinic</t>
        </is>
      </c>
      <c r="C27" s="113" t="inlineStr">
        <is>
          <t>Exotics / aquatic / avian practice</t>
        </is>
      </c>
      <c r="D27" s="42" t="inlineStr">
        <is>
          <t>Contacted</t>
        </is>
      </c>
      <c r="E27" s="43" t="inlineStr">
        <is>
          <t>Casper</t>
        </is>
      </c>
      <c r="F27" s="44" t="inlineStr">
        <is>
          <t>Follow up by phone or email if no reply</t>
        </is>
      </c>
      <c r="G27" s="121" t="n">
        <v>46300</v>
      </c>
      <c r="H27" s="46" t="inlineStr">
        <is>
          <t>Exotics / aquatic / avian practice. 1. Located at 24 Jalan Kelulut, Seletar Hills Estate S809041. RELEVANCE: exotic, avian and aquatic species need resolution in the first few centimetres, which is the hardest thing to do with a low-end handheld. A strong technical win here also produces unusual case material that travels well. Lead product: SonoEye P5 VET (high-frequency linear).</t>
        </is>
      </c>
      <c r="I27" s="113" t="inlineStr">
        <is>
          <t>1</t>
        </is>
      </c>
      <c r="J27" s="113" t="inlineStr">
        <is>
          <t>24 Jalan Kelulut, Seletar Hills Estate S809041</t>
        </is>
      </c>
      <c r="K27" s="46" t="inlineStr">
        <is>
          <t>6481 3700</t>
        </is>
      </c>
      <c r="L27" s="47" t="inlineStr">
        <is>
          <t>https://allpetsaqualife.com</t>
        </is>
      </c>
      <c r="M27" s="113" t="inlineStr">
        <is>
          <t>info@allpetsaqualife.com</t>
        </is>
      </c>
      <c r="N27" s="113" t="inlineStr">
        <is>
          <t>B — SVA REGISTER (May 2024 edition). Phone, address and website as published there; RECONFIRM the number on the call. Emails shown are those the register printed.</t>
        </is>
      </c>
      <c r="O27" s="113" t="inlineStr">
        <is>
          <t>Exotics and aquatics mean small patients and shallow structures — the high-frequency linear probe case, which is where a cheap generic handheld visibly fails and a real one wins. A strong technical demo, not a price demo.</t>
        </is>
      </c>
      <c r="P27" s="113" t="inlineStr">
        <is>
          <t>SonoEye P5 VET (high-frequency linear)</t>
        </is>
      </c>
      <c r="Q27" s="51" t="inlineStr">
        <is>
          <t>P2</t>
        </is>
      </c>
      <c r="R27" s="49" t="inlineStr">
        <is>
          <t>HIGH — AstraMed can invoice, install and service directly today. Single decision-maker, realistic first order.</t>
        </is>
      </c>
      <c r="S27" s="113" t="inlineStr">
        <is>
          <t>H-Exotic</t>
        </is>
      </c>
      <c r="T27" s="113" t="inlineStr">
        <is>
          <t>Verified (SVA register)</t>
        </is>
      </c>
      <c r="U27" s="50" t="inlineStr">
        <is>
          <t>Allpets &amp; Aqualife Clinic: high-frequency imaging on the patients that defeat most handhelds</t>
        </is>
      </c>
      <c r="V27" s="50" t="inlineStr">
        <is>
          <t>Dear Allpets &amp; Aqualife Clinic team,
My name is Casper Tan, Senior Regional Sales Manager at AstraMed Healthcare, a subsidiary of CHISON Medical Technologies. I am writing to Allpets &amp; Aqualife Clinic specifically, not to a list. You treat exotics, aquatics and avian patients, which means small bodies and shallow structures, the imaging problem where cheap handheld scanners visibly fail.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linear).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7" t="inlineStr">
        <is>
          <t>EMAIL SENT 28 Sep 2026. No reply yet.</t>
        </is>
      </c>
    </row>
    <row r="28" ht="165" customHeight="1" s="114">
      <c r="A28" s="113" t="n">
        <v>24</v>
      </c>
      <c r="B28" s="113" t="inlineStr">
        <is>
          <t>Animal &amp; Avian Veterinary Clinic (AAVC)</t>
        </is>
      </c>
      <c r="C28" s="113" t="inlineStr">
        <is>
          <t>Avian and exotics practice</t>
        </is>
      </c>
      <c r="D28" s="42" t="inlineStr">
        <is>
          <t>Contacted</t>
        </is>
      </c>
      <c r="E28" s="43" t="inlineStr">
        <is>
          <t>Casper</t>
        </is>
      </c>
      <c r="F28" s="44" t="inlineStr">
        <is>
          <t>Wait for AAVC to name a meeting day and device type, then get the approved Singapore price from Jerry</t>
        </is>
      </c>
      <c r="G28" s="45" t="n"/>
      <c r="H28" s="46" t="inlineStr">
        <is>
          <t>Avian and exotics practice. 1. Located at 716 Yishun St 71. RELEVANCE: exotic, avian and aquatic species need resolution in the first few centimetres, which is the hardest thing to do with a low-end handheld. A strong technical win here also produces unusual case material that travels well. Lead product: SonoEye P5 VET.</t>
        </is>
      </c>
      <c r="I28" s="113" t="inlineStr">
        <is>
          <t>1</t>
        </is>
      </c>
      <c r="J28" s="113" t="inlineStr">
        <is>
          <t>716 Yishun St 71 #01-254 S760716</t>
        </is>
      </c>
      <c r="K28" s="46" t="inlineStr">
        <is>
          <t>6853 9397</t>
        </is>
      </c>
      <c r="L28" s="47" t="inlineStr">
        <is>
          <t>https://aavcsg.wixsite.com/aavc</t>
        </is>
      </c>
      <c r="M28" s="113" t="inlineStr">
        <is>
          <t>aavcvetinfo@gmail.com · aavcsingapore@gmail.com</t>
        </is>
      </c>
      <c r="N28" s="113" t="inlineStr">
        <is>
          <t>B — SVA REGISTER (May 2024 edition). Phone, address and website as published there; RECONFIRM the number on the call. Emails shown are those the register printed.</t>
        </is>
      </c>
      <c r="O28" s="113" t="inlineStr">
        <is>
          <t>Avian and small-exotic imaging is the hardest thing to do with a low-end handheld. Same technical demo as Allpets — and the two of them together make a credible exotics case study.</t>
        </is>
      </c>
      <c r="P28" s="113" t="inlineStr">
        <is>
          <t>SonoEye P5 VET</t>
        </is>
      </c>
      <c r="Q28" s="57" t="inlineStr">
        <is>
          <t>P3</t>
        </is>
      </c>
      <c r="R28" s="52" t="inlineStr">
        <is>
          <t>MEDIUM — AstraMed can invoice, install and service directly today, but a single-site clinic on a price-led decision. Volume comes from working these in clusters.</t>
        </is>
      </c>
      <c r="S28" s="113" t="inlineStr">
        <is>
          <t>H-Exotic</t>
        </is>
      </c>
      <c r="T28" s="113" t="inlineStr">
        <is>
          <t>Verified (SVA register)</t>
        </is>
      </c>
      <c r="U28" s="50" t="inlineStr">
        <is>
          <t>Animal &amp; Avian Veterinary Clinic (AAVC): high-frequency imaging on the patients that defeat most handhelds</t>
        </is>
      </c>
      <c r="V28" s="50" t="inlineStr">
        <is>
          <t>Dear Animal &amp; Avian Veterinary Clinic (AAVC) team,
My name is Casper Tan, Senior Regional Sales Manager at AstraMed Healthcare, a subsidiary of CHISON Medical Technologies. I am writing to Animal &amp; Avian Veterinary Clinic (AAVC) specifically, not to a list. Avian and small-exotic imaging is about the hardest thing there is to do well with a handheld, which makes it the fairest possible test of one.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8" s="130" t="inlineStr">
        <is>
          <t>REPLIED (AAVC, 28 Sep 2026 11:52 pm): asked 'what's the price for it?'. Casper replied 29 Sep 2026 asking to meet at the clinic in Yishun and asking which type they want: cart based, portable laptop type or handheld. Price not quoted. Demo unit not yet arrived. Awaiting their reply.</t>
        </is>
      </c>
    </row>
    <row r="29" ht="165" customHeight="1" s="114">
      <c r="A29" s="113" t="n">
        <v>25</v>
      </c>
      <c r="B29" s="113" t="inlineStr">
        <is>
          <t>RehabVet</t>
        </is>
      </c>
      <c r="C29" s="113" t="inlineStr">
        <is>
          <t>Animal rehabilitation clinic</t>
        </is>
      </c>
      <c r="D29" s="42" t="inlineStr">
        <is>
          <t>Contacted</t>
        </is>
      </c>
      <c r="E29" s="43" t="inlineStr">
        <is>
          <t>Casper</t>
        </is>
      </c>
      <c r="F29" s="44" t="inlineStr">
        <is>
          <t>Follow up by phone or email if no reply</t>
        </is>
      </c>
      <c r="G29" s="121" t="n">
        <v>46300</v>
      </c>
      <c r="H29" s="46" t="inlineStr">
        <is>
          <t>Animal rehabilitation clinic. 1 — Singapore's first full rehabilitation clinic. Located at 513 Serangoon Rd. RELEVANCE: musculoskeletal ultrasound — tendon, muscle and joint — is a distinct high-frequency use case, and rehabilitation clinics scan the same patient repeatedly, which makes utilisation easy to justify. Lead product: SonoEye P5 VET (musculoskeletal).</t>
        </is>
      </c>
      <c r="I29" s="113" t="inlineStr">
        <is>
          <t>1 — Singapore's first full rehabilitation clinic</t>
        </is>
      </c>
      <c r="J29" s="113" t="inlineStr">
        <is>
          <t>513 Serangoon Rd #01-01 S218154</t>
        </is>
      </c>
      <c r="K29" s="46" t="inlineStr">
        <is>
          <t>6291 6881</t>
        </is>
      </c>
      <c r="L29" s="47" t="inlineStr">
        <is>
          <t>https://rehabvet.com</t>
        </is>
      </c>
      <c r="M29" s="113" t="inlineStr">
        <is>
          <t>hello@rehabvet.com</t>
        </is>
      </c>
      <c r="N29" s="113" t="inlineStr">
        <is>
          <t>B — SVA REGISTER (May 2024 edition). Phone, address and website as published there; RECONFIRM the number on the call. Emails shown are those the register printed.</t>
        </is>
      </c>
      <c r="O29" s="113" t="inlineStr">
        <is>
          <t>Musculoskeletal ultrasound — tendon, muscle, joint — is a distinct high-frequency use case and rehab clinics scan repeatedly on the same patient. Different buyer, different argument, low competition.</t>
        </is>
      </c>
      <c r="P29" s="113" t="inlineStr">
        <is>
          <t>SonoEye P5 VET (musculoskeletal)</t>
        </is>
      </c>
      <c r="Q29" s="57" t="inlineStr">
        <is>
          <t>P3</t>
        </is>
      </c>
      <c r="R29" s="52" t="inlineStr">
        <is>
          <t>MEDIUM — AstraMed can invoice, install and service directly today, but a single-site clinic on a price-led decision. Volume comes from working these in clusters.</t>
        </is>
      </c>
      <c r="S29" s="113" t="inlineStr">
        <is>
          <t>H-Exotic</t>
        </is>
      </c>
      <c r="T29" s="113" t="inlineStr">
        <is>
          <t>Verified (SVA register)</t>
        </is>
      </c>
      <c r="U29" s="50" t="inlineStr">
        <is>
          <t>RehabVet: high-frequency imaging on the patients that defeat most handhelds</t>
        </is>
      </c>
      <c r="V29" s="50" t="inlineStr">
        <is>
          <t>Dear RehabVet team,
My name is Casper Tan, Senior Regional Sales Manager at AstraMed Healthcare, a subsidiary of CHISON Medical Technologies. I am writing to RehabVet specifically, not to a list. You built Singapore's first full rehabilitation clinic, and musculoskeletal ultrasound, tendon, muscle, joint, scanned repeatedly on the same patient, is a distinct and under-served application.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(musculoskeletal).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9" t="inlineStr">
        <is>
          <t>EMAIL SENT 28 Sep 2026. No reply yet.</t>
        </is>
      </c>
    </row>
    <row r="30" ht="165" customHeight="1" s="114">
      <c r="A30" s="113" t="n">
        <v>26</v>
      </c>
      <c r="B30" s="113" t="inlineStr">
        <is>
          <t>Barkway Pet Health</t>
        </is>
      </c>
      <c r="C30" s="113" t="inlineStr">
        <is>
          <t>Modern independent practice</t>
        </is>
      </c>
      <c r="D30" s="42" t="inlineStr">
        <is>
          <t>Not started</t>
        </is>
      </c>
      <c r="E30" s="43" t="n"/>
      <c r="F30" s="44" t="n"/>
      <c r="G30" s="45" t="n"/>
      <c r="H30" s="46" t="inlineStr">
        <is>
          <t>Modern independent practice. 1. Located at 169 Macpherson Road S348535.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0" s="113" t="inlineStr">
        <is>
          <t>1</t>
        </is>
      </c>
      <c r="J30" s="113" t="inlineStr">
        <is>
          <t>169 Macpherson Road S348535</t>
        </is>
      </c>
      <c r="K30" s="46" t="inlineStr">
        <is>
          <t>6904 4300</t>
        </is>
      </c>
      <c r="L30" s="47" t="inlineStr">
        <is>
          <t>https://barkway.sg</t>
        </is>
      </c>
      <c r="M30" s="113" t="inlineStr">
        <is>
          <t>Not published in the register — via barkway.sg</t>
        </is>
      </c>
      <c r="N30" s="113" t="inlineStr">
        <is>
          <t>B — SVA REGISTER (May 2024 edition). Phone, address and website as published there; RECONFIRM the number on the call. Emails shown are those the register printed.</t>
        </is>
      </c>
      <c r="O30" s="113" t="inlineStr">
        <is>
          <t>Newer, well-equipped practice — newer practices are still building their equipment list, which makes them faster to close than an established clinic with a depreciated machine.</t>
        </is>
      </c>
      <c r="P30" s="113" t="inlineStr">
        <is>
          <t>SonoEye P3 VET</t>
        </is>
      </c>
      <c r="Q30" s="57" t="inlineStr">
        <is>
          <t>P3</t>
        </is>
      </c>
      <c r="R30" s="52" t="inlineStr">
        <is>
          <t>MEDIUM — AstraMed can invoice, install and service directly today, but a single-site clinic on a price-led decision. Volume comes from working these in clusters.</t>
        </is>
      </c>
      <c r="S30" s="113" t="inlineStr">
        <is>
          <t>H-GP</t>
        </is>
      </c>
      <c r="T30" s="113" t="inlineStr">
        <is>
          <t>Verified (SVA register)</t>
        </is>
      </c>
      <c r="U30" s="50" t="inlineStr">
        <is>
          <t>Barkway Pet Health: ultrasound at a price that pays back in scans, not years</t>
        </is>
      </c>
      <c r="V30" s="50" t="inlineStr">
        <is>
          <t>Dear Barkway Pet Health team,
My name is Casper Tan, Senior Regional Sales Manager at AstraMed Healthcare, a subsidiary of CHISON Medical Technologies. I am writing to Barkway Pet Health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31" ht="165" customHeight="1" s="114">
      <c r="A31" s="113" t="n">
        <v>27</v>
      </c>
      <c r="B31" s="113" t="inlineStr">
        <is>
          <t>Canopy Veterinary Centre</t>
        </is>
      </c>
      <c r="C31" s="113" t="inlineStr">
        <is>
          <t>Independent practice</t>
        </is>
      </c>
      <c r="D31" s="42" t="inlineStr">
        <is>
          <t>Contacted</t>
        </is>
      </c>
      <c r="E31" s="43" t="inlineStr">
        <is>
          <t>Casper</t>
        </is>
      </c>
      <c r="F31" s="44" t="inlineStr">
        <is>
          <t>Follow up by phone or email if no reply</t>
        </is>
      </c>
      <c r="G31" s="121" t="n">
        <v>46300</v>
      </c>
      <c r="H31" s="46" t="inlineStr">
        <is>
          <t>Independent practice. 1. Located at 1 Yuan Ching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1" s="113" t="inlineStr">
        <is>
          <t>1</t>
        </is>
      </c>
      <c r="J31" s="113" t="inlineStr">
        <is>
          <t>1 Yuan Ching Road #03-03 S618640</t>
        </is>
      </c>
      <c r="K31" s="46" t="inlineStr">
        <is>
          <t>6980 8582</t>
        </is>
      </c>
      <c r="L31" s="47" t="inlineStr">
        <is>
          <t>https://canopyvets.com</t>
        </is>
      </c>
      <c r="M31" s="113" t="inlineStr">
        <is>
          <t>admin@canopyvets.com</t>
        </is>
      </c>
      <c r="N31" s="113" t="inlineStr">
        <is>
          <t>B — SVA REGISTER (May 2024 edition). Phone, address and website as published there; RECONFIRM the number on the call. Emails shown are those the register printed.</t>
        </is>
      </c>
      <c r="O31" s="113" t="inlineStr">
        <is>
          <t>Recently opened. Same argument as Barkway: no incumbent machine to displace.</t>
        </is>
      </c>
      <c r="P31" s="113" t="inlineStr">
        <is>
          <t>SonoEye P3 VET</t>
        </is>
      </c>
      <c r="Q31" s="57" t="inlineStr">
        <is>
          <t>P3</t>
        </is>
      </c>
      <c r="R31" s="52" t="inlineStr">
        <is>
          <t>MEDIUM — AstraMed can invoice, install and service directly today, but a single-site clinic on a price-led decision. Volume comes from working these in clusters.</t>
        </is>
      </c>
      <c r="S31" s="113" t="inlineStr">
        <is>
          <t>H-GP</t>
        </is>
      </c>
      <c r="T31" s="113" t="inlineStr">
        <is>
          <t>Verified (SVA register)</t>
        </is>
      </c>
      <c r="U31" s="50" t="inlineStr">
        <is>
          <t>Canopy Veterinary Centre: ultrasound at a price that pays back in scans, not years</t>
        </is>
      </c>
      <c r="V31" s="50" t="inlineStr">
        <is>
          <t>Dear Canopy Veterinary Centre team,
My name is Casper Tan, Senior Regional Sales Manager at AstraMed Healthcare, a subsidiary of CHISON Medical Technologies. I am writing to Canopy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1" t="inlineStr">
        <is>
          <t>EMAIL SENT 28 Sep 2026. No reply yet.</t>
        </is>
      </c>
    </row>
    <row r="32" ht="165" customHeight="1" s="114">
      <c r="A32" s="113" t="n">
        <v>28</v>
      </c>
      <c r="B32" s="113" t="inlineStr">
        <is>
          <t>Atlas Veterinary Clinic &amp; Surgery</t>
        </is>
      </c>
      <c r="C32" s="113" t="inlineStr">
        <is>
          <t>Independent practice</t>
        </is>
      </c>
      <c r="D32" s="42" t="inlineStr">
        <is>
          <t>Contacted</t>
        </is>
      </c>
      <c r="E32" s="43" t="inlineStr">
        <is>
          <t>Casper</t>
        </is>
      </c>
      <c r="F32" s="44" t="inlineStr">
        <is>
          <t>Follow up by phone or email if no reply</t>
        </is>
      </c>
      <c r="G32" s="121" t="n">
        <v>46300</v>
      </c>
      <c r="H32" s="46" t="inlineStr">
        <is>
          <t>Independent practice. 1. Located at Blk 163 Bukit Merah Central.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2" s="113" t="inlineStr">
        <is>
          <t>1</t>
        </is>
      </c>
      <c r="J32" s="113" t="inlineStr">
        <is>
          <t>Blk 163 Bukit Merah Central #03-3573 S150163</t>
        </is>
      </c>
      <c r="K32" s="46" t="inlineStr">
        <is>
          <t>6980 8038</t>
        </is>
      </c>
      <c r="L32" s="47" t="inlineStr">
        <is>
          <t>https://atlasvet.com.sg</t>
        </is>
      </c>
      <c r="M32" s="113" t="inlineStr">
        <is>
          <t>hello@atlasvet.com.sg</t>
        </is>
      </c>
      <c r="N32" s="113" t="inlineStr">
        <is>
          <t>B — SVA REGISTER (May 2024 edition). Phone, address and website as published there; RECONFIRM the number on the call. Emails shown are those the register printed.</t>
        </is>
      </c>
      <c r="O32" s="113" t="inlineStr">
        <is>
          <t>Newer surgery-capable clinic in a dense catchment. Start-up equipment budget, price-sensitive.</t>
        </is>
      </c>
      <c r="P32" s="113" t="inlineStr">
        <is>
          <t>SonoEye P3 VET</t>
        </is>
      </c>
      <c r="Q32" s="57" t="inlineStr">
        <is>
          <t>P3</t>
        </is>
      </c>
      <c r="R32" s="52" t="inlineStr">
        <is>
          <t>MEDIUM — AstraMed can invoice, install and service directly today, but a single-site clinic on a price-led decision. Volume comes from working these in clusters.</t>
        </is>
      </c>
      <c r="S32" s="113" t="inlineStr">
        <is>
          <t>H-GP</t>
        </is>
      </c>
      <c r="T32" s="113" t="inlineStr">
        <is>
          <t>Verified (SVA register)</t>
        </is>
      </c>
      <c r="U32" s="50" t="inlineStr">
        <is>
          <t>Atlas Veterinary Clinic &amp; Surgery: ultrasound at a price that pays back in scans, not years</t>
        </is>
      </c>
      <c r="V32" s="50" t="inlineStr">
        <is>
          <t>Dear Atlas Veterinary Clinic &amp; Surgery team,
My name is Casper Tan, Senior Regional Sales Manager at AstraMed Healthcare, a subsidiary of CHISON Medical Technologies. I am writing to Atlas Veterinary Clinic &amp;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2" t="inlineStr">
        <is>
          <t>EMAIL SENT 28 Sep 2026. No reply yet.</t>
        </is>
      </c>
    </row>
    <row r="33" ht="165" customHeight="1" s="114">
      <c r="A33" s="113" t="n">
        <v>29</v>
      </c>
      <c r="B33" s="113" t="inlineStr">
        <is>
          <t>Ohana VetCare</t>
        </is>
      </c>
      <c r="C33" s="113" t="inlineStr">
        <is>
          <t>Independent practice</t>
        </is>
      </c>
      <c r="D33" s="42" t="inlineStr">
        <is>
          <t>Contacted</t>
        </is>
      </c>
      <c r="E33" s="43" t="inlineStr">
        <is>
          <t>Casper</t>
        </is>
      </c>
      <c r="F33" s="44" t="inlineStr">
        <is>
          <t>Follow up by phone or email if no reply</t>
        </is>
      </c>
      <c r="G33" s="121" t="n">
        <v>46300</v>
      </c>
      <c r="H33" s="46" t="inlineStr">
        <is>
          <t>Independent practice. 1. Located at 258 Pasir Ris St 21, Loyang Point.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3" s="113" t="inlineStr">
        <is>
          <t>1</t>
        </is>
      </c>
      <c r="J33" s="113" t="inlineStr">
        <is>
          <t>258 Pasir Ris St 21, Loyang Point #04-01 S510258</t>
        </is>
      </c>
      <c r="K33" s="46" t="inlineStr">
        <is>
          <t>6282 9070</t>
        </is>
      </c>
      <c r="L33" s="47" t="inlineStr">
        <is>
          <t>https://ohanavetcare.com.sg</t>
        </is>
      </c>
      <c r="M33" s="113" t="inlineStr">
        <is>
          <t>enquiries@ohanavetcare.com.sg</t>
        </is>
      </c>
      <c r="N33" s="113" t="inlineStr">
        <is>
          <t>B — SVA REGISTER (May 2024 edition). Phone, address and website as published there; RECONFIRM the number on the call. Emails shown are those the register printed.</t>
        </is>
      </c>
      <c r="O33" s="113" t="inlineStr">
        <is>
          <t>East-side practice, standard GP pitch.</t>
        </is>
      </c>
      <c r="P33" s="113" t="inlineStr">
        <is>
          <t>SonoEye P3 VET</t>
        </is>
      </c>
      <c r="Q33" s="57" t="inlineStr">
        <is>
          <t>P3</t>
        </is>
      </c>
      <c r="R33" s="52" t="inlineStr">
        <is>
          <t>MEDIUM — AstraMed can invoice, install and service directly today, but a single-site clinic on a price-led decision. Volume comes from working these in clusters.</t>
        </is>
      </c>
      <c r="S33" s="113" t="inlineStr">
        <is>
          <t>H-GP</t>
        </is>
      </c>
      <c r="T33" s="113" t="inlineStr">
        <is>
          <t>Verified (SVA register)</t>
        </is>
      </c>
      <c r="U33" s="50" t="inlineStr">
        <is>
          <t>Ohana VetCare: ultrasound at a price that pays back in scans, not years</t>
        </is>
      </c>
      <c r="V33" s="50" t="inlineStr">
        <is>
          <t>Dear Ohana VetCare team,
My name is Casper Tan, Senior Regional Sales Manager at AstraMed Healthcare, a subsidiary of CHISON Medical Technologies. I am writing to Ohana VetCare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3" t="inlineStr">
        <is>
          <t>EMAIL SENT 28 Sep 2026. No reply yet.</t>
        </is>
      </c>
    </row>
    <row r="34" ht="165" customHeight="1" s="114">
      <c r="A34" s="113" t="n">
        <v>30</v>
      </c>
      <c r="B34" s="113" t="inlineStr">
        <is>
          <t>SPCA Clinic (community animals only)</t>
        </is>
      </c>
      <c r="C34" s="113" t="inlineStr">
        <is>
          <t>Welfare / charity clinic</t>
        </is>
      </c>
      <c r="D34" s="42" t="inlineStr">
        <is>
          <t>Not started</t>
        </is>
      </c>
      <c r="E34" s="43" t="n"/>
      <c r="F34" s="44" t="n"/>
      <c r="G34" s="45" t="n"/>
      <c r="H34" s="46" t="inlineStr">
        <is>
          <t>Welfare / charity clinic. 1. Located at 50 Sungei Tengah Road S699012. RELEVANCE: high caseload against a hard budget ceiling, with a donor-funded capital route available. CHISON's price position is the entire argument here, and a placement carries reputational weight in a small veterinary community. Lead product: SonoEye P3 VET (welfare pricing / donation-funded).</t>
        </is>
      </c>
      <c r="I34" s="113" t="inlineStr">
        <is>
          <t>1</t>
        </is>
      </c>
      <c r="J34" s="113" t="inlineStr">
        <is>
          <t>50 Sungei Tengah Road S699012</t>
        </is>
      </c>
      <c r="K34" s="46" t="inlineStr">
        <is>
          <t>6287 5355</t>
        </is>
      </c>
      <c r="L34" s="47" t="inlineStr">
        <is>
          <t>https://spca.org.sg</t>
        </is>
      </c>
      <c r="M34" s="113" t="inlineStr">
        <is>
          <t>Not published in the register — via spca.org.sg</t>
        </is>
      </c>
      <c r="N34" s="113" t="inlineStr">
        <is>
          <t>B — SVA REGISTER (May 2024 edition). Phone, address and website as published there; RECONFIRM the number on the call. Emails shown are those the register printed.</t>
        </is>
      </c>
      <c r="O34" s="113" t="inlineStr">
        <is>
          <t>High caseload, hard budget ceiling, and a donor-funded capital route. CHISON's price position is the whole argument here — and a placement carries reputational value in a small veterinary community where everyone knows everyone.</t>
        </is>
      </c>
      <c r="P34" s="113" t="inlineStr">
        <is>
          <t>SonoEye P3 VET (welfare pricing / donation-funded)</t>
        </is>
      </c>
      <c r="Q34" s="57" t="inlineStr">
        <is>
          <t>P3</t>
        </is>
      </c>
      <c r="R34" s="52" t="inlineStr">
        <is>
          <t>MEDIUM — AstraMed can invoice, install and service directly today, but a single-site clinic on a price-led decision. Volume comes from working these in clusters.</t>
        </is>
      </c>
      <c r="S34" s="113" t="inlineStr">
        <is>
          <t>H-Budget</t>
        </is>
      </c>
      <c r="T34" s="113" t="inlineStr">
        <is>
          <t>Verified (SVA register)</t>
        </is>
      </c>
      <c r="U34" s="50" t="inlineStr">
        <is>
          <t>SPCA Clinic (community animals only): diagnostic imaging that fits your budget</t>
        </is>
      </c>
      <c r="V34" s="50" t="inlineStr">
        <is>
          <t>Dear SPCA Clinic (community animals only) team,
My name is Casper Tan, Senior Regional Sales Manager at AstraMed Healthcare, a subsidiary of CHISON Medical Technologies. I am writing to SPCA Clinic (community animals only) specifically, not to a list. You carry a high caseload against a fixed budget, and diagnostic imaging is usually the first thing that budget has to cut.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(welfare pricing / donation-funded).
Would a short conversation be useful?
Best regards,
Casper Tan
Senior Regional Sales Manager
AstraMed Healthcare, a subsidiary of CHISON Medical Technologies
casper@astramed.sg | +65 8719 0121</t>
        </is>
      </c>
    </row>
    <row r="35" ht="165" customHeight="1" s="114">
      <c r="A35" s="113" t="n">
        <v>31</v>
      </c>
      <c r="B35" s="113" t="inlineStr">
        <is>
          <t>Mandai Wildlife Group — veterinary healthcare</t>
        </is>
      </c>
      <c r="C35" s="113" t="inlineStr">
        <is>
          <t>Zoological / wildlife veterinary service</t>
        </is>
      </c>
      <c r="D35" s="42" t="inlineStr">
        <is>
          <t>Not started</t>
        </is>
      </c>
      <c r="E35" s="43" t="n"/>
      <c r="F35" s="44" t="n"/>
      <c r="G35" s="45" t="n"/>
      <c r="H35" s="46" t="inlineStr">
        <is>
          <t>Zoological / wildlife veterinary service. Singapore Zoo, Night Safari, River Wonders, Bird Paradise. Located at 80 Mandai Lake Road S729826. RELEVANCE: exotic, avian and aquatic species need resolution in the first few centimetres, which is the hardest thing to do with a low-end handheld. A strong technical win here also produces unusual case material that travels well. Lead product: SonoEye P5 VET (small exotics) + SonoAir 70 VET (large species).</t>
        </is>
      </c>
      <c r="I35" s="113" t="inlineStr">
        <is>
          <t>Singapore Zoo, Night Safari, River Wonders, Bird Paradise</t>
        </is>
      </c>
      <c r="J35" s="113" t="inlineStr">
        <is>
          <t>80 Mandai Lake Road S729826</t>
        </is>
      </c>
      <c r="K35" s="46" t="inlineStr">
        <is>
          <t>To be confirmed</t>
        </is>
      </c>
      <c r="L35" s="47" t="inlineStr">
        <is>
          <t>https://mandai.com</t>
        </is>
      </c>
      <c r="M35" s="113" t="inlineStr">
        <is>
          <t>Not confirmed — approach via mandai.com</t>
        </is>
      </c>
      <c r="N35" s="113" t="inlineStr">
        <is>
          <t>B — SVA REGISTER (May 2024 edition). Phone, address and website as published there; RECONFIRM the number on the call. Emails shown are those the register printed.</t>
        </is>
      </c>
      <c r="O35" s="113" t="inlineStr">
        <is>
          <t>Wildlife and exotic species imaging across four parks, with a research and conservation profile that generates publishable material. Not on the SVA clinic register because it is not a public veterinary centre — confirm the correct entry point through their animal health team.</t>
        </is>
      </c>
      <c r="P35" s="113" t="inlineStr">
        <is>
          <t>SonoEye P5 VET (small exotics) + SonoAir 70 VET (large species)</t>
        </is>
      </c>
      <c r="Q35" s="57" t="inlineStr">
        <is>
          <t>P3 — verify entity</t>
        </is>
      </c>
      <c r="R35" s="52" t="inlineStr">
        <is>
          <t>MEDIUM — AstraMed can invoice, install and service directly today, but a single-site clinic on a price-led decision. Volume comes from working these in clusters.</t>
        </is>
      </c>
      <c r="S35" s="113" t="inlineStr">
        <is>
          <t>H-Exotic</t>
        </is>
      </c>
      <c r="T35" s="113" t="inlineStr">
        <is>
          <t>From knowledge — NOT verified, confirm before approach</t>
        </is>
      </c>
      <c r="U35" s="50" t="inlineStr">
        <is>
          <t>Mandai Wildlife Group: veterinary healthcare, high-frequency imaging on the patients that defeat most handhelds</t>
        </is>
      </c>
      <c r="V35" s="50" t="inlineStr">
        <is>
          <t>Dear Mandai Wildlife Group, veterinary healthcare team,
My name is Casper Tan, Senior Regional Sales Manager at AstraMed Healthcare, a subsidiary of CHISON Medical Technologies. I am writing to Mandai Wildlife Group, veterinary healthcare specifically, not to a list. You look after wildlife across four parks, which spans species and body sizes no single-probe scanner can cover, and generates case material worth publishing.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(small exotics) and SonoAir 70 VET (large species).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36" ht="165" customHeight="1" s="114">
      <c r="A36" s="113" t="n">
        <v>32</v>
      </c>
      <c r="B36" s="113" t="inlineStr">
        <is>
          <t>NUS / NTU / A*STAR laboratory animal facilities</t>
        </is>
      </c>
      <c r="C36" s="113" t="inlineStr">
        <is>
          <t>Research / laboratory animal medicine</t>
        </is>
      </c>
      <c r="D36" s="42" t="inlineStr">
        <is>
          <t>Not started</t>
        </is>
      </c>
      <c r="E36" s="43" t="n"/>
      <c r="F36" s="44" t="n"/>
      <c r="G36" s="45" t="n"/>
      <c r="H36" s="113" t="inlineStr">
        <is>
          <t>Research / laboratory animal medicine. Multiple institutional facilities. Located at Various. RELEVANCE: research imaging buys on specification rather than on price and is a genuine segment for high-frequency small-animal probes. Treat it as a separate qualification exercise, not as part of the clinical pipeline. Lead product: SonoEye P5 VET (high-frequency research imaging).</t>
        </is>
      </c>
      <c r="I36" s="113" t="inlineStr">
        <is>
          <t>Multiple institutional facilities</t>
        </is>
      </c>
      <c r="J36" s="113" t="inlineStr">
        <is>
          <t>Various</t>
        </is>
      </c>
      <c r="K36" s="113" t="inlineStr">
        <is>
          <t>To be confirmed</t>
        </is>
      </c>
      <c r="L36" s="113" t="inlineStr">
        <is>
          <t>—</t>
        </is>
      </c>
      <c r="M36" s="113" t="inlineStr">
        <is>
          <t>Not confirmed — identify the facility first</t>
        </is>
      </c>
      <c r="N36" s="113" t="inlineStr">
        <is>
          <t>B — SVA REGISTER (May 2024 edition). Phone, address and website as published there; RECONFIRM the number on the call. Emails shown are those the register printed.</t>
        </is>
      </c>
      <c r="O36" s="113" t="inlineStr">
        <is>
          <t>Research imaging is a genuine segment for high-frequency small-animal probes and it buys on specification rather than price. Treat as a separate qualification exercise, not part of the clinical campaign.</t>
        </is>
      </c>
      <c r="P36" s="113" t="inlineStr">
        <is>
          <t>SonoEye P5 VET (high-frequency research imaging)</t>
        </is>
      </c>
      <c r="Q36" s="57" t="inlineStr">
        <is>
          <t>P3 — verify</t>
        </is>
      </c>
      <c r="R36" s="52" t="inlineStr">
        <is>
          <t>MEDIUM — AstraMed can invoice, install and service directly today, but a single-site clinic on a price-led decision. Volume comes from working these in clusters.</t>
        </is>
      </c>
      <c r="S36" s="113" t="inlineStr">
        <is>
          <t>H-Exotic</t>
        </is>
      </c>
      <c r="T36" s="113" t="inlineStr">
        <is>
          <t>From knowledge — NOT verified, confirm facility names and contacts</t>
        </is>
      </c>
      <c r="U36" s="50" t="inlineStr">
        <is>
          <t>NUS / NTU / A*STAR laboratory animal facilities: high-frequency imaging on the patients that defeat most handhelds</t>
        </is>
      </c>
      <c r="V36" s="50" t="inlineStr">
        <is>
          <t>Dear NUS / NTU / A*STAR laboratory animal facilities team,
My name is Casper Tan, Senior Regional Sales Manager at AstraMed Healthcare, a subsidiary of CHISON Medical Technologies. I am writing to NUS / NTU / A*STAR laboratory animal facilities specifically, not to a list. Most general practices in Singapore either refer ultrasound out or work around a machine bought years ago, because the quotes coming from the large brands do not make sense at general-practice caseload.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research imaging).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37" ht="165" customHeight="1" s="114">
      <c r="A37" s="113" t="n">
        <v>33</v>
      </c>
      <c r="B37" s="113" t="inlineStr">
        <is>
          <t>Animal Practice Pte Ltd</t>
        </is>
      </c>
      <c r="C37" s="113" t="inlineStr">
        <is>
          <t>Independent GP clinic</t>
        </is>
      </c>
      <c r="D37" s="42" t="inlineStr">
        <is>
          <t>Not started</t>
        </is>
      </c>
      <c r="E37" s="43" t="inlineStr">
        <is>
          <t>Casper</t>
        </is>
      </c>
      <c r="F37" s="44" t="inlineStr">
        <is>
          <t>Send intro email (not found in Sent folder)</t>
        </is>
      </c>
      <c r="G37" s="45" t="n"/>
      <c r="H37" s="46" t="inlineStr">
        <is>
          <t>Independent GP clinic. 1. Located at 1015 Upper Serangoon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7" s="113" t="inlineStr">
        <is>
          <t>1</t>
        </is>
      </c>
      <c r="J37" s="113" t="inlineStr">
        <is>
          <t>1015 Upper Serangoon Road #01-00 S534753</t>
        </is>
      </c>
      <c r="K37" s="46" t="inlineStr">
        <is>
          <t>6288 3929</t>
        </is>
      </c>
      <c r="L37" s="47" t="inlineStr">
        <is>
          <t>https://animalpractice.com.sg</t>
        </is>
      </c>
      <c r="M37" s="113" t="inlineStr">
        <is>
          <t>animalpractice@singnet.com.sg</t>
        </is>
      </c>
      <c r="N37" s="113" t="inlineStr">
        <is>
          <t>B — SVA REGISTER (May 2024 edition). Phone, address and website as published there; RECONFIRM the number on the call. Emails shown are those the register printed.</t>
        </is>
      </c>
      <c r="O37" s="113" t="inlineStr">
        <is>
          <t>Long-established Upper Serangoon practice on a busy arterial road, so caseload is high and steady. Standard GP payback pitch — the unit pays for itself in charged scans rather than in years.</t>
        </is>
      </c>
      <c r="P37" s="113" t="inlineStr">
        <is>
          <t>SonoEye P3 VET</t>
        </is>
      </c>
      <c r="Q37" s="57" t="inlineStr">
        <is>
          <t>P3</t>
        </is>
      </c>
      <c r="R37" s="52" t="inlineStr">
        <is>
          <t>MEDIUM — AstraMed can invoice, install and service directly today, but a single-site clinic on a price-led decision. Volume comes from working these in clusters.</t>
        </is>
      </c>
      <c r="S37" s="113" t="inlineStr">
        <is>
          <t>H-GP</t>
        </is>
      </c>
      <c r="T37" s="113" t="inlineStr">
        <is>
          <t>Verified (SVA register, May 2024 edition) · v11 CHECK 27 Sep 2026: animalpractice.com.sg did not resolve in DNS; the site may have moved or closed, confirm before relying on it.</t>
        </is>
      </c>
      <c r="U37" s="50" t="inlineStr">
        <is>
          <t>Animal Practice Pte Ltd: ultrasound at a price that pays back in scans, not years</t>
        </is>
      </c>
      <c r="V37" s="50" t="inlineStr">
        <is>
          <t>Dear Animal Practice Pte Ltd team,
My name is Casper Tan, Senior Regional Sales Manager at AstraMed Healthcare, a subsidiary of CHISON Medical Technologies. I am writing to Animal Practice Pte Ltd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7" t="inlineStr">
        <is>
          <t>CORRECTED 29 Sep 2026: was marked Contacted but no email to animalpractice@singnet.com.sg exists in the Winmail Sent folder. Reset to Not started.</t>
        </is>
      </c>
    </row>
    <row r="38" ht="165" customHeight="1" s="114">
      <c r="A38" s="113" t="n">
        <v>34</v>
      </c>
      <c r="B38" s="113" t="inlineStr">
        <is>
          <t>Animal World Veterinary Clinic</t>
        </is>
      </c>
      <c r="C38" s="113" t="inlineStr">
        <is>
          <t>Independent GP clinic</t>
        </is>
      </c>
      <c r="D38" s="42" t="inlineStr">
        <is>
          <t>Contacted</t>
        </is>
      </c>
      <c r="E38" s="43" t="inlineStr">
        <is>
          <t>Casper</t>
        </is>
      </c>
      <c r="F38" s="44" t="inlineStr">
        <is>
          <t>Get working email (call 6286 0929), then resend</t>
        </is>
      </c>
      <c r="G38" s="127" t="n"/>
      <c r="H38" s="46" t="inlineStr">
        <is>
          <t>Independent GP clinic. 1. Located at 16 Yio Chu Kang Road S545527.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8" s="113" t="inlineStr">
        <is>
          <t>1</t>
        </is>
      </c>
      <c r="J38" s="113" t="inlineStr">
        <is>
          <t>16 Yio Chu Kang Road S545527</t>
        </is>
      </c>
      <c r="K38" s="46" t="inlineStr">
        <is>
          <t>6286 0929</t>
        </is>
      </c>
      <c r="L38" s="47" t="inlineStr">
        <is>
          <t>https://animalworldclinic.com</t>
        </is>
      </c>
      <c r="M38" s="128" t="inlineStr">
        <is>
          <t>info@animalworldclinic.com</t>
        </is>
      </c>
      <c r="N38" s="113" t="inlineStr">
        <is>
          <t>B — SVA REGISTER (May 2024 edition). Phone, address and website as published there; RECONFIRM the number on the call. Emails shown are those the register printed.</t>
        </is>
      </c>
      <c r="O38" s="113" t="inlineStr">
        <is>
          <t>Yio Chu Kang standalone practice with its own premises rather than an HDB unit, which usually signals an owner-operator who makes equipment decisions personally and quickly.</t>
        </is>
      </c>
      <c r="P38" s="113" t="inlineStr">
        <is>
          <t>SonoEye P3 VET</t>
        </is>
      </c>
      <c r="Q38" s="57" t="inlineStr">
        <is>
          <t>P3</t>
        </is>
      </c>
      <c r="R38" s="52" t="inlineStr">
        <is>
          <t>MEDIUM — AstraMed can invoice, install and service directly today, but a single-site clinic on a price-led decision. Volume comes from working these in clusters.</t>
        </is>
      </c>
      <c r="S38" s="113" t="inlineStr">
        <is>
          <t>H-GP</t>
        </is>
      </c>
      <c r="T38" s="113" t="inlineStr">
        <is>
          <t>Verified (SVA register, May 2024 edition)</t>
        </is>
      </c>
      <c r="U38" s="50" t="inlineStr">
        <is>
          <t>Animal World Veterinary Clinic: ultrasound at a price that pays back in scans, not years</t>
        </is>
      </c>
      <c r="V38" s="50" t="inlineStr">
        <is>
          <t>Dear Animal World Veterinary Clinic team,
My name is Casper Tan, Senior Regional Sales Manager at AstraMed Healthcare, a subsidiary of CHISON Medical Technologies. I am writing to Animal World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8" s="129" t="inlineStr">
        <is>
          <t>EMAIL FAILED (bounced 29 Sep 2026). Sent 28 Sep 23:47 SGT to info@animalworldclinic.com. Server response: 554 could not connect and send the mail to animalworldclinic.com (domain has no reachable mail server, likely expired or changed domain). Not delivered. To do: call 6286 0929 or check for a new website or email, then resend.</t>
        </is>
      </c>
    </row>
    <row r="39" ht="165" customHeight="1" s="114">
      <c r="A39" s="113" t="n">
        <v>35</v>
      </c>
      <c r="B39" s="113" t="inlineStr">
        <is>
          <t>Animal Medical Centre (VET@RV)</t>
        </is>
      </c>
      <c r="C39" s="113" t="inlineStr">
        <is>
          <t>Independent GP clinic</t>
        </is>
      </c>
      <c r="D39" s="42" t="inlineStr">
        <is>
          <t>Contacted</t>
        </is>
      </c>
      <c r="E39" s="43" t="inlineStr">
        <is>
          <t>Casper</t>
        </is>
      </c>
      <c r="F39" s="44" t="inlineStr">
        <is>
          <t>Follow up by phone or email if no reply</t>
        </is>
      </c>
      <c r="G39" s="121" t="n">
        <v>46300</v>
      </c>
      <c r="H39" s="46" t="inlineStr">
        <is>
          <t>Independent GP clinic. 1. Located at 78 Indus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9" s="113" t="inlineStr">
        <is>
          <t>1</t>
        </is>
      </c>
      <c r="J39" s="113" t="inlineStr">
        <is>
          <t>78 Indus Road #01-487, Indus Garden S161078</t>
        </is>
      </c>
      <c r="K39" s="46" t="inlineStr">
        <is>
          <t>6271 0665</t>
        </is>
      </c>
      <c r="L39" s="47" t="inlineStr">
        <is>
          <t>https://vetatrv.com</t>
        </is>
      </c>
      <c r="M39" s="113" t="inlineStr">
        <is>
          <t>VETatRV@gmail.com</t>
        </is>
      </c>
      <c r="N39" s="113" t="inlineStr">
        <is>
          <t>B — SVA REGISTER (May 2024 edition). Phone, address and website as published there; RECONFIRM the number on the call. Emails shown are those the register printed.</t>
        </is>
      </c>
      <c r="O39" s="113" t="inlineStr">
        <is>
          <t>River Valley-adjacent catchment where owners accept diagnostic charges, so the payback argument is stronger here than the pure price argument.</t>
        </is>
      </c>
      <c r="P39" s="113" t="inlineStr">
        <is>
          <t>SonoEye P3 VET</t>
        </is>
      </c>
      <c r="Q39" s="57" t="inlineStr">
        <is>
          <t>P3</t>
        </is>
      </c>
      <c r="R39" s="52" t="inlineStr">
        <is>
          <t>MEDIUM — AstraMed can invoice, install and service directly today, but a single-site clinic on a price-led decision. Volume comes from working these in clusters.</t>
        </is>
      </c>
      <c r="S39" s="113" t="inlineStr">
        <is>
          <t>H-GP</t>
        </is>
      </c>
      <c r="T39" s="113" t="inlineStr">
        <is>
          <t>Verified (SVA register, May 2024 edition)</t>
        </is>
      </c>
      <c r="U39" s="50" t="inlineStr">
        <is>
          <t>Animal Medical Centre (VET@RV): ultrasound at a price that pays back in scans, not years</t>
        </is>
      </c>
      <c r="V39" s="50" t="inlineStr">
        <is>
          <t>Dear Animal Medical Centre (VET@RV) team,
My name is Casper Tan, Senior Regional Sales Manager at AstraMed Healthcare, a subsidiary of CHISON Medical Technologies. I am writing to Animal Medical Centre (VET@RV)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9" t="inlineStr">
        <is>
          <t>EMAIL SENT 28 Sep 2026. No reply yet.</t>
        </is>
      </c>
    </row>
    <row r="40" ht="165" customHeight="1" s="114">
      <c r="A40" s="113" t="n">
        <v>36</v>
      </c>
      <c r="B40" s="113" t="inlineStr">
        <is>
          <t>Acacia Veterinary Clinic</t>
        </is>
      </c>
      <c r="C40" s="113" t="inlineStr">
        <is>
          <t>Independent GP clinic</t>
        </is>
      </c>
      <c r="D40" s="42" t="inlineStr">
        <is>
          <t>Not started</t>
        </is>
      </c>
      <c r="E40" s="43" t="n"/>
      <c r="F40" s="44" t="n"/>
      <c r="G40" s="45" t="n"/>
      <c r="H40" s="113" t="inlineStr">
        <is>
          <t>Independent GP clinic. 1. Located at 338 Ang Mo Kio Avenue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0" s="113" t="inlineStr">
        <is>
          <t>1</t>
        </is>
      </c>
      <c r="J40" s="113" t="inlineStr">
        <is>
          <t>338 Ang Mo Kio Avenue 1 #01-1671 S560338</t>
        </is>
      </c>
      <c r="K40" s="113" t="inlineStr">
        <is>
          <t>6481 6889</t>
        </is>
      </c>
      <c r="L40" s="113" t="inlineStr">
        <is>
          <t>—</t>
        </is>
      </c>
      <c r="M40" s="113" t="inlineStr">
        <is>
          <t>Not published in the register — phone only</t>
        </is>
      </c>
      <c r="N40" s="113" t="inlineStr">
        <is>
          <t>B — SVA REGISTER (May 2024 edition). Phone, address and website as published there; RECONFIRM the number on the call. Emails shown are those the register printed.</t>
        </is>
      </c>
      <c r="O40" s="113" t="inlineStr">
        <is>
          <t>Ang Mo Kio heartland practice with no published website — often a sign of a smaller, price-sensitive operation where the CHISON cost position does all the selling.</t>
        </is>
      </c>
      <c r="P40" s="113" t="inlineStr">
        <is>
          <t>SonoEye P3 VET</t>
        </is>
      </c>
      <c r="Q40" s="57" t="inlineStr">
        <is>
          <t>P3</t>
        </is>
      </c>
      <c r="R40" s="52" t="inlineStr">
        <is>
          <t>MEDIUM — AstraMed can invoice, install and service directly today, but a single-site clinic on a price-led decision. Volume comes from working these in clusters.</t>
        </is>
      </c>
      <c r="S40" s="113" t="inlineStr">
        <is>
          <t>H-Budget</t>
        </is>
      </c>
      <c r="T40" s="113" t="inlineStr">
        <is>
          <t>Verified (SVA register, May 2024 edition)</t>
        </is>
      </c>
      <c r="U40" s="50" t="inlineStr">
        <is>
          <t>Acacia Veterinary Clinic: diagnostic imaging that fits your budget</t>
        </is>
      </c>
      <c r="V40" s="50" t="inlineStr">
        <is>
          <t>Dear Acacia Veterinary Clinic team,
My name is Casper Tan, Senior Regional Sales Manager at AstraMed Healthcare, a subsidiary of CHISON Medical Technologies. I am writing to Acacia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41" ht="165" customHeight="1" s="114">
      <c r="A41" s="113" t="n">
        <v>37</v>
      </c>
      <c r="B41" s="113" t="inlineStr">
        <is>
          <t>Care Veterinary Clinic</t>
        </is>
      </c>
      <c r="C41" s="113" t="inlineStr">
        <is>
          <t>Independent GP clinic</t>
        </is>
      </c>
      <c r="D41" s="42" t="inlineStr">
        <is>
          <t>Contacted</t>
        </is>
      </c>
      <c r="E41" s="43" t="inlineStr">
        <is>
          <t>Casper</t>
        </is>
      </c>
      <c r="F41" s="44" t="inlineStr">
        <is>
          <t>Follow up by phone or email if no reply</t>
        </is>
      </c>
      <c r="G41" s="121" t="n">
        <v>46300</v>
      </c>
      <c r="H41" s="46" t="inlineStr">
        <is>
          <t>Independent GP clinic. 1. Located at Blk 124 Toa Payoh Lorong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1" s="113" t="inlineStr">
        <is>
          <t>1</t>
        </is>
      </c>
      <c r="J41" s="113" t="inlineStr">
        <is>
          <t>Blk 124 Toa Payoh Lorong 1 #01-473 S310124</t>
        </is>
      </c>
      <c r="K41" s="46" t="inlineStr">
        <is>
          <t>6250 0535</t>
        </is>
      </c>
      <c r="L41" s="47" t="inlineStr">
        <is>
          <t>https://carevetclinic.com.sg</t>
        </is>
      </c>
      <c r="M41" s="113" t="inlineStr">
        <is>
          <t>info@carevetclinic.com.sg</t>
        </is>
      </c>
      <c r="N41" s="113" t="inlineStr">
        <is>
          <t>B — SVA REGISTER (May 2024 edition). Phone, address and website as published there; RECONFIRM the number on the call. Emails shown are those the register printed.</t>
        </is>
      </c>
      <c r="O41" s="113" t="inlineStr">
        <is>
          <t>Toa Payoh heartland clinic in a dense catchment. Price-led pitch; pair the visit with Vet Central at Lorong 4, which is minutes away.</t>
        </is>
      </c>
      <c r="P41" s="113" t="inlineStr">
        <is>
          <t>SonoEye P3 VET</t>
        </is>
      </c>
      <c r="Q41" s="57" t="inlineStr">
        <is>
          <t>P3</t>
        </is>
      </c>
      <c r="R41" s="52" t="inlineStr">
        <is>
          <t>MEDIUM — AstraMed can invoice, install and service directly today, but a single-site clinic on a price-led decision. Volume comes from working these in clusters.</t>
        </is>
      </c>
      <c r="S41" s="113" t="inlineStr">
        <is>
          <t>H-GP</t>
        </is>
      </c>
      <c r="T41" s="113" t="inlineStr">
        <is>
          <t>Verified (SVA register, May 2024 edition)</t>
        </is>
      </c>
      <c r="U41" s="50" t="inlineStr">
        <is>
          <t>Care Veterinary Clinic: ultrasound at a price that pays back in scans, not years</t>
        </is>
      </c>
      <c r="V41" s="50" t="inlineStr">
        <is>
          <t>Dear Care Veterinary Clinic team,
My name is Casper Tan, Senior Regional Sales Manager at AstraMed Healthcare, a subsidiary of CHISON Medical Technologies. I am writing to Care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1" t="inlineStr">
        <is>
          <t>EMAIL SENT 28 Sep 2026. No reply yet.</t>
        </is>
      </c>
    </row>
    <row r="42" ht="165" customHeight="1" s="114">
      <c r="A42" s="113" t="n">
        <v>38</v>
      </c>
      <c r="B42" s="113" t="inlineStr">
        <is>
          <t>Clover Vet</t>
        </is>
      </c>
      <c r="C42" s="113" t="inlineStr">
        <is>
          <t>Independent GP clinic</t>
        </is>
      </c>
      <c r="D42" s="42" t="inlineStr">
        <is>
          <t>Contacted</t>
        </is>
      </c>
      <c r="E42" s="43" t="inlineStr">
        <is>
          <t>Casper</t>
        </is>
      </c>
      <c r="F42" s="44" t="inlineStr">
        <is>
          <t>Follow up by phone or email if no reply</t>
        </is>
      </c>
      <c r="G42" s="121" t="n">
        <v>46300</v>
      </c>
      <c r="H42" s="46" t="inlineStr">
        <is>
          <t>Independent GP clinic. 1. Located at 678 Hougang Ave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2" s="113" t="inlineStr">
        <is>
          <t>1</t>
        </is>
      </c>
      <c r="J42" s="113" t="inlineStr">
        <is>
          <t>678 Hougang Ave 8 #01-503 S530678</t>
        </is>
      </c>
      <c r="K42" s="46" t="inlineStr">
        <is>
          <t>6581 9678</t>
        </is>
      </c>
      <c r="L42" s="47" t="inlineStr">
        <is>
          <t>https://clovervet.sg</t>
        </is>
      </c>
      <c r="M42" s="113" t="inlineStr">
        <is>
          <t>ask@clovervet.sg</t>
        </is>
      </c>
      <c r="N42" s="113" t="inlineStr">
        <is>
          <t>B — SVA REGISTER (May 2024 edition). Phone, address and website as published there; RECONFIRM the number on the call. Emails shown are those the register printed.</t>
        </is>
      </c>
      <c r="O42" s="113" t="inlineStr">
        <is>
          <t>Newer Hougang practice still building its equipment list, so there is no depreciated incumbent machine to displace — the fastest kind of close.</t>
        </is>
      </c>
      <c r="P42" s="113" t="inlineStr">
        <is>
          <t>SonoEye P3 VET</t>
        </is>
      </c>
      <c r="Q42" s="57" t="inlineStr">
        <is>
          <t>P3</t>
        </is>
      </c>
      <c r="R42" s="52" t="inlineStr">
        <is>
          <t>MEDIUM — AstraMed can invoice, install and service directly today, but a single-site clinic on a price-led decision. Volume comes from working these in clusters.</t>
        </is>
      </c>
      <c r="S42" s="113" t="inlineStr">
        <is>
          <t>H-GP</t>
        </is>
      </c>
      <c r="T42" s="113" t="inlineStr">
        <is>
          <t>Verified (SVA register, May 2024 edition)</t>
        </is>
      </c>
      <c r="U42" s="50" t="inlineStr">
        <is>
          <t>Clover Vet: ultrasound at a price that pays back in scans, not years</t>
        </is>
      </c>
      <c r="V42" s="50" t="inlineStr">
        <is>
          <t>Dear Clover Vet team,
My name is Casper Tan, Senior Regional Sales Manager at AstraMed Healthcare, a subsidiary of CHISON Medical Technologies. I am writing to Clover Vet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2" t="inlineStr">
        <is>
          <t>EMAIL SENT 28 Sep 2026. No reply yet.</t>
        </is>
      </c>
    </row>
    <row r="43" ht="165" customHeight="1" s="114">
      <c r="A43" s="113" t="n">
        <v>39</v>
      </c>
      <c r="B43" s="113" t="inlineStr">
        <is>
          <t>Defu Veterinary Clinic</t>
        </is>
      </c>
      <c r="C43" s="113" t="inlineStr">
        <is>
          <t>Independent GP clinic</t>
        </is>
      </c>
      <c r="D43" s="42" t="inlineStr">
        <is>
          <t>Not started</t>
        </is>
      </c>
      <c r="E43" s="43" t="n"/>
      <c r="F43" s="44" t="n"/>
      <c r="G43" s="45" t="n"/>
      <c r="H43" s="46" t="inlineStr">
        <is>
          <t>Independent GP clinic. 1. Located at 37 Defu Lane 10.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3" s="113" t="inlineStr">
        <is>
          <t>1</t>
        </is>
      </c>
      <c r="J43" s="113" t="inlineStr">
        <is>
          <t>37 Defu Lane 10 #01-79 S539214</t>
        </is>
      </c>
      <c r="K43" s="46" t="inlineStr">
        <is>
          <t>6284 8411</t>
        </is>
      </c>
      <c r="L43" s="47" t="inlineStr">
        <is>
          <t>https://defuvetclinic.com</t>
        </is>
      </c>
      <c r="M43" s="113" t="inlineStr">
        <is>
          <t>Not published in the register — via defuvetclinic.com</t>
        </is>
      </c>
      <c r="N43" s="113" t="inlineStr">
        <is>
          <t>B — SVA REGISTER (May 2024 edition). Phone, address and website as published there; RECONFIRM the number on the call. Emails shown are those the register printed.</t>
        </is>
      </c>
      <c r="O43" s="113" t="inlineStr">
        <is>
          <t>Industrial-estate location, which in Singapore usually means a working practice with kennel or boarding volume rather than a boutique. Volume favours a dedicated scanner.</t>
        </is>
      </c>
      <c r="P43" s="113" t="inlineStr">
        <is>
          <t>SonoEye P3 VET</t>
        </is>
      </c>
      <c r="Q43" s="57" t="inlineStr">
        <is>
          <t>P3</t>
        </is>
      </c>
      <c r="R43" s="52" t="inlineStr">
        <is>
          <t>MEDIUM — AstraMed can invoice, install and service directly today, but a single-site clinic on a price-led decision. Volume comes from working these in clusters.</t>
        </is>
      </c>
      <c r="S43" s="113" t="inlineStr">
        <is>
          <t>H-GP</t>
        </is>
      </c>
      <c r="T43" s="113" t="inlineStr">
        <is>
          <t>Verified (SVA register, May 2024 edition) · v11 CHECK 27 Sep 2026: defuvetclinic.com did not resolve in DNS; the site may have moved or closed, confirm before relying on it.</t>
        </is>
      </c>
      <c r="U43" s="50" t="inlineStr">
        <is>
          <t>Defu Veterinary Clinic: ultrasound at a price that pays back in scans, not years</t>
        </is>
      </c>
      <c r="V43" s="50" t="inlineStr">
        <is>
          <t>Dear Defu Veterinary Clinic team,
My name is Casper Tan, Senior Regional Sales Manager at AstraMed Healthcare, a subsidiary of CHISON Medical Technologies. I am writing to Defu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4" ht="165" customHeight="1" s="114">
      <c r="A44" s="113" t="n">
        <v>40</v>
      </c>
      <c r="B44" s="113" t="inlineStr">
        <is>
          <t>Frankel Veterinary Centre</t>
        </is>
      </c>
      <c r="C44" s="113" t="inlineStr">
        <is>
          <t>Independent GP clinic</t>
        </is>
      </c>
      <c r="D44" s="42" t="inlineStr">
        <is>
          <t>Not started</t>
        </is>
      </c>
      <c r="E44" s="43" t="n"/>
      <c r="F44" s="44" t="n"/>
      <c r="G44" s="45" t="n"/>
      <c r="H44" s="46" t="inlineStr">
        <is>
          <t>Independent GP clinic. 1. Located at 101 Frankel Avenue S458224.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4" s="113" t="inlineStr">
        <is>
          <t>1</t>
        </is>
      </c>
      <c r="J44" s="113" t="inlineStr">
        <is>
          <t>101 Frankel Avenue S458224</t>
        </is>
      </c>
      <c r="K44" s="46" t="inlineStr">
        <is>
          <t>6876 1212</t>
        </is>
      </c>
      <c r="L44" s="47" t="inlineStr">
        <is>
          <t>https://frankelvet.com.sg</t>
        </is>
      </c>
      <c r="M44" s="113" t="inlineStr">
        <is>
          <t>Not published in the register — via frankelvet.com.sg</t>
        </is>
      </c>
      <c r="N44" s="113" t="inlineStr">
        <is>
          <t>B — SVA REGISTER (May 2024 edition). Phone, address and website as published there; RECONFIRM the number on the call. Emails shown are those the register printed.</t>
        </is>
      </c>
      <c r="O44" s="113" t="inlineStr">
        <is>
          <t>Frankel Estate sits in the same high-income east-coast catchment as Amber Vet, so the diagnostic-charge economics work. Lead on payback, not on price.</t>
        </is>
      </c>
      <c r="P44" s="113" t="inlineStr">
        <is>
          <t>SonoEye P3 VET</t>
        </is>
      </c>
      <c r="Q44" s="51" t="inlineStr">
        <is>
          <t>P2</t>
        </is>
      </c>
      <c r="R44" s="49" t="inlineStr">
        <is>
          <t>HIGH — AstraMed can invoice, install and service directly today. Single decision-maker, realistic first order.</t>
        </is>
      </c>
      <c r="S44" s="113" t="inlineStr">
        <is>
          <t>H-GP</t>
        </is>
      </c>
      <c r="T44" s="113" t="inlineStr">
        <is>
          <t>Verified (SVA register, May 2024 edition)</t>
        </is>
      </c>
      <c r="U44" s="50" t="inlineStr">
        <is>
          <t>Frankel Veterinary Centre: ultrasound at a price that pays back in scans, not years</t>
        </is>
      </c>
      <c r="V44" s="50" t="inlineStr">
        <is>
          <t>Dear Frankel Veterinary Centre team,
My name is Casper Tan, Senior Regional Sales Manager at AstraMed Healthcare, a subsidiary of CHISON Medical Technologies. I am writing to Frankel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5" ht="165" customHeight="1" s="114">
      <c r="A45" s="113" t="n">
        <v>41</v>
      </c>
      <c r="B45" s="113" t="inlineStr">
        <is>
          <t>Furiends Veterinary Clinic</t>
        </is>
      </c>
      <c r="C45" s="113" t="inlineStr">
        <is>
          <t>Independent GP clinic</t>
        </is>
      </c>
      <c r="D45" s="42" t="inlineStr">
        <is>
          <t>Not started</t>
        </is>
      </c>
      <c r="E45" s="43" t="n"/>
      <c r="F45" s="44" t="n"/>
      <c r="G45" s="45" t="n"/>
      <c r="H45" s="46" t="inlineStr">
        <is>
          <t>Independent GP clinic. 1. Located at 211B Punggol Walk, Punggol Ripples.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5" s="113" t="inlineStr">
        <is>
          <t>1</t>
        </is>
      </c>
      <c r="J45" s="113" t="inlineStr">
        <is>
          <t>211B Punggol Walk, Punggol Ripples #01-627 S822211</t>
        </is>
      </c>
      <c r="K45" s="46" t="inlineStr">
        <is>
          <t>6244 2112</t>
        </is>
      </c>
      <c r="L45" s="47" t="inlineStr">
        <is>
          <t>https://furiends.com.sg</t>
        </is>
      </c>
      <c r="M45" s="113" t="inlineStr">
        <is>
          <t>Not published in the register — via furiends.com.sg</t>
        </is>
      </c>
      <c r="N45" s="113" t="inlineStr">
        <is>
          <t>B — SVA REGISTER (May 2024 edition). Phone, address and website as published there; RECONFIRM the number on the call. Emails shown are those the register printed.</t>
        </is>
      </c>
      <c r="O45" s="113" t="inlineStr">
        <is>
          <t>Punggol is one of Singapore's youngest catchments with a fast-growing pet population and few established clinics — a practice here is scaling and buying.</t>
        </is>
      </c>
      <c r="P45" s="113" t="inlineStr">
        <is>
          <t>SonoEye P3 VET</t>
        </is>
      </c>
      <c r="Q45" s="51" t="inlineStr">
        <is>
          <t>P2</t>
        </is>
      </c>
      <c r="R45" s="49" t="inlineStr">
        <is>
          <t>HIGH — AstraMed can invoice, install and service directly today. Single decision-maker, realistic first order.</t>
        </is>
      </c>
      <c r="S45" s="113" t="inlineStr">
        <is>
          <t>H-GP</t>
        </is>
      </c>
      <c r="T45" s="113" t="inlineStr">
        <is>
          <t>Verified (SVA register, May 2024 edition)</t>
        </is>
      </c>
      <c r="U45" s="50" t="inlineStr">
        <is>
          <t>Furiends Veterinary Clinic: ultrasound at a price that pays back in scans, not years</t>
        </is>
      </c>
      <c r="V45" s="50" t="inlineStr">
        <is>
          <t>Dear Furiends Veterinary Clinic team,
My name is Casper Tan, Senior Regional Sales Manager at AstraMed Healthcare, a subsidiary of CHISON Medical Technologies. I am writing to Furiends Veterinary Clinic specifically, not to a list. Punggol is one of the youngest catchments in Singapore with a fast-growing pet population and few established practices, which usually means a clinic that is scaling.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6" ht="165" customHeight="1" s="114">
      <c r="A46" s="113" t="n">
        <v>42</v>
      </c>
      <c r="B46" s="113" t="inlineStr">
        <is>
          <t>Genesis Veterinary Clinic</t>
        </is>
      </c>
      <c r="C46" s="113" t="inlineStr">
        <is>
          <t>Independent GP clinic</t>
        </is>
      </c>
      <c r="D46" s="42" t="inlineStr">
        <is>
          <t>Contacted</t>
        </is>
      </c>
      <c r="E46" s="43" t="inlineStr">
        <is>
          <t>Casper</t>
        </is>
      </c>
      <c r="F46" s="44" t="inlineStr">
        <is>
          <t>Follow up by phone or email if no reply</t>
        </is>
      </c>
      <c r="G46" s="121" t="n">
        <v>46300</v>
      </c>
      <c r="H46" s="46" t="inlineStr">
        <is>
          <t>Independent GP clinic. 1. Located at Blk 935 Yishun Central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6" s="113" t="inlineStr">
        <is>
          <t>1</t>
        </is>
      </c>
      <c r="J46" s="113" t="inlineStr">
        <is>
          <t>Blk 935 Yishun Central 1 #01-43 S760935</t>
        </is>
      </c>
      <c r="K46" s="46" t="inlineStr">
        <is>
          <t>6257 0682</t>
        </is>
      </c>
      <c r="L46" s="47" t="inlineStr">
        <is>
          <t>https://genesisvet.com.sg</t>
        </is>
      </c>
      <c r="M46" s="113" t="inlineStr">
        <is>
          <t>info@genesisvet.com.sg</t>
        </is>
      </c>
      <c r="N46" s="113" t="inlineStr">
        <is>
          <t>B — SVA REGISTER (May 2024 edition). Phone, address and website as published there; RECONFIRM the number on the call. Emails shown are those the register printed.</t>
        </is>
      </c>
      <c r="O46" s="113" t="inlineStr">
        <is>
          <t>Yishun heartland practice. Price-led; the north is thinly served by specialty referral, so in-clinic imaging saves the owner a cross-island trip.</t>
        </is>
      </c>
      <c r="P46" s="113" t="inlineStr">
        <is>
          <t>SonoEye P3 VET</t>
        </is>
      </c>
      <c r="Q46" s="57" t="inlineStr">
        <is>
          <t>P3</t>
        </is>
      </c>
      <c r="R46" s="52" t="inlineStr">
        <is>
          <t>MEDIUM — AstraMed can invoice, install and service directly today, but a single-site clinic on a price-led decision. Volume comes from working these in clusters.</t>
        </is>
      </c>
      <c r="S46" s="113" t="inlineStr">
        <is>
          <t>H-GP</t>
        </is>
      </c>
      <c r="T46" s="113" t="inlineStr">
        <is>
          <t>Verified (SVA register, May 2024 edition)</t>
        </is>
      </c>
      <c r="U46" s="50" t="inlineStr">
        <is>
          <t>Genesis Veterinary Clinic: ultrasound at a price that pays back in scans, not years</t>
        </is>
      </c>
      <c r="V46" s="50" t="inlineStr">
        <is>
          <t>Dear Genesis Veterinary Clinic team,
My name is Casper Tan, Senior Regional Sales Manager at AstraMed Healthcare, a subsidiary of CHISON Medical Technologies. I am writing to Genesis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6" t="inlineStr">
        <is>
          <t>EMAIL SENT 28 Sep 2026. No reply yet.</t>
        </is>
      </c>
    </row>
    <row r="47" ht="165" customHeight="1" s="114">
      <c r="A47" s="113" t="n">
        <v>43</v>
      </c>
      <c r="B47" s="113" t="inlineStr">
        <is>
          <t>Gentle Oak Veterinary Clinic</t>
        </is>
      </c>
      <c r="C47" s="113" t="inlineStr">
        <is>
          <t>Independent GP clinic</t>
        </is>
      </c>
      <c r="D47" s="42" t="inlineStr">
        <is>
          <t>Contacted</t>
        </is>
      </c>
      <c r="E47" s="43" t="inlineStr">
        <is>
          <t>Casper</t>
        </is>
      </c>
      <c r="F47" s="44" t="inlineStr">
        <is>
          <t>Follow up by phone or email if no reply</t>
        </is>
      </c>
      <c r="G47" s="121" t="n">
        <v>46300</v>
      </c>
      <c r="H47" s="46" t="inlineStr">
        <is>
          <t>Independent GP clinic. 1. Located at 21 Ghim Moh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7" s="113" t="inlineStr">
        <is>
          <t>1</t>
        </is>
      </c>
      <c r="J47" s="113" t="inlineStr">
        <is>
          <t>21 Ghim Moh Road #01-225 S270021</t>
        </is>
      </c>
      <c r="K47" s="46" t="inlineStr">
        <is>
          <t>6250 8001</t>
        </is>
      </c>
      <c r="L47" s="47" t="inlineStr">
        <is>
          <t>https://gentleoakvet.com.sg</t>
        </is>
      </c>
      <c r="M47" s="113" t="inlineStr">
        <is>
          <t>info@gentleoakvet.com.sg</t>
        </is>
      </c>
      <c r="N47" s="113" t="inlineStr">
        <is>
          <t>B — SVA REGISTER (May 2024 edition). Phone, address and website as published there; RECONFIRM the number on the call. Emails shown are those the register printed.</t>
        </is>
      </c>
      <c r="O47" s="113" t="inlineStr">
        <is>
          <t>Ghim Moh, next to the Holland Village cluster. Modern independent practice; combine the visit with The Veterinary Clinic and Vet Practice, both within a few minutes.</t>
        </is>
      </c>
      <c r="P47" s="113" t="inlineStr">
        <is>
          <t>SonoEye P3 VET</t>
        </is>
      </c>
      <c r="Q47" s="57" t="inlineStr">
        <is>
          <t>P3</t>
        </is>
      </c>
      <c r="R47" s="52" t="inlineStr">
        <is>
          <t>MEDIUM — AstraMed can invoice, install and service directly today, but a single-site clinic on a price-led decision. Volume comes from working these in clusters.</t>
        </is>
      </c>
      <c r="S47" s="113" t="inlineStr">
        <is>
          <t>H-GP</t>
        </is>
      </c>
      <c r="T47" s="113" t="inlineStr">
        <is>
          <t>Verified (SVA register, May 2024 edition)</t>
        </is>
      </c>
      <c r="U47" s="50" t="inlineStr">
        <is>
          <t>Gentle Oak Veterinary Clinic: ultrasound at a price that pays back in scans, not years</t>
        </is>
      </c>
      <c r="V47" s="50" t="inlineStr">
        <is>
          <t>Dear Gentle Oak Veterinary Clinic team,
My name is Casper Tan, Senior Regional Sales Manager at AstraMed Healthcare, a subsidiary of CHISON Medical Technologies. I am writing to Gentle Oak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7" t="inlineStr">
        <is>
          <t>EMAIL SENT 28 Sep 2026. No reply yet.</t>
        </is>
      </c>
    </row>
    <row r="48" ht="165" customHeight="1" s="114">
      <c r="A48" s="113" t="n">
        <v>44</v>
      </c>
      <c r="B48" s="113" t="inlineStr">
        <is>
          <t>Jireh Veterinary Clinic</t>
        </is>
      </c>
      <c r="C48" s="113" t="inlineStr">
        <is>
          <t>Independent GP clinic</t>
        </is>
      </c>
      <c r="D48" s="42" t="inlineStr">
        <is>
          <t>Not started</t>
        </is>
      </c>
      <c r="E48" s="43" t="n"/>
      <c r="F48" s="44" t="n"/>
      <c r="G48" s="45" t="n"/>
      <c r="H48" s="46" t="inlineStr">
        <is>
          <t>Independent GP clinic. 1. Located at 530 Balestier Road, Monville Mansion.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8" s="113" t="inlineStr">
        <is>
          <t>1</t>
        </is>
      </c>
      <c r="J48" s="113" t="inlineStr">
        <is>
          <t>530 Balestier Road, Monville Mansion #01-04 S329857</t>
        </is>
      </c>
      <c r="K48" s="46" t="inlineStr">
        <is>
          <t>6266 9566</t>
        </is>
      </c>
      <c r="L48" s="47" t="inlineStr">
        <is>
          <t>https://jirehvets.com.sg</t>
        </is>
      </c>
      <c r="M48" s="113" t="inlineStr">
        <is>
          <t>Not published in the register — via jirehvets.com.sg</t>
        </is>
      </c>
      <c r="N48" s="113" t="inlineStr">
        <is>
          <t>B — SVA REGISTER (May 2024 edition). Phone, address and website as published there; RECONFIRM the number on the call. Emails shown are those the register printed.</t>
        </is>
      </c>
      <c r="O48" s="113" t="inlineStr">
        <is>
          <t>Balestier veterinary cluster — Companion Animal Surgery and Nam Sang are on the same road. One trip, three conversations.</t>
        </is>
      </c>
      <c r="P48" s="113" t="inlineStr">
        <is>
          <t>SonoEye P3 VET</t>
        </is>
      </c>
      <c r="Q48" s="57" t="inlineStr">
        <is>
          <t>P3</t>
        </is>
      </c>
      <c r="R48" s="52" t="inlineStr">
        <is>
          <t>MEDIUM — AstraMed can invoice, install and service directly today, but a single-site clinic on a price-led decision. Volume comes from working these in clusters.</t>
        </is>
      </c>
      <c r="S48" s="113" t="inlineStr">
        <is>
          <t>H-GP</t>
        </is>
      </c>
      <c r="T48" s="113" t="inlineStr">
        <is>
          <t>Verified (SVA register, May 2024 edition) · v11 CHECK 27 Sep 2026: jirehvets.com.sg did not resolve in DNS; the site may have moved or closed, confirm before relying on it.</t>
        </is>
      </c>
      <c r="U48" s="50" t="inlineStr">
        <is>
          <t>Jireh Veterinary Clinic: ultrasound at a price that pays back in scans, not years</t>
        </is>
      </c>
      <c r="V48" s="50" t="inlineStr">
        <is>
          <t>Dear Jireh Veterinary Clinic team,
My name is Casper Tan, Senior Regional Sales Manager at AstraMed Healthcare, a subsidiary of CHISON Medical Technologies. I am writing to Jireh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9" ht="165" customHeight="1" s="114">
      <c r="A49" s="113" t="n">
        <v>45</v>
      </c>
      <c r="B49" s="113" t="inlineStr">
        <is>
          <t>Light of Life Veterinary Clinic and Services</t>
        </is>
      </c>
      <c r="C49" s="113" t="inlineStr">
        <is>
          <t>Independent GP clinic</t>
        </is>
      </c>
      <c r="D49" s="42" t="inlineStr">
        <is>
          <t>Not started</t>
        </is>
      </c>
      <c r="E49" s="43" t="n"/>
      <c r="F49" s="44" t="n"/>
      <c r="G49" s="45" t="n"/>
      <c r="H49" s="46" t="inlineStr">
        <is>
          <t>Independent GP clinic. 1. Located at Blk 703 Bedok Reservoir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9" s="113" t="inlineStr">
        <is>
          <t>1</t>
        </is>
      </c>
      <c r="J49" s="113" t="inlineStr">
        <is>
          <t>Blk 703 Bedok Reservoir Road #01-3508 S470703</t>
        </is>
      </c>
      <c r="K49" s="46" t="inlineStr">
        <is>
          <t>6243 3282</t>
        </is>
      </c>
      <c r="L49" s="47" t="inlineStr">
        <is>
          <t>https://light-of-life-vet-clinic.webs.com</t>
        </is>
      </c>
      <c r="M49" s="113" t="inlineStr">
        <is>
          <t>Not published in the register — phone only</t>
        </is>
      </c>
      <c r="N49" s="113" t="inlineStr">
        <is>
          <t>B — SVA REGISTER (May 2024 edition). Phone, address and website as published there; RECONFIRM the number on the call. Emails shown are those the register printed.</t>
        </is>
      </c>
      <c r="O49" s="113" t="inlineStr">
        <is>
          <t>Bedok Reservoir heartland practice on a legacy website — likely modest equipment budget, so this is a pure price conversation.</t>
        </is>
      </c>
      <c r="P49" s="113" t="inlineStr">
        <is>
          <t>SonoEye P3 VET</t>
        </is>
      </c>
      <c r="Q49" s="57" t="inlineStr">
        <is>
          <t>P3</t>
        </is>
      </c>
      <c r="R49" s="52" t="inlineStr">
        <is>
          <t>MEDIUM — AstraMed can invoice, install and service directly today, but a single-site clinic on a price-led decision. Volume comes from working these in clusters.</t>
        </is>
      </c>
      <c r="S49" s="113" t="inlineStr">
        <is>
          <t>H-Budget</t>
        </is>
      </c>
      <c r="T49" s="113" t="inlineStr">
        <is>
          <t>Verified (SVA register, May 2024 edition) · v11 CHECK 27 Sep 2026: light-of-life-vet-clinic.webs.com did not resolve in DNS; the site may have moved or closed, confirm before relying on it.</t>
        </is>
      </c>
      <c r="U49" s="50" t="inlineStr">
        <is>
          <t>Light of Life Veterinary Clinic and Services: diagnostic imaging that fits your budget</t>
        </is>
      </c>
      <c r="V49" s="50" t="inlineStr">
        <is>
          <t>Dear Light of Life Veterinary Clinic and Services team,
My name is Casper Tan, Senior Regional Sales Manager at AstraMed Healthcare, a subsidiary of CHISON Medical Technologies. I am writing to Light of Life Veterinary Clinic and Services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0" ht="165" customHeight="1" s="114">
      <c r="A50" s="113" t="n">
        <v>46</v>
      </c>
      <c r="B50" s="113" t="inlineStr">
        <is>
          <t>Monster Pet Vet</t>
        </is>
      </c>
      <c r="C50" s="113" t="inlineStr">
        <is>
          <t>Independent GP clinic</t>
        </is>
      </c>
      <c r="D50" s="42" t="inlineStr">
        <is>
          <t>Not started</t>
        </is>
      </c>
      <c r="E50" s="43" t="n"/>
      <c r="F50" s="44" t="n"/>
      <c r="G50" s="45" t="n"/>
      <c r="H50" s="46" t="inlineStr">
        <is>
          <t>Independent GP clinic. 1. Located at 6 Everton Park.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P5 VET (phone-paired) + P3 VET.</t>
        </is>
      </c>
      <c r="I50" s="113" t="inlineStr">
        <is>
          <t>1</t>
        </is>
      </c>
      <c r="J50" s="113" t="inlineStr">
        <is>
          <t>6 Everton Park #01-14/16 S080006</t>
        </is>
      </c>
      <c r="K50" s="46" t="inlineStr">
        <is>
          <t>6327 9148</t>
        </is>
      </c>
      <c r="L50" s="47" t="inlineStr">
        <is>
          <t>https://monsterpetvet.com</t>
        </is>
      </c>
      <c r="M50" s="113" t="inlineStr">
        <is>
          <t>Not published in the register — via monsterpetvet.com</t>
        </is>
      </c>
      <c r="N50" s="113" t="inlineStr">
        <is>
          <t>B — SVA REGISTER (May 2024 edition). Phone, address and website as published there; RECONFIRM the number on the call. Emails shown are those the register printed.</t>
        </is>
      </c>
      <c r="O50" s="113" t="inlineStr">
        <is>
          <t>Everton Park is a young, design-led city-fringe catchment with high owner spend per pet. A modern brand that will care about how the equipment looks and how fast it is, not only what it costs.</t>
        </is>
      </c>
      <c r="P50" s="113" t="inlineStr">
        <is>
          <t>SonoEye P5 VET (phone-paired) + P3 VET</t>
        </is>
      </c>
      <c r="Q50" s="51" t="inlineStr">
        <is>
          <t>P2</t>
        </is>
      </c>
      <c r="R50" s="49" t="inlineStr">
        <is>
          <t>HIGH — AstraMed can invoice, install and service directly today. Single decision-maker, realistic first order.</t>
        </is>
      </c>
      <c r="S50" s="113" t="inlineStr">
        <is>
          <t>H-GP</t>
        </is>
      </c>
      <c r="T50" s="113" t="inlineStr">
        <is>
          <t>Verified (SVA register, May 2024 edition)</t>
        </is>
      </c>
      <c r="U50" s="50" t="inlineStr">
        <is>
          <t>Monster Pet Vet: ultrasound at a price that pays back in scans, not years</t>
        </is>
      </c>
      <c r="V50" s="50" t="inlineStr">
        <is>
          <t>Dear Monster Pet Vet team,
My name is Casper Tan, Senior Regional Sales Manager at AstraMed Healthcare, a subsidiary of CHISON Medical Technologies. I am writing to Monster Pet Vet specifically, not to a list. Everton Park is a young, design-led city-fringe catchment with high spend per pet, and you have built a brand that matches it.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P5 VET (phone-paired) and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1" ht="165" customHeight="1" s="114">
      <c r="A51" s="113" t="n">
        <v>47</v>
      </c>
      <c r="B51" s="113" t="inlineStr">
        <is>
          <t>My Family Vet Clinic and Surgery</t>
        </is>
      </c>
      <c r="C51" s="113" t="inlineStr">
        <is>
          <t>Independent GP clinic</t>
        </is>
      </c>
      <c r="D51" s="42" t="inlineStr">
        <is>
          <t>Not started</t>
        </is>
      </c>
      <c r="E51" s="43" t="n"/>
      <c r="F51" s="44" t="n"/>
      <c r="G51" s="45" t="n"/>
      <c r="H51" s="113" t="inlineStr">
        <is>
          <t>Independent GP clinic. 1. Located at 265 Bukit Batok East Avenue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1" s="113" t="inlineStr">
        <is>
          <t>1</t>
        </is>
      </c>
      <c r="J51" s="113" t="inlineStr">
        <is>
          <t>265 Bukit Batok East Avenue 4 #01-403 S650265</t>
        </is>
      </c>
      <c r="K51" s="113" t="inlineStr">
        <is>
          <t>6566 0448</t>
        </is>
      </c>
      <c r="L51" s="113" t="inlineStr">
        <is>
          <t>—</t>
        </is>
      </c>
      <c r="M51" s="113" t="inlineStr">
        <is>
          <t>Not published in the register — phone only</t>
        </is>
      </c>
      <c r="N51" s="113" t="inlineStr">
        <is>
          <t>B — SVA REGISTER (May 2024 edition). Phone, address and website as published there; RECONFIRM the number on the call. Emails shown are those the register printed.</t>
        </is>
      </c>
      <c r="O51" s="113" t="inlineStr">
        <is>
          <t>Bukit Batok heartland surgery-capable practice. Price-led pitch.</t>
        </is>
      </c>
      <c r="P51" s="113" t="inlineStr">
        <is>
          <t>SonoEye P3 VET</t>
        </is>
      </c>
      <c r="Q51" s="57" t="inlineStr">
        <is>
          <t>P3</t>
        </is>
      </c>
      <c r="R51" s="52" t="inlineStr">
        <is>
          <t>MEDIUM — AstraMed can invoice, install and service directly today, but a single-site clinic on a price-led decision. Volume comes from working these in clusters.</t>
        </is>
      </c>
      <c r="S51" s="113" t="inlineStr">
        <is>
          <t>H-Budget</t>
        </is>
      </c>
      <c r="T51" s="113" t="inlineStr">
        <is>
          <t>Verified (SVA register, May 2024 edition)</t>
        </is>
      </c>
      <c r="U51" s="50" t="inlineStr">
        <is>
          <t>My Family Vet Clinic and Surgery: diagnostic imaging that fits your budget</t>
        </is>
      </c>
      <c r="V51" s="50" t="inlineStr">
        <is>
          <t>Dear My Family Vet Clinic and Surgery team,
My name is Casper Tan, Senior Regional Sales Manager at AstraMed Healthcare, a subsidiary of CHISON Medical Technologies. I am writing to My Family Vet Clinic and Surgery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2" ht="165" customHeight="1" s="114">
      <c r="A52" s="113" t="n">
        <v>48</v>
      </c>
      <c r="B52" s="113" t="inlineStr">
        <is>
          <t>Namly Animal Clinic</t>
        </is>
      </c>
      <c r="C52" s="113" t="inlineStr">
        <is>
          <t>Independent GP clinic</t>
        </is>
      </c>
      <c r="D52" s="42" t="inlineStr">
        <is>
          <t>Not started</t>
        </is>
      </c>
      <c r="E52" s="43" t="n"/>
      <c r="F52" s="44" t="n"/>
      <c r="G52" s="45" t="n"/>
      <c r="H52" s="113" t="inlineStr">
        <is>
          <t>Independent GP clinic. 1. Located at 74 Namly Place S267223.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2" s="113" t="inlineStr">
        <is>
          <t>1</t>
        </is>
      </c>
      <c r="J52" s="113" t="inlineStr">
        <is>
          <t>74 Namly Place S267223</t>
        </is>
      </c>
      <c r="K52" s="113" t="inlineStr">
        <is>
          <t>6469 4744</t>
        </is>
      </c>
      <c r="L52" s="113" t="inlineStr">
        <is>
          <t>—</t>
        </is>
      </c>
      <c r="M52" s="113" t="inlineStr">
        <is>
          <t>Not published in the register — phone only</t>
        </is>
      </c>
      <c r="N52" s="113" t="inlineStr">
        <is>
          <t>B — SVA REGISTER (May 2024 edition). Phone, address and website as published there; RECONFIRM the number on the call. Emails shown are those the register printed.</t>
        </is>
      </c>
      <c r="O52" s="113" t="inlineStr">
        <is>
          <t>Namly is a landed-housing enclave near Bukit Timah — small clinic, high-value clientele, likely to buy on capability rather than on price.</t>
        </is>
      </c>
      <c r="P52" s="113" t="inlineStr">
        <is>
          <t>SonoEye P3 VET</t>
        </is>
      </c>
      <c r="Q52" s="57" t="inlineStr">
        <is>
          <t>P3</t>
        </is>
      </c>
      <c r="R52" s="52" t="inlineStr">
        <is>
          <t>MEDIUM — AstraMed can invoice, install and service directly today, but a single-site clinic on a price-led decision. Volume comes from working these in clusters.</t>
        </is>
      </c>
      <c r="S52" s="113" t="inlineStr">
        <is>
          <t>H-GP</t>
        </is>
      </c>
      <c r="T52" s="113" t="inlineStr">
        <is>
          <t>Verified (SVA register, May 2024 edition)</t>
        </is>
      </c>
      <c r="U52" s="50" t="inlineStr">
        <is>
          <t>Namly Animal Clinic: ultrasound at a price that pays back in scans, not years</t>
        </is>
      </c>
      <c r="V52" s="50" t="inlineStr">
        <is>
          <t>Dear Namly Animal Clinic team,
My name is Casper Tan, Senior Regional Sales Manager at AstraMed Healthcare, a subsidiary of CHISON Medical Technologies. I am writing to Namly Animal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3" ht="165" customHeight="1" s="114">
      <c r="A53" s="113" t="n">
        <v>49</v>
      </c>
      <c r="B53" s="113" t="inlineStr">
        <is>
          <t>Nam Sang Veterinary Clinic</t>
        </is>
      </c>
      <c r="C53" s="113" t="inlineStr">
        <is>
          <t>Independent GP clinic</t>
        </is>
      </c>
      <c r="D53" s="42" t="inlineStr">
        <is>
          <t>Not started</t>
        </is>
      </c>
      <c r="E53" s="43" t="n"/>
      <c r="F53" s="44" t="n"/>
      <c r="G53" s="45" t="n"/>
      <c r="H53" s="46" t="inlineStr">
        <is>
          <t>Independent GP clinic. 1. Located at 2 Balestier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3" s="113" t="inlineStr">
        <is>
          <t>1</t>
        </is>
      </c>
      <c r="J53" s="113" t="inlineStr">
        <is>
          <t>2 Balestier Road #01-697, Balestier Shopping Centre S320002</t>
        </is>
      </c>
      <c r="K53" s="46" t="inlineStr">
        <is>
          <t>6254 8138</t>
        </is>
      </c>
      <c r="L53" s="47" t="inlineStr">
        <is>
          <t>https://namsangveterinaryclinic.webs.com</t>
        </is>
      </c>
      <c r="M53" s="113" t="inlineStr">
        <is>
          <t>Not published in the register — phone only</t>
        </is>
      </c>
      <c r="N53" s="113" t="inlineStr">
        <is>
          <t>B — SVA REGISTER (May 2024 edition). Phone, address and website as published there; RECONFIRM the number on the call. Emails shown are those the register printed.</t>
        </is>
      </c>
      <c r="O53" s="113" t="inlineStr">
        <is>
          <t>Long-standing Balestier practice. Part of the Balestier cluster visit.</t>
        </is>
      </c>
      <c r="P53" s="113" t="inlineStr">
        <is>
          <t>SonoEye P3 VET</t>
        </is>
      </c>
      <c r="Q53" s="57" t="inlineStr">
        <is>
          <t>P3</t>
        </is>
      </c>
      <c r="R53" s="52" t="inlineStr">
        <is>
          <t>MEDIUM — AstraMed can invoice, install and service directly today, but a single-site clinic on a price-led decision. Volume comes from working these in clusters.</t>
        </is>
      </c>
      <c r="S53" s="113" t="inlineStr">
        <is>
          <t>H-Budget</t>
        </is>
      </c>
      <c r="T53" s="113" t="inlineStr">
        <is>
          <t>Verified (SVA register, May 2024 edition) · v11 CHECK 27 Sep 2026: namsangveterinaryclinic.webs.com did not resolve in DNS; the site may have moved or closed, confirm before relying on it.</t>
        </is>
      </c>
      <c r="U53" s="50" t="inlineStr">
        <is>
          <t>Nam Sang Veterinary Clinic: diagnostic imaging that fits your budget</t>
        </is>
      </c>
      <c r="V53" s="50" t="inlineStr">
        <is>
          <t>Dear Nam Sang Veterinary Clinic team,
My name is Casper Tan, Senior Regional Sales Manager at AstraMed Healthcare, a subsidiary of CHISON Medical Technologies. I am writing to Nam Sang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4" ht="165" customHeight="1" s="114">
      <c r="A54" s="113" t="n">
        <v>50</v>
      </c>
      <c r="B54" s="113" t="inlineStr">
        <is>
          <t>Oasis Veterinary Clinic</t>
        </is>
      </c>
      <c r="C54" s="113" t="inlineStr">
        <is>
          <t>Independent GP clinic</t>
        </is>
      </c>
      <c r="D54" s="42" t="inlineStr">
        <is>
          <t>Not started</t>
        </is>
      </c>
      <c r="E54" s="43" t="n"/>
      <c r="F54" s="44" t="n"/>
      <c r="G54" s="45" t="n"/>
      <c r="H54" s="46" t="inlineStr">
        <is>
          <t>Independent GP clinic. 1. Located at 15 Venus Road S574302.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4" s="113" t="inlineStr">
        <is>
          <t>1</t>
        </is>
      </c>
      <c r="J54" s="113" t="inlineStr">
        <is>
          <t>15 Venus Road S574302</t>
        </is>
      </c>
      <c r="K54" s="46" t="inlineStr">
        <is>
          <t>6256 2693</t>
        </is>
      </c>
      <c r="L54" s="47" t="inlineStr">
        <is>
          <t>https://oasis-vet.com</t>
        </is>
      </c>
      <c r="M54" s="113" t="inlineStr">
        <is>
          <t>Not published in the register — via oasis-vet.com</t>
        </is>
      </c>
      <c r="N54" s="113" t="inlineStr">
        <is>
          <t>B — SVA REGISTER (May 2024 edition). Phone, address and website as published there; RECONFIRM the number on the call. Emails shown are those the register printed.</t>
        </is>
      </c>
      <c r="O54" s="113" t="inlineStr">
        <is>
          <t>Upper Thomson landed-housing catchment. Standalone premises, owner-operator profile.</t>
        </is>
      </c>
      <c r="P54" s="113" t="inlineStr">
        <is>
          <t>SonoEye P3 VET</t>
        </is>
      </c>
      <c r="Q54" s="57" t="inlineStr">
        <is>
          <t>P3</t>
        </is>
      </c>
      <c r="R54" s="52" t="inlineStr">
        <is>
          <t>MEDIUM — AstraMed can invoice, install and service directly today, but a single-site clinic on a price-led decision. Volume comes from working these in clusters.</t>
        </is>
      </c>
      <c r="S54" s="113" t="inlineStr">
        <is>
          <t>H-GP</t>
        </is>
      </c>
      <c r="T54" s="113" t="inlineStr">
        <is>
          <t>Verified (SVA register, May 2024 edition)</t>
        </is>
      </c>
      <c r="U54" s="50" t="inlineStr">
        <is>
          <t>Oasis Veterinary Clinic: ultrasound at a price that pays back in scans, not years</t>
        </is>
      </c>
      <c r="V54" s="50" t="inlineStr">
        <is>
          <t>Dear Oasis Veterinary Clinic team,
My name is Casper Tan, Senior Regional Sales Manager at AstraMed Healthcare, a subsidiary of CHISON Medical Technologies. I am writing to Oasis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5" ht="165" customHeight="1" s="114">
      <c r="A55" s="113" t="n">
        <v>51</v>
      </c>
      <c r="B55" s="113" t="inlineStr">
        <is>
          <t>P.A.W. (People Animal Wellness) Veterinary Centre</t>
        </is>
      </c>
      <c r="C55" s="113" t="inlineStr">
        <is>
          <t>Independent GP clinic</t>
        </is>
      </c>
      <c r="D55" s="42" t="inlineStr">
        <is>
          <t>Not started</t>
        </is>
      </c>
      <c r="E55" s="43" t="n"/>
      <c r="F55" s="44" t="n"/>
      <c r="G55" s="45" t="n"/>
      <c r="H55" s="46" t="inlineStr">
        <is>
          <t>Independent GP clinic. 1. Located at Blk 112 Bukit Purmei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(senior wellness screening).</t>
        </is>
      </c>
      <c r="I55" s="113" t="inlineStr">
        <is>
          <t>1</t>
        </is>
      </c>
      <c r="J55" s="113" t="inlineStr">
        <is>
          <t>Blk 112 Bukit Purmei Road #01-207 S090112</t>
        </is>
      </c>
      <c r="K55" s="46" t="inlineStr">
        <is>
          <t>6273 7573</t>
        </is>
      </c>
      <c r="L55" s="47" t="inlineStr">
        <is>
          <t>https://paw.sg</t>
        </is>
      </c>
      <c r="M55" s="113" t="inlineStr">
        <is>
          <t>Not published in the register — via paw.sg</t>
        </is>
      </c>
      <c r="N55" s="113" t="inlineStr">
        <is>
          <t>B — SVA REGISTER (May 2024 edition). Phone, address and website as published there; RECONFIRM the number on the call. Emails shown are those the register printed.</t>
        </is>
      </c>
      <c r="O55" s="113" t="inlineStr">
        <is>
          <t>Wellness-positioned practice in the city fringe. A wellness brand sells preventive health checks — and ultrasound is the natural upsell inside a senior-pet wellness package.</t>
        </is>
      </c>
      <c r="P55" s="113" t="inlineStr">
        <is>
          <t>SonoEye P3 VET (senior wellness screening)</t>
        </is>
      </c>
      <c r="Q55" s="51" t="inlineStr">
        <is>
          <t>P2</t>
        </is>
      </c>
      <c r="R55" s="49" t="inlineStr">
        <is>
          <t>HIGH — AstraMed can invoice, install and service directly today. Single decision-maker, realistic first order.</t>
        </is>
      </c>
      <c r="S55" s="113" t="inlineStr">
        <is>
          <t>H-GP</t>
        </is>
      </c>
      <c r="T55" s="113" t="inlineStr">
        <is>
          <t>Verified (SVA register, May 2024 edition)</t>
        </is>
      </c>
      <c r="U55" s="50" t="inlineStr">
        <is>
          <t>P.A.W. (People Animal Wellness) Veterinary Centre: ultrasound at a price that pays back in scans, not years</t>
        </is>
      </c>
      <c r="V55" s="50" t="inlineStr">
        <is>
          <t>Dear P.A.W. (People Animal Wellness) Veterinary Centre team,
My name is Casper Tan, Senior Regional Sales Manager at AstraMed Healthcare, a subsidiary of CHISON Medical Technologies. I am writing to P.A.W. (People Animal Wellness) Veterinary Centre specifically, not to a list. You are positioned on wellness, and ultrasound is the natural component of a senior-pet health screen, a recurring, chargeable use rather than an occasional diagnostic one.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(senior wellness screening).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6" ht="165" customHeight="1" s="114">
      <c r="A56" s="113" t="n">
        <v>52</v>
      </c>
      <c r="B56" s="113" t="inlineStr">
        <is>
          <t>Passion Veterinary Clinic</t>
        </is>
      </c>
      <c r="C56" s="113" t="inlineStr">
        <is>
          <t>Independent GP clinic</t>
        </is>
      </c>
      <c r="D56" s="42" t="inlineStr">
        <is>
          <t>Contacted</t>
        </is>
      </c>
      <c r="E56" s="43" t="inlineStr">
        <is>
          <t>Casper</t>
        </is>
      </c>
      <c r="F56" s="44" t="inlineStr">
        <is>
          <t>Follow up by phone or email if no reply</t>
        </is>
      </c>
      <c r="G56" s="121" t="n">
        <v>46300</v>
      </c>
      <c r="H56" s="46" t="inlineStr">
        <is>
          <t>Independent GP clinic. 1. Located at Blk 111 Woodlands Street 13.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6" s="113" t="inlineStr">
        <is>
          <t>1</t>
        </is>
      </c>
      <c r="J56" s="113" t="inlineStr">
        <is>
          <t>Blk 111 Woodlands Street 13 #01-86 S730111</t>
        </is>
      </c>
      <c r="K56" s="46" t="inlineStr">
        <is>
          <t>6635 8725</t>
        </is>
      </c>
      <c r="L56" s="47" t="inlineStr">
        <is>
          <t>https://passionvet.com</t>
        </is>
      </c>
      <c r="M56" s="113" t="inlineStr">
        <is>
          <t>passionvet@gmail.com</t>
        </is>
      </c>
      <c r="N56" s="113" t="inlineStr">
        <is>
          <t>B — SVA REGISTER (May 2024 edition). Phone, address and website as published there; RECONFIRM the number on the call. Emails shown are those the register printed.</t>
        </is>
      </c>
      <c r="O56" s="113" t="inlineStr">
        <is>
          <t>Woodlands, the far north. Furthest point from the specialty hospitals, so referring an ultrasound out costs the client a whole afternoon — the strongest in-house argument on this tab.</t>
        </is>
      </c>
      <c r="P56" s="113" t="inlineStr">
        <is>
          <t>SonoEye P3 VET</t>
        </is>
      </c>
      <c r="Q56" s="51" t="inlineStr">
        <is>
          <t>P2</t>
        </is>
      </c>
      <c r="R56" s="49" t="inlineStr">
        <is>
          <t>HIGH — AstraMed can invoice, install and service directly today. Single decision-maker, realistic first order.</t>
        </is>
      </c>
      <c r="S56" s="113" t="inlineStr">
        <is>
          <t>H-GP</t>
        </is>
      </c>
      <c r="T56" s="113" t="inlineStr">
        <is>
          <t>Verified (SVA register, May 2024 edition)</t>
        </is>
      </c>
      <c r="U56" s="50" t="inlineStr">
        <is>
          <t>Passion Veterinary Clinic: ultrasound at a price that pays back in scans, not years</t>
        </is>
      </c>
      <c r="V56" s="50" t="inlineStr">
        <is>
          <t>Dear Passion Veterinary Clinic team,
My name is Casper Tan, Senior Regional Sales Manager at AstraMed Healthcare, a subsidiary of CHISON Medical Technologies. I am writing to Passion Veterinary Clinic specifically, not to a list. Woodlands is about as far from Singapore's specialty referral hospitals as it is possible to get, so referring an ultrasound out costs your client an entire afternoon.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6" t="inlineStr">
        <is>
          <t>EMAIL SENT 28 Sep 2026. No reply yet.</t>
        </is>
      </c>
    </row>
    <row r="57" ht="165" customHeight="1" s="114">
      <c r="A57" s="113" t="n">
        <v>53</v>
      </c>
      <c r="B57" s="113" t="inlineStr">
        <is>
          <t>Pets Avenue Veterinary Clinic</t>
        </is>
      </c>
      <c r="C57" s="113" t="inlineStr">
        <is>
          <t>Independent GP clinic</t>
        </is>
      </c>
      <c r="D57" s="42" t="inlineStr">
        <is>
          <t>Contacted</t>
        </is>
      </c>
      <c r="E57" s="43" t="inlineStr">
        <is>
          <t>Casper</t>
        </is>
      </c>
      <c r="F57" s="44" t="inlineStr">
        <is>
          <t>Follow up by phone or email if no reply</t>
        </is>
      </c>
      <c r="G57" s="121" t="n">
        <v>46300</v>
      </c>
      <c r="H57" s="46" t="inlineStr">
        <is>
          <t>Independent GP clinic. 1. Located at 8 Empress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7" s="113" t="inlineStr">
        <is>
          <t>1</t>
        </is>
      </c>
      <c r="J57" s="113" t="inlineStr">
        <is>
          <t>8 Empress Road #01-11 S260008</t>
        </is>
      </c>
      <c r="K57" s="46" t="inlineStr">
        <is>
          <t>6471 0111</t>
        </is>
      </c>
      <c r="L57" s="47" t="inlineStr">
        <is>
          <t>https://petsavenue.com.sg</t>
        </is>
      </c>
      <c r="M57" s="113" t="inlineStr">
        <is>
          <t>hello@petsavenuevet.com (new, per auto reply 28 Sep) · petsavenuevet@gmail.com (old, forwards)</t>
        </is>
      </c>
      <c r="N57" s="113" t="inlineStr">
        <is>
          <t>B — SVA REGISTER (May 2024 edition). Phone, address and website as published there; RECONFIRM the number on the call. Emails shown are those the register printed.</t>
        </is>
      </c>
      <c r="O57" s="113" t="inlineStr">
        <is>
          <t>Empress Road, adjacent to the Queenstown and Holland catchments. Established practice with a real website and brand.</t>
        </is>
      </c>
      <c r="P57" s="113" t="inlineStr">
        <is>
          <t>SonoEye P3 VET</t>
        </is>
      </c>
      <c r="Q57" s="57" t="inlineStr">
        <is>
          <t>P3</t>
        </is>
      </c>
      <c r="R57" s="52" t="inlineStr">
        <is>
          <t>MEDIUM — AstraMed can invoice, install and service directly today, but a single-site clinic on a price-led decision. Volume comes from working these in clusters.</t>
        </is>
      </c>
      <c r="S57" s="113" t="inlineStr">
        <is>
          <t>H-GP</t>
        </is>
      </c>
      <c r="T57" s="113" t="inlineStr">
        <is>
          <t>Verified (SVA register, May 2024 edition)</t>
        </is>
      </c>
      <c r="U57" s="50" t="inlineStr">
        <is>
          <t>Pets Avenue Veterinary Clinic: ultrasound at a price that pays back in scans, not years</t>
        </is>
      </c>
      <c r="V57" s="50" t="inlineStr">
        <is>
          <t>Dear Pets Avenue Veterinary Clinic team,
My name is Casper Tan, Senior Regional Sales Manager at AstraMed Healthcare, a subsidiary of CHISON Medical Technologies. I am writing to Pets Avenue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7" t="inlineStr">
        <is>
          <t>EMAIL SENT 28 Sep 2026. Auto reply: clinic has moved to hello@petsavenuevet.com and forwarded the email. Use the new address for follow up.</t>
        </is>
      </c>
    </row>
    <row r="58" ht="165" customHeight="1" s="114">
      <c r="A58" s="113" t="n">
        <v>54</v>
      </c>
      <c r="B58" s="113" t="inlineStr">
        <is>
          <t>Spring Veterinary Care</t>
        </is>
      </c>
      <c r="C58" s="113" t="inlineStr">
        <is>
          <t>Independent GP clinic</t>
        </is>
      </c>
      <c r="D58" s="42" t="inlineStr">
        <is>
          <t>Contacted</t>
        </is>
      </c>
      <c r="E58" s="43" t="inlineStr">
        <is>
          <t>Casper</t>
        </is>
      </c>
      <c r="F58" s="44" t="inlineStr">
        <is>
          <t>Get working email (call 6286 3313), then resend</t>
        </is>
      </c>
      <c r="G58" s="127" t="n"/>
      <c r="H58" s="46" t="inlineStr">
        <is>
          <t>Independent GP clinic. 1. Located at Blk 123 Hougang Ave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8" s="113" t="inlineStr">
        <is>
          <t>1</t>
        </is>
      </c>
      <c r="J58" s="113" t="inlineStr">
        <is>
          <t>Blk 123 Hougang Ave 1 #01-1412 S530123</t>
        </is>
      </c>
      <c r="K58" s="46" t="inlineStr">
        <is>
          <t>6286 3313</t>
        </is>
      </c>
      <c r="L58" s="47" t="inlineStr">
        <is>
          <t>https://springvet.com.sg</t>
        </is>
      </c>
      <c r="M58" s="128" t="inlineStr">
        <is>
          <t>enquiries@springvet.com.sg</t>
        </is>
      </c>
      <c r="N58" s="113" t="inlineStr">
        <is>
          <t>B — SVA REGISTER (May 2024 edition). Phone, address and website as published there; RECONFIRM the number on the call. Emails shown are those the register printed.</t>
        </is>
      </c>
      <c r="O58" s="113" t="inlineStr">
        <is>
          <t>Hougang, alongside Stars and Clover. Three clinics in one estate — worth a single day working the whole cluster with one demo unit.</t>
        </is>
      </c>
      <c r="P58" s="113" t="inlineStr">
        <is>
          <t>SonoEye P3 VET</t>
        </is>
      </c>
      <c r="Q58" s="57" t="inlineStr">
        <is>
          <t>P3</t>
        </is>
      </c>
      <c r="R58" s="52" t="inlineStr">
        <is>
          <t>MEDIUM — AstraMed can invoice, install and service directly today, but a single-site clinic on a price-led decision. Volume comes from working these in clusters.</t>
        </is>
      </c>
      <c r="S58" s="113" t="inlineStr">
        <is>
          <t>H-GP</t>
        </is>
      </c>
      <c r="T58" s="113" t="inlineStr">
        <is>
          <t>Verified (SVA register, May 2024 edition)</t>
        </is>
      </c>
      <c r="U58" s="50" t="inlineStr">
        <is>
          <t>Spring Veterinary Care: ultrasound at a price that pays back in scans, not years</t>
        </is>
      </c>
      <c r="V58" s="50" t="inlineStr">
        <is>
          <t>Dear Spring Veterinary Care team,
My name is Casper Tan, Senior Regional Sales Manager at AstraMed Healthcare, a subsidiary of CHISON Medical Technologies. I am writing to Spring Veterinary 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8" s="129" t="inlineStr">
        <is>
          <t>EMAIL FAILED (bounced 29 Sep 2026). Sent 28 Sep 23:39 SGT to enquiries@springvet.com.sg. Server response: 552 mailbox not found (Yahoo hosted). Not delivered. To do: call 6286 3313 or use the website form to get a valid email, then resend.</t>
        </is>
      </c>
    </row>
    <row r="59" ht="165" customHeight="1" s="114">
      <c r="A59" s="113" t="n">
        <v>55</v>
      </c>
      <c r="B59" s="113" t="inlineStr">
        <is>
          <t>The Cat Clinic</t>
        </is>
      </c>
      <c r="C59" s="113" t="inlineStr">
        <is>
          <t>Feline-only practice</t>
        </is>
      </c>
      <c r="D59" s="42" t="inlineStr">
        <is>
          <t>Not started</t>
        </is>
      </c>
      <c r="E59" s="43" t="n"/>
      <c r="F59" s="44" t="n"/>
      <c r="G59" s="45" t="n"/>
      <c r="H59" s="113" t="inlineStr">
        <is>
          <t>Feline-only practice. 1. Located at 109 Clementi Street 11.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t>
        </is>
      </c>
      <c r="I59" s="113" t="inlineStr">
        <is>
          <t>1</t>
        </is>
      </c>
      <c r="J59" s="113" t="inlineStr">
        <is>
          <t>109 Clementi Street 11 #01-33 S120109</t>
        </is>
      </c>
      <c r="K59" s="113" t="inlineStr">
        <is>
          <t>6776 3450</t>
        </is>
      </c>
      <c r="L59" s="113" t="inlineStr">
        <is>
          <t>—</t>
        </is>
      </c>
      <c r="M59" s="113" t="inlineStr">
        <is>
          <t>Not published in the register — phone only</t>
        </is>
      </c>
      <c r="N59" s="113" t="inlineStr">
        <is>
          <t>B — SVA REGISTER (May 2024 edition). Phone, address and website as published there; RECONFIRM the number on the call. Emails shown are those the register printed.</t>
        </is>
      </c>
      <c r="O59" s="113" t="inlineStr">
        <is>
          <t>Cat-only. Feline patients are small with shallow structures, which is the high-frequency linear case — the same technical demo as Amber Cat Vet, and one a cheap generic handheld fails.</t>
        </is>
      </c>
      <c r="P59" s="113" t="inlineStr">
        <is>
          <t>SonoEye P5 VET (high-frequency, feline)</t>
        </is>
      </c>
      <c r="Q59" s="51" t="inlineStr">
        <is>
          <t>P2</t>
        </is>
      </c>
      <c r="R59" s="49" t="inlineStr">
        <is>
          <t>HIGH — AstraMed can invoice, install and service directly today. Single decision-maker, realistic first order.</t>
        </is>
      </c>
      <c r="S59" s="113" t="inlineStr">
        <is>
          <t>H-Exotic</t>
        </is>
      </c>
      <c r="T59" s="113" t="inlineStr">
        <is>
          <t>Verified (SVA register, May 2024 edition)</t>
        </is>
      </c>
      <c r="U59" s="50" t="inlineStr">
        <is>
          <t>The Cat Clinic: high-frequency imaging on the patients that defeat most handhelds</t>
        </is>
      </c>
      <c r="V59" s="50" t="inlineStr">
        <is>
          <t>Dear The Cat Clinic team,
My name is Casper Tan, Senior Regional Sales Manager at AstraMed Healthcare, a subsidiary of CHISON Medical Technologies. I am writing to The Cat Clinic specifically, not to a list. You see cats only. Small patients and shallow structures are a high-frequency linear imaging problem, not a general-purpose one.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feline).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60" ht="165" customHeight="1" s="114">
      <c r="A60" s="113" t="n">
        <v>56</v>
      </c>
      <c r="B60" s="113" t="inlineStr">
        <is>
          <t>The Pet Doctors Veterinary Clinic</t>
        </is>
      </c>
      <c r="C60" s="113" t="inlineStr">
        <is>
          <t>Independent GP clinic</t>
        </is>
      </c>
      <c r="D60" s="42" t="inlineStr">
        <is>
          <t>Not started</t>
        </is>
      </c>
      <c r="E60" s="43" t="n"/>
      <c r="F60" s="44" t="n"/>
      <c r="G60" s="45" t="n"/>
      <c r="H60" s="46" t="inlineStr">
        <is>
          <t>Independent GP clinic. 1. Located at 3 Pandan Valley.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0" s="113" t="inlineStr">
        <is>
          <t>1</t>
        </is>
      </c>
      <c r="J60" s="113" t="inlineStr">
        <is>
          <t>3 Pandan Valley #01-311, Pandan Valley Condo S597627</t>
        </is>
      </c>
      <c r="K60" s="46" t="inlineStr">
        <is>
          <t>6438 7779</t>
        </is>
      </c>
      <c r="L60" s="47" t="inlineStr">
        <is>
          <t>https://petdoctors.com.sg</t>
        </is>
      </c>
      <c r="M60" s="113" t="inlineStr">
        <is>
          <t>NOT CONFIRMED · enquiry@petdoctors.com.sg bounces (domain does not exist, checked 27 Sep 2026); use Facebook page ThePetDoctorsVeterinaryClinic</t>
        </is>
      </c>
      <c r="N60" s="113" t="inlineStr">
        <is>
          <t>B — SVA REGISTER (May 2024 edition). Phone, address and website as published there; RECONFIRM the number on the call. Emails shown are those the register printed.</t>
        </is>
      </c>
      <c r="O60" s="113" t="inlineStr">
        <is>
          <t>Condominium-based clinic serving a wealthy Bukit Timah catchment. Small footprint, so a pocket device suits the physical space as well as the budget.</t>
        </is>
      </c>
      <c r="P60" s="113" t="inlineStr">
        <is>
          <t>SonoEye P3 VET</t>
        </is>
      </c>
      <c r="Q60" s="57" t="inlineStr">
        <is>
          <t>P3</t>
        </is>
      </c>
      <c r="R60" s="52" t="inlineStr">
        <is>
          <t>MEDIUM — AstraMed can invoice, install and service directly today, but a single-site clinic on a price-led decision. Volume comes from working these in clusters.</t>
        </is>
      </c>
      <c r="S60" s="113" t="inlineStr">
        <is>
          <t>H-GP</t>
        </is>
      </c>
      <c r="T60" s="113" t="inlineStr">
        <is>
          <t>Verified (SVA register, May 2024 edition) · v11 CHECK 27 Sep 2026: petdoctors.com.sg did not resolve in DNS; the site may have moved or closed, confirm before relying on it.</t>
        </is>
      </c>
      <c r="U60" s="50" t="inlineStr">
        <is>
          <t>The Pet Doctors Veterinary Clinic: ultrasound at a price that pays back in scans, not years</t>
        </is>
      </c>
      <c r="V60" s="50" t="inlineStr">
        <is>
          <t>Dear The Pet Doctors Veterinary Clinic team,
My name is Casper Tan, Senior Regional Sales Manager at AstraMed Healthcare, a subsidiary of CHISON Medical Technologies. I am writing to The Pet Doctors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1" ht="165" customHeight="1" s="114">
      <c r="A61" s="113" t="n">
        <v>57</v>
      </c>
      <c r="B61" s="113" t="inlineStr">
        <is>
          <t>The Visiting Vets Clinic</t>
        </is>
      </c>
      <c r="C61" s="113" t="inlineStr">
        <is>
          <t>House-call / mobile practice</t>
        </is>
      </c>
      <c r="D61" s="42" t="inlineStr">
        <is>
          <t>Contacted</t>
        </is>
      </c>
      <c r="E61" s="43" t="inlineStr">
        <is>
          <t>Casper</t>
        </is>
      </c>
      <c r="F61" s="44" t="inlineStr">
        <is>
          <t>Follow up by phone or email if no reply</t>
        </is>
      </c>
      <c r="G61" s="121" t="n">
        <v>46300</v>
      </c>
      <c r="H61" s="46" t="inlineStr">
        <is>
          <t>House-call / mobile practice. 1 + mobile. Located at 9 Taman Serasi. RELEVANCE: a house-call practice physically cannot take a console to a client's living room. A pocket scanner turns a home visit into a diagnostic appointment, which is the single clearest handheld use case in the market. Lead product: SonoEye P3 / P5 VET (mobile scanning).</t>
        </is>
      </c>
      <c r="I61" s="113" t="inlineStr">
        <is>
          <t>1 + mobile</t>
        </is>
      </c>
      <c r="J61" s="113" t="inlineStr">
        <is>
          <t>9 Taman Serasi #01-09 S257720</t>
        </is>
      </c>
      <c r="K61" s="46" t="inlineStr">
        <is>
          <t>6475 3405</t>
        </is>
      </c>
      <c r="L61" s="47" t="inlineStr">
        <is>
          <t>https://thevisitingvets.com.sg</t>
        </is>
      </c>
      <c r="M61" s="113" t="inlineStr">
        <is>
          <t>thevisitingvets@gmail.com</t>
        </is>
      </c>
      <c r="N61" s="113" t="inlineStr">
        <is>
          <t>B — SVA REGISTER (May 2024 edition). Phone, address and website as published there; RECONFIRM the number on the call. Emails shown are those the register printed.</t>
        </is>
      </c>
      <c r="O61" s="113" t="inlineStr">
        <is>
          <t>A HOUSE-CALL practice — the single clearest use case for a handheld in Singapore. They cannot take a console to a client's living room; a pocket scanner turns a home visit into a diagnostic visit. Do not pitch this one on price, pitch it on what it lets them charge for.</t>
        </is>
      </c>
      <c r="P61" s="113" t="inlineStr">
        <is>
          <t>SonoEye P3 / P5 VET (mobile scanning)</t>
        </is>
      </c>
      <c r="Q61" s="48" t="inlineStr">
        <is>
          <t>P1 — engage now</t>
        </is>
      </c>
      <c r="R61" s="49" t="inlineStr">
        <is>
          <t>HIGH — AstraMed can invoice, install and service directly today, and this account has scale or reference value.</t>
        </is>
      </c>
      <c r="S61" s="113" t="inlineStr">
        <is>
          <t>H-Mobile</t>
        </is>
      </c>
      <c r="T61" s="113" t="inlineStr">
        <is>
          <t>Verified (SVA register, May 2024 edition)</t>
        </is>
      </c>
      <c r="U61" s="50" t="inlineStr">
        <is>
          <t>The Visiting Vets Clinic: a scanner you can actually take on a house call</t>
        </is>
      </c>
      <c r="V61" s="50" t="inlineStr">
        <is>
          <t>Dear The Visiting Vets Clinic team,
My name is Casper Tan, Senior Regional Sales Manager at AstraMed Healthcare, a subsidiary of CHISON Medical Technologies. I am writing to The Visiting Vets Clinic specifically, not to a list. You run a house-call practice, which is the clearest possible case for a pocket scanner: you cannot carry a console into a client's living room, but you can carry this.
CHISON's SonoEye P3 and P5 VET are true pocket scanners, vet presets, micro-convex and high-frequency linear probes, and they pair to a phone. AstraMed is CHISON's own subsidiary in Singapore, so installation, training and service are handled locally.
The product I would put in front of you first is the SonoEye P3 / P5 VET (mobile scanning).
Could I come out with one on a visit, or meet you between calls for twenty minutes?
Best regards,
Casper Tan
Senior Regional Sales Manager
AstraMed Healthcare, a subsidiary of CHISON Medical Technologies
casper@astramed.sg | +65 8719 0121</t>
        </is>
      </c>
      <c r="W61" t="inlineStr">
        <is>
          <t>EMAIL SENT 28 Sep 2026. No reply yet.</t>
        </is>
      </c>
    </row>
    <row r="62" ht="165" customHeight="1" s="114">
      <c r="A62" s="113" t="n">
        <v>58</v>
      </c>
      <c r="B62" s="113" t="inlineStr">
        <is>
          <t>Toa Payoh Vets</t>
        </is>
      </c>
      <c r="C62" s="113" t="inlineStr">
        <is>
          <t>Independent GP clinic</t>
        </is>
      </c>
      <c r="D62" s="42" t="inlineStr">
        <is>
          <t>Not started</t>
        </is>
      </c>
      <c r="E62" s="43" t="n"/>
      <c r="F62" s="44" t="n"/>
      <c r="G62" s="45" t="n"/>
      <c r="H62" s="46" t="inlineStr">
        <is>
          <t>Independent GP clinic. 1. Located at 1002 Toa Payoh Lorong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(case-study placement).</t>
        </is>
      </c>
      <c r="I62" s="113" t="inlineStr">
        <is>
          <t>1</t>
        </is>
      </c>
      <c r="J62" s="113" t="inlineStr">
        <is>
          <t>1002 Toa Payoh Lorong 8 #01-1477 S319074</t>
        </is>
      </c>
      <c r="K62" s="46" t="inlineStr">
        <is>
          <t>6254 3326</t>
        </is>
      </c>
      <c r="L62" s="47" t="inlineStr">
        <is>
          <t>https://toapayohvets.com</t>
        </is>
      </c>
      <c r="M62" s="113" t="inlineStr">
        <is>
          <t>Not published in the register — via toapayohvets.com</t>
        </is>
      </c>
      <c r="N62" s="113" t="inlineStr">
        <is>
          <t>B — SVA REGISTER (May 2024 edition). Phone, address and website as published there; RECONFIRM the number on the call. Emails shown are those the register printed.</t>
        </is>
      </c>
      <c r="O62" s="113" t="inlineStr">
        <is>
          <t>One of the most prolific publishers of clinical case write-ups in Singapore veterinary practice — which makes them unusually useful as a source of case material if a unit is placed there.</t>
        </is>
      </c>
      <c r="P62" s="113" t="inlineStr">
        <is>
          <t>SonoEye P3 VET (case-study placement)</t>
        </is>
      </c>
      <c r="Q62" s="51" t="inlineStr">
        <is>
          <t>P2</t>
        </is>
      </c>
      <c r="R62" s="49" t="inlineStr">
        <is>
          <t>HIGH — AstraMed can invoice, install and service directly today. Single decision-maker, realistic first order.</t>
        </is>
      </c>
      <c r="S62" s="113" t="inlineStr">
        <is>
          <t>H-Eval</t>
        </is>
      </c>
      <c r="T62" s="113" t="inlineStr">
        <is>
          <t>Verified (SVA register, May 2024 edition)</t>
        </is>
      </c>
      <c r="U62" s="50" t="inlineStr">
        <is>
          <t>Toa Payoh Vets: a scanner on your night shift for 30 days, no cost</t>
        </is>
      </c>
      <c r="V62" s="50" t="inlineStr">
        <is>
          <t>Dear Toa Payoh Vets team,
My name is Casper Tan, Senior Regional Sales Manager at AstraMed Healthcare, a subsidiary of CHISON Medical Technologies. I am writing to Toa Payoh Vets specifically, not to a list. You publish more clinical case material than almost any practice in Singapore, which makes you an unusually useful place for a new scanner to be put to work.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(case-study placement).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63" ht="165" customHeight="1" s="114">
      <c r="A63" s="113" t="n">
        <v>59</v>
      </c>
      <c r="B63" s="113" t="inlineStr">
        <is>
          <t>Town Vets Animal Clinic</t>
        </is>
      </c>
      <c r="C63" s="113" t="inlineStr">
        <is>
          <t>Independent GP clinic</t>
        </is>
      </c>
      <c r="D63" s="42" t="inlineStr">
        <is>
          <t>Contacted</t>
        </is>
      </c>
      <c r="E63" s="43" t="inlineStr">
        <is>
          <t>Casper</t>
        </is>
      </c>
      <c r="F63" s="44" t="inlineStr">
        <is>
          <t>Follow up by phone or email if no reply</t>
        </is>
      </c>
      <c r="G63" s="121" t="n">
        <v>46300</v>
      </c>
      <c r="H63" s="46" t="inlineStr">
        <is>
          <t>Independent GP clinic. 1. Located at 22 Havelock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3" s="113" t="inlineStr">
        <is>
          <t>1</t>
        </is>
      </c>
      <c r="J63" s="113" t="inlineStr">
        <is>
          <t>22 Havelock Road #01-687 S160022</t>
        </is>
      </c>
      <c r="K63" s="46" t="inlineStr">
        <is>
          <t>6276 7026</t>
        </is>
      </c>
      <c r="L63" s="47" t="inlineStr">
        <is>
          <t>https://townvets.com.sg</t>
        </is>
      </c>
      <c r="M63" s="113" t="inlineStr">
        <is>
          <t>contact@townvets.com.sg</t>
        </is>
      </c>
      <c r="N63" s="113" t="inlineStr">
        <is>
          <t>B — SVA REGISTER (May 2024 edition). Phone, address and website as published there; RECONFIRM the number on the call. Emails shown are those the register printed.</t>
        </is>
      </c>
      <c r="O63" s="113" t="inlineStr">
        <is>
          <t>Central city-fringe practice near the Havelock and Tiong Bahru condo belt. Modern brand, spending clientele.</t>
        </is>
      </c>
      <c r="P63" s="113" t="inlineStr">
        <is>
          <t>SonoEye P3 VET</t>
        </is>
      </c>
      <c r="Q63" s="57" t="inlineStr">
        <is>
          <t>P3</t>
        </is>
      </c>
      <c r="R63" s="52" t="inlineStr">
        <is>
          <t>MEDIUM — AstraMed can invoice, install and service directly today, but a single-site clinic on a price-led decision. Volume comes from working these in clusters.</t>
        </is>
      </c>
      <c r="S63" s="113" t="inlineStr">
        <is>
          <t>H-GP</t>
        </is>
      </c>
      <c r="T63" s="113" t="inlineStr">
        <is>
          <t>Verified (SVA register, May 2024 edition)</t>
        </is>
      </c>
      <c r="U63" s="50" t="inlineStr">
        <is>
          <t>Town Vets Animal Clinic: ultrasound at a price that pays back in scans, not years</t>
        </is>
      </c>
      <c r="V63" s="50" t="inlineStr">
        <is>
          <t>Dear Town Vets Animal Clinic team,
My name is Casper Tan, Senior Regional Sales Manager at AstraMed Healthcare, a subsidiary of CHISON Medical Technologies. I am writing to Town Vets Animal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63" t="inlineStr">
        <is>
          <t>EMAIL SENT 28 Sep 2026. No reply yet.</t>
        </is>
      </c>
    </row>
    <row r="64" ht="165" customHeight="1" s="114">
      <c r="A64" s="113" t="n">
        <v>60</v>
      </c>
      <c r="B64" s="113" t="inlineStr">
        <is>
          <t>United Veterinary Clinic</t>
        </is>
      </c>
      <c r="C64" s="113" t="inlineStr">
        <is>
          <t>Independent GP clinic</t>
        </is>
      </c>
      <c r="D64" s="42" t="inlineStr">
        <is>
          <t>Not started</t>
        </is>
      </c>
      <c r="E64" s="43" t="n"/>
      <c r="F64" s="44" t="n"/>
      <c r="G64" s="45" t="n"/>
      <c r="H64" s="46" t="inlineStr">
        <is>
          <t>Independent GP clinic. 1. Located at 107 Ang Mo Kio Ave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4" s="113" t="inlineStr">
        <is>
          <t>1</t>
        </is>
      </c>
      <c r="J64" s="113" t="inlineStr">
        <is>
          <t>107 Ang Mo Kio Ave 4 #01-148 S560107</t>
        </is>
      </c>
      <c r="K64" s="46" t="inlineStr">
        <is>
          <t>6455 6880</t>
        </is>
      </c>
      <c r="L64" s="47" t="inlineStr">
        <is>
          <t>https://unitedvetclinic.com</t>
        </is>
      </c>
      <c r="M64" s="113" t="inlineStr">
        <is>
          <t>Not published in the register — via unitedvetclinic.com</t>
        </is>
      </c>
      <c r="N64" s="113" t="inlineStr">
        <is>
          <t>B — SVA REGISTER (May 2024 edition). Phone, address and website as published there; RECONFIRM the number on the call. Emails shown are those the register printed.</t>
        </is>
      </c>
      <c r="O64" s="113" t="inlineStr">
        <is>
          <t>Ang Mo Kio, next door to The Animal Doctors. Two clinics, one estate, one visit.</t>
        </is>
      </c>
      <c r="P64" s="113" t="inlineStr">
        <is>
          <t>SonoEye P3 VET</t>
        </is>
      </c>
      <c r="Q64" s="57" t="inlineStr">
        <is>
          <t>P3</t>
        </is>
      </c>
      <c r="R64" s="52" t="inlineStr">
        <is>
          <t>MEDIUM — AstraMed can invoice, install and service directly today, but a single-site clinic on a price-led decision. Volume comes from working these in clusters.</t>
        </is>
      </c>
      <c r="S64" s="113" t="inlineStr">
        <is>
          <t>H-GP</t>
        </is>
      </c>
      <c r="T64" s="113" t="inlineStr">
        <is>
          <t>Verified (SVA register, May 2024 edition)</t>
        </is>
      </c>
      <c r="U64" s="50" t="inlineStr">
        <is>
          <t>United Veterinary Clinic: ultrasound at a price that pays back in scans, not years</t>
        </is>
      </c>
      <c r="V64" s="50" t="inlineStr">
        <is>
          <t>Dear United Veterinary Clinic team,
My name is Casper Tan, Senior Regional Sales Manager at AstraMed Healthcare, a subsidiary of CHISON Medical Technologies. I am writing to United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5" ht="165" customHeight="1" s="114">
      <c r="A65" s="113" t="n">
        <v>61</v>
      </c>
      <c r="B65" s="113" t="inlineStr">
        <is>
          <t>Vet Affinity</t>
        </is>
      </c>
      <c r="C65" s="113" t="inlineStr">
        <is>
          <t>Independent GP clinic</t>
        </is>
      </c>
      <c r="D65" s="42" t="inlineStr">
        <is>
          <t>Contacted</t>
        </is>
      </c>
      <c r="E65" s="43" t="inlineStr">
        <is>
          <t>Casper</t>
        </is>
      </c>
      <c r="F65" s="44" t="inlineStr">
        <is>
          <t>Follow up by phone or email if no reply</t>
        </is>
      </c>
      <c r="G65" s="121" t="n">
        <v>46300</v>
      </c>
      <c r="H65" s="46" t="inlineStr">
        <is>
          <t>Independent GP clinic. 1. Located at Blk 151 Bukit Batok Street 11.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5" s="113" t="inlineStr">
        <is>
          <t>1</t>
        </is>
      </c>
      <c r="J65" s="113" t="inlineStr">
        <is>
          <t>Blk 151 Bukit Batok Street 11 #01-248 S650151</t>
        </is>
      </c>
      <c r="K65" s="46" t="inlineStr">
        <is>
          <t>6970 7505</t>
        </is>
      </c>
      <c r="L65" s="47" t="inlineStr">
        <is>
          <t>https://vetaffinity.com.sg</t>
        </is>
      </c>
      <c r="M65" s="113" t="inlineStr">
        <is>
          <t>info@vetaffinity.com.sg</t>
        </is>
      </c>
      <c r="N65" s="113" t="inlineStr">
        <is>
          <t>B — SVA REGISTER (May 2024 edition). Phone, address and website as published there; RECONFIRM the number on the call. Emails shown are those the register printed.</t>
        </is>
      </c>
      <c r="O65" s="113" t="inlineStr">
        <is>
          <t>Newer west-side practice with a modern web presence — recently opened clinics have live equipment budgets and no incumbent scanner.</t>
        </is>
      </c>
      <c r="P65" s="113" t="inlineStr">
        <is>
          <t>SonoEye P3 VET</t>
        </is>
      </c>
      <c r="Q65" s="51" t="inlineStr">
        <is>
          <t>P2</t>
        </is>
      </c>
      <c r="R65" s="49" t="inlineStr">
        <is>
          <t>HIGH — AstraMed can invoice, install and service directly today. Single decision-maker, realistic first order.</t>
        </is>
      </c>
      <c r="S65" s="113" t="inlineStr">
        <is>
          <t>H-GP</t>
        </is>
      </c>
      <c r="T65" s="113" t="inlineStr">
        <is>
          <t>Verified (SVA register, May 2024 edition)</t>
        </is>
      </c>
      <c r="U65" s="50" t="inlineStr">
        <is>
          <t>Vet Affinity: ultrasound at a price that pays back in scans, not years</t>
        </is>
      </c>
      <c r="V65" s="50" t="inlineStr">
        <is>
          <t>Dear Vet Affinity team,
My name is Casper Tan, Senior Regional Sales Manager at AstraMed Healthcare, a subsidiary of CHISON Medical Technologies. I am writing to Vet Affinity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65" t="inlineStr">
        <is>
          <t>EMAIL SENT 28 Sep 2026. No reply yet.</t>
        </is>
      </c>
    </row>
    <row r="66" ht="165" customHeight="1" s="114">
      <c r="A66" s="113" t="n">
        <v>62</v>
      </c>
      <c r="B66" s="113" t="inlineStr">
        <is>
          <t>Vets For Pets</t>
        </is>
      </c>
      <c r="C66" s="113" t="inlineStr">
        <is>
          <t>Independent GP clinic</t>
        </is>
      </c>
      <c r="D66" s="42" t="inlineStr">
        <is>
          <t>Not started</t>
        </is>
      </c>
      <c r="E66" s="43" t="n"/>
      <c r="F66" s="44" t="n"/>
      <c r="G66" s="45" t="n"/>
      <c r="H66" s="46" t="inlineStr">
        <is>
          <t>Independent GP clinic. 1. Located at Blk 519 Jurong West Street 52.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6" s="113" t="inlineStr">
        <is>
          <t>1</t>
        </is>
      </c>
      <c r="J66" s="113" t="inlineStr">
        <is>
          <t>Blk 519 Jurong West Street 52 #01-157 S640519</t>
        </is>
      </c>
      <c r="K66" s="46" t="inlineStr">
        <is>
          <t>6569 1627</t>
        </is>
      </c>
      <c r="L66" s="47" t="inlineStr">
        <is>
          <t>https://vetsforpetsclinic.com.sg</t>
        </is>
      </c>
      <c r="M66" s="113" t="inlineStr">
        <is>
          <t>Not published in the register — via vetsforpetsclinic.com.sg</t>
        </is>
      </c>
      <c r="N66" s="113" t="inlineStr">
        <is>
          <t>B — SVA REGISTER (May 2024 edition). Phone, address and website as published there; RECONFIRM the number on the call. Emails shown are those the register printed.</t>
        </is>
      </c>
      <c r="O66" s="113" t="inlineStr">
        <is>
          <t>Jurong West heartland. Far from the referral hospitals, so in-house imaging saves the client a long trip — same argument as Woodlands.</t>
        </is>
      </c>
      <c r="P66" s="113" t="inlineStr">
        <is>
          <t>SonoEye P3 VET</t>
        </is>
      </c>
      <c r="Q66" s="57" t="inlineStr">
        <is>
          <t>P3</t>
        </is>
      </c>
      <c r="R66" s="52" t="inlineStr">
        <is>
          <t>MEDIUM — AstraMed can invoice, install and service directly today, but a single-site clinic on a price-led decision. Volume comes from working these in clusters.</t>
        </is>
      </c>
      <c r="S66" s="113" t="inlineStr">
        <is>
          <t>H-GP</t>
        </is>
      </c>
      <c r="T66" s="113" t="inlineStr">
        <is>
          <t>Verified (SVA register, May 2024 edition) · v11 CHECK 27 Sep 2026: vetsforpetsclinic.com.sg did not resolve in DNS; the site may have moved or closed, confirm before relying on it.</t>
        </is>
      </c>
      <c r="U66" s="50" t="inlineStr">
        <is>
          <t>Vets For Pets: ultrasound at a price that pays back in scans, not years</t>
        </is>
      </c>
      <c r="V66" s="50" t="inlineStr">
        <is>
          <t>Dear Vets For Pets team,
My name is Casper Tan, Senior Regional Sales Manager at AstraMed Healthcare, a subsidiary of CHISON Medical Technologies. I am writing to Vets For Pets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7" ht="165" customHeight="1" s="114">
      <c r="A67" s="113" t="n">
        <v>63</v>
      </c>
      <c r="B67" s="113" t="inlineStr">
        <is>
          <t>West Coast Vetcare</t>
        </is>
      </c>
      <c r="C67" s="113" t="inlineStr">
        <is>
          <t>Independent GP clinic</t>
        </is>
      </c>
      <c r="D67" s="42" t="inlineStr">
        <is>
          <t>Not started</t>
        </is>
      </c>
      <c r="E67" s="43" t="n"/>
      <c r="F67" s="44" t="n"/>
      <c r="G67" s="45" t="n"/>
      <c r="H67" s="46" t="inlineStr">
        <is>
          <t>Independent GP clinic. 1. Located at 612 Clementi West Street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7" s="113" t="inlineStr">
        <is>
          <t>1</t>
        </is>
      </c>
      <c r="J67" s="113" t="inlineStr">
        <is>
          <t>612 Clementi West Street 1 #01-300 S120612</t>
        </is>
      </c>
      <c r="K67" s="46" t="inlineStr">
        <is>
          <t>6777 7423</t>
        </is>
      </c>
      <c r="L67" s="47" t="inlineStr">
        <is>
          <t>https://westcoast-vetcare.com</t>
        </is>
      </c>
      <c r="M67" s="113" t="inlineStr">
        <is>
          <t>Not published in the register — via westcoast-vetcare.com</t>
        </is>
      </c>
      <c r="N67" s="113" t="inlineStr">
        <is>
          <t>B — SVA REGISTER (May 2024 edition). Phone, address and website as published there; RECONFIRM the number on the call. Emails shown are those the register printed.</t>
        </is>
      </c>
      <c r="O67" s="113" t="inlineStr">
        <is>
          <t>Clementi West, close to the NUS staff-housing catchment. Steady, educated clientele who accept diagnostic work-ups.</t>
        </is>
      </c>
      <c r="P67" s="113" t="inlineStr">
        <is>
          <t>SonoEye P3 VET</t>
        </is>
      </c>
      <c r="Q67" s="57" t="inlineStr">
        <is>
          <t>P3</t>
        </is>
      </c>
      <c r="R67" s="52" t="inlineStr">
        <is>
          <t>MEDIUM — AstraMed can invoice, install and service directly today, but a single-site clinic on a price-led decision. Volume comes from working these in clusters.</t>
        </is>
      </c>
      <c r="S67" s="113" t="inlineStr">
        <is>
          <t>H-GP</t>
        </is>
      </c>
      <c r="T67" s="113" t="inlineStr">
        <is>
          <t>Verified (SVA register, May 2024 edition)</t>
        </is>
      </c>
      <c r="U67" s="50" t="inlineStr">
        <is>
          <t>West Coast Vetcare: ultrasound at a price that pays back in scans, not years</t>
        </is>
      </c>
      <c r="V67" s="50" t="inlineStr">
        <is>
          <t>Dear West Coast Vetcare team,
My name is Casper Tan, Senior Regional Sales Manager at AstraMed Healthcare, a subsidiary of CHISON Medical Technologies. I am writing to West Coast Vetcare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8" ht="165" customHeight="1" s="114">
      <c r="A68" s="113" t="n">
        <v>64</v>
      </c>
      <c r="B68" s="113" t="inlineStr">
        <is>
          <t>Woodgrove Veterinary Services</t>
        </is>
      </c>
      <c r="C68" s="113" t="inlineStr">
        <is>
          <t>Independent GP clinic</t>
        </is>
      </c>
      <c r="D68" s="42" t="inlineStr">
        <is>
          <t>Not started</t>
        </is>
      </c>
      <c r="E68" s="43" t="n"/>
      <c r="F68" s="44" t="n"/>
      <c r="G68" s="45" t="n"/>
      <c r="H68" s="113" t="inlineStr">
        <is>
          <t>Independent GP clinic. 1. Located at 30 Woodlands Avenue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8" s="113" t="inlineStr">
        <is>
          <t>1</t>
        </is>
      </c>
      <c r="J68" s="113" t="inlineStr">
        <is>
          <t>30 Woodlands Avenue 1 #02-06 S739065</t>
        </is>
      </c>
      <c r="K68" s="113" t="inlineStr">
        <is>
          <t>6909 0264</t>
        </is>
      </c>
      <c r="L68" s="113" t="inlineStr">
        <is>
          <t>—</t>
        </is>
      </c>
      <c r="M68" s="113" t="inlineStr">
        <is>
          <t>Not published in the register — phone only</t>
        </is>
      </c>
      <c r="N68" s="113" t="inlineStr">
        <is>
          <t>B — SVA REGISTER (May 2024 edition). Phone, address and website as published there; RECONFIRM the number on the call. Emails shown are those the register printed.</t>
        </is>
      </c>
      <c r="O68" s="113" t="inlineStr">
        <is>
          <t>Recently listed Woodlands practice with a new-format phone number, so likely a recent opening — an open equipment budget and no incumbent.</t>
        </is>
      </c>
      <c r="P68" s="113" t="inlineStr">
        <is>
          <t>SonoEye P3 VET</t>
        </is>
      </c>
      <c r="Q68" s="51" t="inlineStr">
        <is>
          <t>P2</t>
        </is>
      </c>
      <c r="R68" s="49" t="inlineStr">
        <is>
          <t>HIGH — AstraMed can invoice, install and service directly today. Single decision-maker, realistic first order.</t>
        </is>
      </c>
      <c r="S68" s="113" t="inlineStr">
        <is>
          <t>H-GP</t>
        </is>
      </c>
      <c r="T68" s="113" t="inlineStr">
        <is>
          <t>Verified (SVA register, May 2024 edition)</t>
        </is>
      </c>
      <c r="U68" s="50" t="inlineStr">
        <is>
          <t>Woodgrove Veterinary Services: ultrasound at a price that pays back in scans, not years</t>
        </is>
      </c>
      <c r="V68" s="50" t="inlineStr">
        <is>
          <t>Dear Woodgrove Veterinary Services team,
My name is Casper Tan, Senior Regional Sales Manager at AstraMed Healthcare, a subsidiary of CHISON Medical Technologies. I am writing to Woodgrove Veterinary Services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9" ht="165" customHeight="1" s="114">
      <c r="A69" s="113" t="n">
        <v>65</v>
      </c>
      <c r="B69" s="113" t="inlineStr">
        <is>
          <t>Singapore Veterinary Animal Clinic</t>
        </is>
      </c>
      <c r="C69" s="113" t="inlineStr">
        <is>
          <t>Independent GP clinic</t>
        </is>
      </c>
      <c r="D69" s="42" t="inlineStr">
        <is>
          <t>Not started</t>
        </is>
      </c>
      <c r="E69" s="43" t="n"/>
      <c r="F69" s="44" t="n"/>
      <c r="G69" s="45" t="n"/>
      <c r="H69" s="46" t="inlineStr">
        <is>
          <t>Independent GP clinic. 1. Located at 768 Woodlands Avenue 6.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9" s="113" t="inlineStr">
        <is>
          <t>1</t>
        </is>
      </c>
      <c r="J69" s="113" t="inlineStr">
        <is>
          <t>768 Woodlands Avenue 6 #01-11 S730768</t>
        </is>
      </c>
      <c r="K69" s="46" t="inlineStr">
        <is>
          <t>6365 0308</t>
        </is>
      </c>
      <c r="L69" s="47" t="inlineStr">
        <is>
          <t>https://singvet.wordpress.com</t>
        </is>
      </c>
      <c r="M69" s="113" t="inlineStr">
        <is>
          <t>Not published in the register — via singvet.wordpress.com</t>
        </is>
      </c>
      <c r="N69" s="113" t="inlineStr">
        <is>
          <t>B — SVA REGISTER (May 2024 edition). Phone, address and website as published there; RECONFIRM the number on the call. Emails shown are those the register printed.</t>
        </is>
      </c>
      <c r="O69" s="113" t="inlineStr">
        <is>
          <t>Second Woodlands practice — pair it with Passion and Woodgrove for a single northern day.</t>
        </is>
      </c>
      <c r="P69" s="113" t="inlineStr">
        <is>
          <t>SonoEye P3 VET</t>
        </is>
      </c>
      <c r="Q69" s="57" t="inlineStr">
        <is>
          <t>P3</t>
        </is>
      </c>
      <c r="R69" s="52" t="inlineStr">
        <is>
          <t>MEDIUM — AstraMed can invoice, install and service directly today, but a single-site clinic on a price-led decision. Volume comes from working these in clusters.</t>
        </is>
      </c>
      <c r="S69" s="113" t="inlineStr">
        <is>
          <t>H-Budget</t>
        </is>
      </c>
      <c r="T69" s="113" t="inlineStr">
        <is>
          <t>Verified (SVA register, May 2024 edition)</t>
        </is>
      </c>
      <c r="U69" s="50" t="inlineStr">
        <is>
          <t>Singapore Veterinary Animal Clinic: diagnostic imaging that fits your budget</t>
        </is>
      </c>
      <c r="V69" s="50" t="inlineStr">
        <is>
          <t>Dear Singapore Veterinary Animal Clinic team,
My name is Casper Tan, Senior Regional Sales Manager at AstraMed Healthcare, a subsidiary of CHISON Medical Technologies. I am writing to Singapore Veterinary Animal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0" ht="165" customHeight="1" s="114">
      <c r="A70" s="113" t="n">
        <v>66</v>
      </c>
      <c r="B70" s="113" t="inlineStr">
        <is>
          <t>Queen's Veterinary Surgery</t>
        </is>
      </c>
      <c r="C70" s="113" t="inlineStr">
        <is>
          <t>Independent GP clinic</t>
        </is>
      </c>
      <c r="D70" s="42" t="inlineStr">
        <is>
          <t>Not started</t>
        </is>
      </c>
      <c r="E70" s="43" t="n"/>
      <c r="F70" s="44" t="n"/>
      <c r="G70" s="45" t="n"/>
      <c r="H70" s="113" t="inlineStr">
        <is>
          <t>Independent GP clinic. 1. Located at 3 Queen's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0" s="113" t="inlineStr">
        <is>
          <t>1</t>
        </is>
      </c>
      <c r="J70" s="113" t="inlineStr">
        <is>
          <t>3 Queen's Road #02-155 S260003</t>
        </is>
      </c>
      <c r="K70" s="113" t="inlineStr">
        <is>
          <t>6475 0038</t>
        </is>
      </c>
      <c r="L70" s="113" t="inlineStr">
        <is>
          <t>—</t>
        </is>
      </c>
      <c r="M70" s="113" t="inlineStr">
        <is>
          <t>Not published in the register — phone only</t>
        </is>
      </c>
      <c r="N70" s="113" t="inlineStr">
        <is>
          <t>B — SVA REGISTER (May 2024 edition). Phone, address and website as published there; RECONFIRM the number on the call. Emails shown are those the register printed.</t>
        </is>
      </c>
      <c r="O70" s="113" t="inlineStr">
        <is>
          <t>Queen's Road, in the same block as a Mount Pleasant site — useful for reading how the independents position against the chain locally.</t>
        </is>
      </c>
      <c r="P70" s="113" t="inlineStr">
        <is>
          <t>SonoEye P3 VET</t>
        </is>
      </c>
      <c r="Q70" s="57" t="inlineStr">
        <is>
          <t>P3</t>
        </is>
      </c>
      <c r="R70" s="52" t="inlineStr">
        <is>
          <t>MEDIUM — AstraMed can invoice, install and service directly today, but a single-site clinic on a price-led decision. Volume comes from working these in clusters.</t>
        </is>
      </c>
      <c r="S70" s="113" t="inlineStr">
        <is>
          <t>H-GP</t>
        </is>
      </c>
      <c r="T70" s="113" t="inlineStr">
        <is>
          <t>Verified (SVA register, May 2024 edition)</t>
        </is>
      </c>
      <c r="U70" s="50" t="inlineStr">
        <is>
          <t>Queen's Veterinary Surgery: ultrasound at a price that pays back in scans, not years</t>
        </is>
      </c>
      <c r="V70" s="50" t="inlineStr">
        <is>
          <t>Dear Queen's Veterinary Surgery team,
My name is Casper Tan, Senior Regional Sales Manager at AstraMed Healthcare, a subsidiary of CHISON Medical Technologies. I am writing to Queen's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1" ht="165" customHeight="1" s="114">
      <c r="A71" s="113" t="n">
        <v>67</v>
      </c>
      <c r="B71" s="113" t="inlineStr">
        <is>
          <t>Pet Care Centre &amp; Clinic</t>
        </is>
      </c>
      <c r="C71" s="113" t="inlineStr">
        <is>
          <t>Independent GP clinic</t>
        </is>
      </c>
      <c r="D71" s="42" t="inlineStr">
        <is>
          <t>Not started</t>
        </is>
      </c>
      <c r="E71" s="43" t="n"/>
      <c r="F71" s="44" t="n"/>
      <c r="G71" s="45" t="n"/>
      <c r="H71" s="113" t="inlineStr">
        <is>
          <t>Independent GP clinic. 1. Located at 4 Waringin Park, Sin Chuan Garden S416318.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1" s="113" t="inlineStr">
        <is>
          <t>1</t>
        </is>
      </c>
      <c r="J71" s="113" t="inlineStr">
        <is>
          <t>4 Waringin Park, Sin Chuan Garden S416318</t>
        </is>
      </c>
      <c r="K71" s="113" t="inlineStr">
        <is>
          <t>6448 5835</t>
        </is>
      </c>
      <c r="L71" s="113" t="inlineStr">
        <is>
          <t>—</t>
        </is>
      </c>
      <c r="M71" s="113" t="inlineStr">
        <is>
          <t>Not published in the register — phone only</t>
        </is>
      </c>
      <c r="N71" s="113" t="inlineStr">
        <is>
          <t>B — SVA REGISTER (May 2024 edition). Phone, address and website as published there; RECONFIRM the number on the call. Emails shown are those the register printed.</t>
        </is>
      </c>
      <c r="O71" s="113" t="inlineStr">
        <is>
          <t>Landed-estate clinic in the east. Small, owner-run, decision made by one person.</t>
        </is>
      </c>
      <c r="P71" s="113" t="inlineStr">
        <is>
          <t>SonoEye P3 VET</t>
        </is>
      </c>
      <c r="Q71" s="57" t="inlineStr">
        <is>
          <t>P3</t>
        </is>
      </c>
      <c r="R71" s="52" t="inlineStr">
        <is>
          <t>MEDIUM — AstraMed can invoice, install and service directly today, but a single-site clinic on a price-led decision. Volume comes from working these in clusters.</t>
        </is>
      </c>
      <c r="S71" s="113" t="inlineStr">
        <is>
          <t>H-Budget</t>
        </is>
      </c>
      <c r="T71" s="113" t="inlineStr">
        <is>
          <t>Verified (SVA register, May 2024 edition)</t>
        </is>
      </c>
      <c r="U71" s="50" t="inlineStr">
        <is>
          <t>Pet Care Centre &amp; Clinic: diagnostic imaging that fits your budget</t>
        </is>
      </c>
      <c r="V71" s="50" t="inlineStr">
        <is>
          <t>Dear Pet Care Centre &amp; Clinic team,
My name is Casper Tan, Senior Regional Sales Manager at AstraMed Healthcare, a subsidiary of CHISON Medical Technologies. I am writing to Pet Care Centre &amp;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2" ht="165" customHeight="1" s="114">
      <c r="A72" s="113" t="n">
        <v>68</v>
      </c>
      <c r="B72" s="113" t="inlineStr">
        <is>
          <t>Clinic For Pets</t>
        </is>
      </c>
      <c r="C72" s="113" t="inlineStr">
        <is>
          <t>Independent GP clinic</t>
        </is>
      </c>
      <c r="D72" s="42" t="inlineStr">
        <is>
          <t>Not started</t>
        </is>
      </c>
      <c r="E72" s="43" t="n"/>
      <c r="F72" s="44" t="n"/>
      <c r="G72" s="45" t="n"/>
      <c r="H72" s="113" t="inlineStr">
        <is>
          <t>Independent GP clinic. 1. Located at 1015 Geylang East Avenue 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2" s="113" t="inlineStr">
        <is>
          <t>1</t>
        </is>
      </c>
      <c r="J72" s="113" t="inlineStr">
        <is>
          <t>1015 Geylang East Avenue 3 #01-141 S389730</t>
        </is>
      </c>
      <c r="K72" s="113" t="inlineStr">
        <is>
          <t>6745 1337</t>
        </is>
      </c>
      <c r="L72" s="113" t="inlineStr">
        <is>
          <t>—</t>
        </is>
      </c>
      <c r="M72" s="113" t="inlineStr">
        <is>
          <t>Not published in the register — phone only</t>
        </is>
      </c>
      <c r="N72" s="113" t="inlineStr">
        <is>
          <t>B — SVA REGISTER (May 2024 edition). Phone, address and website as published there; RECONFIRM the number on the call. Emails shown are those the register printed.</t>
        </is>
      </c>
      <c r="O72" s="113" t="inlineStr">
        <is>
          <t>Geylang East. High-density catchment, price-sensitive, straightforward cost pitch.</t>
        </is>
      </c>
      <c r="P72" s="113" t="inlineStr">
        <is>
          <t>SonoEye P3 VET</t>
        </is>
      </c>
      <c r="Q72" s="57" t="inlineStr">
        <is>
          <t>P3</t>
        </is>
      </c>
      <c r="R72" s="52" t="inlineStr">
        <is>
          <t>MEDIUM — AstraMed can invoice, install and service directly today, but a single-site clinic on a price-led decision. Volume comes from working these in clusters.</t>
        </is>
      </c>
      <c r="S72" s="113" t="inlineStr">
        <is>
          <t>H-Budget</t>
        </is>
      </c>
      <c r="T72" s="113" t="inlineStr">
        <is>
          <t>Verified (SVA register, May 2024 edition)</t>
        </is>
      </c>
      <c r="U72" s="50" t="inlineStr">
        <is>
          <t>Clinic For Pets: diagnostic imaging that fits your budget</t>
        </is>
      </c>
      <c r="V72" s="50" t="inlineStr">
        <is>
          <t>Dear Clinic For Pets team,
My name is Casper Tan, Senior Regional Sales Manager at AstraMed Healthcare, a subsidiary of CHISON Medical Technologies. I am writing to Clinic For Pets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3" ht="165" customHeight="1" s="114">
      <c r="A73" s="113" t="n">
        <v>69</v>
      </c>
      <c r="B73" s="113" t="inlineStr">
        <is>
          <t>Edmond Tan Veterinary Surgery</t>
        </is>
      </c>
      <c r="C73" s="113" t="inlineStr">
        <is>
          <t>Independent GP clinic</t>
        </is>
      </c>
      <c r="D73" s="42" t="inlineStr">
        <is>
          <t>Not started</t>
        </is>
      </c>
      <c r="E73" s="43" t="n"/>
      <c r="F73" s="44" t="n"/>
      <c r="G73" s="45" t="n"/>
      <c r="H73" s="113" t="inlineStr">
        <is>
          <t>Independent GP clinic. 1. Located at 151 Serangoon North Ave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3" s="113" t="inlineStr">
        <is>
          <t>1</t>
        </is>
      </c>
      <c r="J73" s="113" t="inlineStr">
        <is>
          <t>151 Serangoon North Ave 2 #01-65 S550151</t>
        </is>
      </c>
      <c r="K73" s="113" t="inlineStr">
        <is>
          <t>6282 1581</t>
        </is>
      </c>
      <c r="L73" s="113" t="inlineStr">
        <is>
          <t>—</t>
        </is>
      </c>
      <c r="M73" s="113" t="inlineStr">
        <is>
          <t>Not published in the register — phone only</t>
        </is>
      </c>
      <c r="N73" s="113" t="inlineStr">
        <is>
          <t>B — SVA REGISTER (May 2024 edition). Phone, address and website as published there; RECONFIRM the number on the call. Emails shown are those the register printed.</t>
        </is>
      </c>
      <c r="O73" s="113" t="inlineStr">
        <is>
          <t>Sits in the same block as Mount Pleasant (North). A senior-clinician independent — peer credibility if he buys.</t>
        </is>
      </c>
      <c r="P73" s="113" t="inlineStr">
        <is>
          <t>SonoEye P3 VET</t>
        </is>
      </c>
      <c r="Q73" s="57" t="inlineStr">
        <is>
          <t>P3</t>
        </is>
      </c>
      <c r="R73" s="52" t="inlineStr">
        <is>
          <t>MEDIUM — AstraMed can invoice, install and service directly today, but a single-site clinic on a price-led decision. Volume comes from working these in clusters.</t>
        </is>
      </c>
      <c r="S73" s="113" t="inlineStr">
        <is>
          <t>H-GP</t>
        </is>
      </c>
      <c r="T73" s="113" t="inlineStr">
        <is>
          <t>Verified (SVA register, May 2024 edition)</t>
        </is>
      </c>
      <c r="U73" s="50" t="inlineStr">
        <is>
          <t>Edmond Tan Veterinary Surgery: ultrasound at a price that pays back in scans, not years</t>
        </is>
      </c>
      <c r="V73" s="50" t="inlineStr">
        <is>
          <t>Dear Edmond Tan Veterinary Surgery team,
My name is Casper Tan, Senior Regional Sales Manager at AstraMed Healthcare, a subsidiary of CHISON Medical Technologies. I am writing to Edmond Tan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4" ht="165" customHeight="1" s="114">
      <c r="A74" s="113" t="n">
        <v>70</v>
      </c>
      <c r="B74" s="113" t="inlineStr">
        <is>
          <t>Maranatha Veterinary Clinic</t>
        </is>
      </c>
      <c r="C74" s="113" t="inlineStr">
        <is>
          <t>Independent GP clinic</t>
        </is>
      </c>
      <c r="D74" s="42" t="inlineStr">
        <is>
          <t>Contacted</t>
        </is>
      </c>
      <c r="E74" s="43" t="inlineStr">
        <is>
          <t>Casper</t>
        </is>
      </c>
      <c r="F74" s="44" t="inlineStr">
        <is>
          <t>Follow up by phone or email if no reply</t>
        </is>
      </c>
      <c r="G74" s="121" t="n">
        <v>46300</v>
      </c>
      <c r="H74" s="113" t="inlineStr">
        <is>
          <t>Independent GP clinic. 1. Located at 77 Telok Blangah Drive.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4" s="113" t="inlineStr">
        <is>
          <t>1</t>
        </is>
      </c>
      <c r="J74" s="113" t="inlineStr">
        <is>
          <t>77 Telok Blangah Drive #01-234 S100077</t>
        </is>
      </c>
      <c r="K74" s="113" t="inlineStr">
        <is>
          <t>6273 0100</t>
        </is>
      </c>
      <c r="L74" s="113" t="inlineStr">
        <is>
          <t>—</t>
        </is>
      </c>
      <c r="M74" s="113" t="inlineStr">
        <is>
          <t>maranathavet@hotmail.com</t>
        </is>
      </c>
      <c r="N74" s="113" t="inlineStr">
        <is>
          <t>B — SVA REGISTER (May 2024 edition). Phone, address and website as published there; RECONFIRM the number on the call. Emails shown are those the register printed.</t>
        </is>
      </c>
      <c r="O74" s="113" t="inlineStr">
        <is>
          <t>Telok Blangah heartland, near Point Veterinary Surgery's second site. Budget-led.</t>
        </is>
      </c>
      <c r="P74" s="113" t="inlineStr">
        <is>
          <t>SonoEye P3 VET</t>
        </is>
      </c>
      <c r="Q74" s="57" t="inlineStr">
        <is>
          <t>P3</t>
        </is>
      </c>
      <c r="R74" s="52" t="inlineStr">
        <is>
          <t>MEDIUM — AstraMed can invoice, install and service directly today, but a single-site clinic on a price-led decision. Volume comes from working these in clusters.</t>
        </is>
      </c>
      <c r="S74" s="113" t="inlineStr">
        <is>
          <t>H-Budget</t>
        </is>
      </c>
      <c r="T74" s="113" t="inlineStr">
        <is>
          <t>Verified (SVA register, May 2024 edition)</t>
        </is>
      </c>
      <c r="U74" s="50" t="inlineStr">
        <is>
          <t>Maranatha Veterinary Clinic: diagnostic imaging that fits your budget</t>
        </is>
      </c>
      <c r="V74" s="50" t="inlineStr">
        <is>
          <t>Dear Maranatha Veterinary Clinic team,
My name is Casper Tan, Senior Regional Sales Manager at AstraMed Healthcare, a subsidiary of CHISON Medical Technologies. I am writing to Maranatha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c r="W74" t="inlineStr">
        <is>
          <t>EMAIL SENT 28 Sep 2026. No reply yet.</t>
        </is>
      </c>
    </row>
    <row r="75" ht="165" customHeight="1" s="114">
      <c r="A75" s="113" t="n">
        <v>71</v>
      </c>
      <c r="B75" s="113" t="inlineStr">
        <is>
          <t>Pet Clinic Pte Ltd</t>
        </is>
      </c>
      <c r="C75" s="113" t="inlineStr">
        <is>
          <t>Independent GP clinic</t>
        </is>
      </c>
      <c r="D75" s="42" t="inlineStr">
        <is>
          <t>Not started</t>
        </is>
      </c>
      <c r="E75" s="43" t="n"/>
      <c r="F75" s="44" t="n"/>
      <c r="G75" s="45" t="n"/>
      <c r="H75" s="113" t="inlineStr">
        <is>
          <t>Independent GP clinic. 1. Located at 211 Serangoon Avenue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5" s="113" t="inlineStr">
        <is>
          <t>1</t>
        </is>
      </c>
      <c r="J75" s="113" t="inlineStr">
        <is>
          <t>211 Serangoon Avenue 4 #01-12 S550211</t>
        </is>
      </c>
      <c r="K75" s="113" t="inlineStr">
        <is>
          <t>6288 5565</t>
        </is>
      </c>
      <c r="L75" s="113" t="inlineStr">
        <is>
          <t>—</t>
        </is>
      </c>
      <c r="M75" s="113" t="inlineStr">
        <is>
          <t>Not published in the register — phone only</t>
        </is>
      </c>
      <c r="N75" s="113" t="inlineStr">
        <is>
          <t>B — SVA REGISTER (May 2024 edition). Phone, address and website as published there; RECONFIRM the number on the call. Emails shown are those the register printed.</t>
        </is>
      </c>
      <c r="O75" s="113" t="inlineStr">
        <is>
          <t>Serangoon estate clinic. Part of the Serangoon cluster with Animal Recovery and Brighton.</t>
        </is>
      </c>
      <c r="P75" s="113" t="inlineStr">
        <is>
          <t>SonoEye P3 VET</t>
        </is>
      </c>
      <c r="Q75" s="57" t="inlineStr">
        <is>
          <t>P3</t>
        </is>
      </c>
      <c r="R75" s="52" t="inlineStr">
        <is>
          <t>MEDIUM — AstraMed can invoice, install and service directly today, but a single-site clinic on a price-led decision. Volume comes from working these in clusters.</t>
        </is>
      </c>
      <c r="S75" s="113" t="inlineStr">
        <is>
          <t>H-Budget</t>
        </is>
      </c>
      <c r="T75" s="113" t="inlineStr">
        <is>
          <t>Verified (SVA register, May 2024 edition)</t>
        </is>
      </c>
      <c r="U75" s="50" t="inlineStr">
        <is>
          <t>Pet Clinic Pte Ltd: diagnostic imaging that fits your budget</t>
        </is>
      </c>
      <c r="V75" s="50" t="inlineStr">
        <is>
          <t>Dear Pet Clinic Pte Ltd team,
My name is Casper Tan, Senior Regional Sales Manager at AstraMed Healthcare, a subsidiary of CHISON Medical Technologies. I am writing to Pet Clinic Pte Ltd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6" ht="165" customHeight="1" s="114">
      <c r="A76" s="113" t="n">
        <v>72</v>
      </c>
      <c r="B76" s="113" t="inlineStr">
        <is>
          <t>James Cook / Island Veterinary Clinic (Northeast)</t>
        </is>
      </c>
      <c r="C76" s="113" t="inlineStr">
        <is>
          <t>Independent GP clinic</t>
        </is>
      </c>
      <c r="D76" s="42" t="inlineStr">
        <is>
          <t>Contacted</t>
        </is>
      </c>
      <c r="E76" s="43" t="n"/>
      <c r="F76" s="44" t="n"/>
      <c r="G76" s="45" t="n"/>
      <c r="H76" s="46" t="inlineStr">
        <is>
          <t>Independent GP clinic. 1. Located at Blk 123 Bedok North Street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6" s="113" t="inlineStr">
        <is>
          <t>1</t>
        </is>
      </c>
      <c r="J76" s="113" t="inlineStr">
        <is>
          <t>Blk 123 Bedok North Street 2 #01-154 S460123</t>
        </is>
      </c>
      <c r="K76" s="46" t="inlineStr">
        <is>
          <t>6449 4491</t>
        </is>
      </c>
      <c r="L76" s="47" t="inlineStr">
        <is>
          <t>https://ivc.com.sg</t>
        </is>
      </c>
      <c r="M76" s="113" t="inlineStr">
        <is>
          <t>islandvets@ivc.com.sg</t>
        </is>
      </c>
      <c r="N76" s="113" t="inlineStr">
        <is>
          <t>B — SVA REGISTER (May 2024 edition). Phone, address and website as published there; RECONFIRM the number on the call. Emails shown are those the register printed.</t>
        </is>
      </c>
      <c r="O76" s="113" t="inlineStr">
        <is>
          <t>The Bedok arm of Island Veterinary Clinic — listed separately on the register, so treat it as its own site when quoting the two-unit group deal.</t>
        </is>
      </c>
      <c r="P76" s="113" t="inlineStr">
        <is>
          <t>SonoEye P3 VET</t>
        </is>
      </c>
      <c r="Q76" s="57" t="inlineStr">
        <is>
          <t>P3</t>
        </is>
      </c>
      <c r="R76" s="52" t="inlineStr">
        <is>
          <t>MEDIUM — AstraMed can invoice, install and service directly today, but a single-site clinic on a price-led decision. Volume comes from working these in clusters.</t>
        </is>
      </c>
      <c r="S76" s="113" t="inlineStr">
        <is>
          <t>H-GP</t>
        </is>
      </c>
      <c r="T76" s="113" t="inlineStr">
        <is>
          <t>Verified (SVA register, May 2024 edition)</t>
        </is>
      </c>
      <c r="U76" s="50" t="inlineStr">
        <is>
          <t>James Cook / Island Veterinary Clinic (Northeast): ultrasound at a price that pays back in scans, not years</t>
        </is>
      </c>
      <c r="V76" s="50" t="inlineStr">
        <is>
          <t>Dear James Cook / Island Veterinary Clinic (Northeast) team,
My name is Casper Tan, Senior Regional Sales Manager at AstraMed Healthcare, a subsidiary of CHISON Medical Technologies. I am writing to James Cook / Island Veterinary Clinic (Northeast)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7" ht="165" customHeight="1" s="114">
      <c r="A77" s="113" t="n">
        <v>73</v>
      </c>
      <c r="B77" s="113" t="inlineStr">
        <is>
          <t>Mars Veterinary Health — Asia regional office</t>
        </is>
      </c>
      <c r="C77" s="113" t="inlineStr">
        <is>
          <t>Corporate parent of Mount Pleasant and VES</t>
        </is>
      </c>
      <c r="D77" s="42" t="inlineStr">
        <is>
          <t>Not started</t>
        </is>
      </c>
      <c r="E77" s="43" t="n"/>
      <c r="F77" s="44" t="n"/>
      <c r="G77" s="45" t="n"/>
      <c r="H77" s="46" t="inlineStr">
        <is>
          <t>Corporate parent of Mount Pleasant and VES. Owns the largest GP chain and the largest specialty/ER hospital in Singapore. Located at Regional office — address not published; approach via Mount Pleasant or VES leadership. RELEVANCE: multi-site groups make one equipment decision and repeat it, which turns a single scanner sale into a fleet order. They also have a procurement function, so the conversation belongs at head office rather than at a clinic. Lead product: SonoEye P3 VET fleet across the group, with SonoAir 70 VET at VES.</t>
        </is>
      </c>
      <c r="I77" s="113" t="inlineStr">
        <is>
          <t>Owns the largest GP chain and the largest specialty/ER hospital in Singapore</t>
        </is>
      </c>
      <c r="J77" s="113" t="inlineStr">
        <is>
          <t>Regional office — address not published; approach via Mount Pleasant or VES leadership</t>
        </is>
      </c>
      <c r="K77" s="46" t="inlineStr">
        <is>
          <t>NOT CONFIRMED — approach via +65 6251 7666 (Mount Pleasant) or +65 6581 7028 (VES)</t>
        </is>
      </c>
      <c r="L77" s="47" t="inlineStr">
        <is>
          <t>https://www.marsveterinary.com</t>
        </is>
      </c>
      <c r="M77" s="113" t="inlineStr">
        <is>
          <t>Not published — via the group's Singapore hospitals</t>
        </is>
      </c>
      <c r="N77" s="113" t="inlineStr">
        <is>
          <t>D — NOT VERIFIED (corporate entity confirmed; no Singapore regional contact confirmed by us)</t>
        </is>
      </c>
      <c r="O77" s="113" t="inlineStr">
        <is>
          <t>GROUP OVERLAP FLAG: Mount Pleasant (row 1) and VES (row 2) are both Mars-owned. Do not run three separate approaches. This row exists so the group conversation is deliberate — one fleet decision covering roughly ten sites, rather than ten clinic-by-clinic sales.</t>
        </is>
      </c>
      <c r="P77" s="113" t="inlineStr">
        <is>
          <t>SonoEye P3 VET fleet across the group, with SonoAir 70 VET at VES</t>
        </is>
      </c>
      <c r="Q77" s="48" t="inlineStr">
        <is>
          <t>P1 — engage now</t>
        </is>
      </c>
      <c r="R77" s="49" t="inlineStr">
        <is>
          <t>HIGH — AstraMed can invoice, install and service directly today, and this account has scale or reference value.</t>
        </is>
      </c>
      <c r="S77" s="113" t="inlineStr">
        <is>
          <t>H-Fleet</t>
        </is>
      </c>
      <c r="T77" s="113" t="inlineStr">
        <is>
          <t>Carried from CHISON_Market_Development_Target_List_v2 (merged into v6, 6 Aug 2026) + workbook v2.0</t>
        </is>
      </c>
      <c r="U77" s="50" t="inlineStr">
        <is>
          <t>Mars Veterinary Health: Asia regional office, one group conversation, not ten clinic conversations</t>
        </is>
      </c>
      <c r="V77" s="50" t="inlineStr">
        <is>
          <t>Dear Mars Veterinary Health, Asia regional office team,
My name is Casper Tan, Senior Regional Sales Manager at AstraMed Healthcare, a subsidiary of CHISON Medical Technologies. I look after CHISON veterinary ultrasound in your market.
I have been in contact with Mount Pleasant and with VES separately, and rather than run parallel conversations inside one group I would rather ask you where this should sit.
AstraMed is CHISON's own subsidiary in Singapore, so installation, training and service are handled locally.
The configuration I would put in front of you is SonoEye P3 VET fleet across the group, with SonoAir 70 VET at VES.
Which entity should own a group-level conversation about standardising handheld ultrasound across the Singapore sites? I will follow whichever door you point me to.
Kind regards,
Casper Tan
Senior Regional Sales Manager, AstraMed Healthcare
CHISON veterinary ultrasound (Singapore · Japan · South Korea · Taiwan)
casper@astramed.sg</t>
        </is>
      </c>
    </row>
    <row r="78" ht="165" customHeight="1" s="114">
      <c r="A78" s="113" t="n">
        <v>74</v>
      </c>
      <c r="B78" s="113" t="inlineStr">
        <is>
          <t>Sage Healthcare Pte Ltd</t>
        </is>
      </c>
      <c r="C78" s="113" t="inlineStr">
        <is>
          <t>Veterinary product distributor — co-sell / referral partner (NOT an end-user account)</t>
        </is>
      </c>
      <c r="D78" s="42" t="inlineStr">
        <is>
          <t>Contacted</t>
        </is>
      </c>
      <c r="E78" s="43" t="n"/>
      <c r="F78" s="44" t="inlineStr">
        <is>
          <t>Worked from the Singapore Dealers tab in v11. Do not email from this tab.</t>
        </is>
      </c>
      <c r="G78" s="45" t="n"/>
      <c r="H78" s="113" t="inlineStr">
        <is>
          <t>Singapore-based veterinary supplier distributing a broad range across drugs, nutraceuticals, dental supplies, diagnostics and laboratory services, blood typing, allergy studies, personal protective equipment, rehabilitation laser therapy, pet hygiene and closed-system drug delivery. RELEVANCE: their representatives are already inside the same Singapore practices on this tab, on a regular cycle, and their customers already buy capital equipment from them (rehabilitation laser). There is NO imaging line anywhere in their published range, so nothing of ours competes with anything of theirs. NEW IN v9.</t>
        </is>
      </c>
      <c r="I78" s="113" t="inlineStr">
        <is>
          <t>Nationwide Singapore veterinary distribution — pharmaceuticals, diagnostics, laboratory services and equipment</t>
        </is>
      </c>
      <c r="J78" s="113" t="inlineStr">
        <is>
          <t>26 Sin Ming Lane, #06-126/127, Midview City, Singapore 573971</t>
        </is>
      </c>
      <c r="K78" s="46" t="inlineStr">
        <is>
          <t>+65 6415 8762 (fax +65 6251 9635)</t>
        </is>
      </c>
      <c r="L78" s="47" t="inlineStr">
        <is>
          <t>https://sagehealthcare.sg</t>
        </is>
      </c>
      <c r="M78" s="113" t="inlineStr">
        <is>
          <t>customerservice@sagehealthcare.sg</t>
        </is>
      </c>
      <c r="N78" s="113" t="inlineStr">
        <is>
          <t>A — VERIFIED DIRECT (phone, fax, email and address read off the company's own veterinary page, 8 Aug 2026)</t>
        </is>
      </c>
      <c r="O78" s="113" t="inlineStr">
        <is>
          <t>READ THE MODEL NOTE FIRST: Singapore stays DIRECT. This is not a distribution appointment and must not be presented as one. It is a co-sell and referral conversation — their rep flags a practice that needs imaging, AstraMed runs the demonstration, invoices, installs and services, and Sage is recognised for the introduction. The reason it is worth having: they already carry rehabilitation laser therapy, so the clinics they serve are demonstrably willing to buy capital equipment from them; they visit those clinics on a cycle we cannot match cold; and they have no imaging line to protect. Treat as a channel row on an end-user tab — flagged in the Type column so it never gets worked as a clinic account.</t>
        </is>
      </c>
      <c r="P78" s="113" t="inlineStr">
        <is>
          <t>No unit pitch — this is a partnership conversation. If it converts, SonoEye P3 VET is the referral product.</t>
        </is>
      </c>
      <c r="Q78" s="48" t="inlineStr">
        <is>
          <t>P2</t>
        </is>
      </c>
      <c r="R78" s="49" t="inlineStr">
        <is>
          <t>MEDIUM — no purchase from them directly; the value is reach into practices AstraMed would otherwise approach cold. Singapore is the one market where the resulting sale can close today.</t>
        </is>
      </c>
      <c r="S78" s="113" t="inlineStr">
        <is>
          <t>H-GP (adapted — co-sell)</t>
        </is>
      </c>
      <c r="T78" s="113" t="inlineStr">
        <is>
          <t>NEW IN v9 — sagehealthcare.sg veterinary page opened and read 8 Aug 2026. NOT a row from the Market Development Target List v3; it surfaced while verifying the v3 row 'Getz Healthcare' and is included because it is verified, relevant and actionable.</t>
        </is>
      </c>
      <c r="U78" s="50" t="inlineStr">
        <is>
          <t>Sage Healthcare Pte Ltd: an imaging line for the clinics your reps already visit</t>
        </is>
      </c>
      <c r="V78" s="50" t="inlineStr">
        <is>
          <t>Dear Sage Healthcare Pte Ltd team,
My name is Casper Tan, Senior Regional Sales Manager at AstraMed Healthcare, a subsidiary of CHISON Medical Technologies. We represent CHISON Medical Technologies' veterinary ultrasound range in Singapore.
I am writing because your veterinary catalogue runs from pharmaceuticals and nutraceuticals through diagnostics, laboratory services and rehabilitation laser therapy, which means two things. Your representatives are inside the same practices we are, on a regular cycle. And your customers already buy capital equipment from you, so a conversation about a scanner is not a cold one.
There is no imaging line anywhere in your published range, and nothing in ours overlaps with yours.
AstraMed is CHISON's own subsidiary in Singapore, so installation, training and service are handled locally. I am not asking to appoint a distributor. I am asking whether there is a sensible co-selling or referral arrangement, your rep flags a practice that needs imaging, we handle the demonstration and the installation, and you are recognised for it.
Would you be open to a short conversation about how that might work?
Casper Tan
Senior Regional Sales Manager
AstraMed Healthcare, a subsidiary of CHISON Medical Technologies
casper@astramed.sg | +65 8719 0121</t>
        </is>
      </c>
    </row>
    <row r="79" ht="14.25" customHeight="1" s="114">
      <c r="E79" s="43" t="n"/>
      <c r="F79" s="44" t="n"/>
      <c r="G79" s="45" t="n"/>
    </row>
    <row r="80" ht="14.25" customHeight="1" s="114">
      <c r="A80" s="10">
        <f>COUNTIF(Q5:Q78,"P1*")</f>
        <v/>
      </c>
      <c r="B80" s="10" t="inlineStr">
        <is>
          <t>P1 — engage now</t>
        </is>
      </c>
      <c r="E80" s="43" t="n"/>
      <c r="F80" s="44" t="n"/>
      <c r="G80" s="45" t="n"/>
    </row>
    <row r="81" ht="14.25" customHeight="1" s="114">
      <c r="A81" s="10">
        <f>COUNTIF(Q5:Q78,"P2*")</f>
        <v/>
      </c>
      <c r="B81" s="9" t="inlineStr">
        <is>
          <t>P2</t>
        </is>
      </c>
      <c r="E81" s="43" t="n"/>
      <c r="F81" s="44" t="n"/>
      <c r="G81" s="45" t="n"/>
    </row>
    <row r="82" ht="14.25" customHeight="1" s="114">
      <c r="A82" s="10">
        <f>COUNTIF(Q5:Q78,"P3*")</f>
        <v/>
      </c>
      <c r="B82" s="9" t="inlineStr">
        <is>
          <t>P3</t>
        </is>
      </c>
      <c r="E82" s="43" t="n"/>
      <c r="F82" s="44" t="n"/>
      <c r="G82" s="45" t="n"/>
    </row>
    <row r="83" ht="14.25" customHeight="1" s="114">
      <c r="E83" s="43" t="n"/>
      <c r="F83" s="44" t="n"/>
      <c r="G83" s="45" t="n"/>
    </row>
    <row r="84" ht="14.25" customHeight="1" s="114">
      <c r="A84" s="10">
        <f>COUNTIF(R5:R78,"HIGH*")</f>
        <v/>
      </c>
      <c r="B84" s="9" t="inlineStr">
        <is>
          <t>Buying potential HIGH</t>
        </is>
      </c>
      <c r="E84" s="43" t="n"/>
      <c r="F84" s="44" t="n"/>
      <c r="G84" s="45" t="n"/>
    </row>
    <row r="85" ht="14.25" customHeight="1" s="114">
      <c r="A85" s="10">
        <f>COUNTIF(R5:R78,"MEDIUM*")</f>
        <v/>
      </c>
      <c r="B85" s="9" t="inlineStr">
        <is>
          <t>Buying potential MEDIUM</t>
        </is>
      </c>
      <c r="E85" s="43" t="n"/>
      <c r="F85" s="44" t="n"/>
      <c r="G85" s="45" t="n"/>
    </row>
    <row r="86" ht="14.25" customHeight="1" s="114">
      <c r="A86" s="10">
        <f>COUNTIF(R5:R78,"LOW*")</f>
        <v/>
      </c>
      <c r="B86" s="9" t="inlineStr">
        <is>
          <t>Buying potential LOW / long tail</t>
        </is>
      </c>
      <c r="E86" s="43" t="n"/>
      <c r="F86" s="44" t="n"/>
      <c r="G86" s="45" t="n"/>
    </row>
    <row r="87" ht="14.25" customHeight="1" s="114">
      <c r="E87" s="43" t="n"/>
      <c r="F87" s="44" t="n"/>
      <c r="G87" s="45" t="n"/>
    </row>
    <row r="88" ht="14.25" customHeight="1" s="114">
      <c r="A88" s="10">
        <f>COUNTA(B5:B78)</f>
        <v/>
      </c>
      <c r="B88" s="10" t="inlineStr">
        <is>
          <t>Total accounts on this tab — every one has a ready-to-send email</t>
        </is>
      </c>
      <c r="E88" s="43" t="n"/>
      <c r="F88" s="44" t="n"/>
      <c r="G88" s="45" t="n"/>
    </row>
  </sheetData>
  <autoFilter ref="A4:W78"/>
  <conditionalFormatting sqref="D5:D7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78" showDropDown="0" showInputMessage="0" showErrorMessage="0" allowBlank="1" type="list">
      <formula1>"Not started,Contacted,Meeting booked,Meeting held,Evaluation placed,Quoted,Won,Declined,Parked"</formula1>
      <formula2>0</formula2>
    </dataValidation>
    <dataValidation sqref="E5:E78"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Corporate GP chain (Mars Veterinary Health). 9 centres on the SVA register (Gelenggang, East, North, Changi, Mandai, Whitley, Bedok, Clementi, Farrer). Located at 2 Jalan Gelenggang S578187 (Gelenggang). RELEVANCE: multi-site groups make one equipment decision and repeat it, which turns a single scanner sale into a fleet order. They also have a procurement function, so the conversation belongs at head office rather than at a clinic. Lead product: SonoEye P3 VET fleet (one per site)." r:id="rId1"/>
    <hyperlink xmlns:r="http://schemas.openxmlformats.org/officeDocument/2006/relationships" ref="H6" display="Specialty + 24h emergency hospital (Mars-owned). 1 — the largest specialty/ER hospital in Singapore. Located at 2-14 Rochdale Road S535815.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2"/>
    <hyperlink xmlns:r="http://schemas.openxmlformats.org/officeDocument/2006/relationships" ref="H7" display="Independent 24-hour + GP hospital. 1. Located at 18 Jalan Pari Burong S488684. RELEVANCE: emergency work is the fastest-converting handheld use case there is. A FAST scan has to happen in seconds, the vet on shift is usually also the decision-maker, and there is no procurement layer between the demonstration and the decision. Lead product: SonoEye P3 VET — 30-day night-shift evaluation." r:id="rId3"/>
    <hyperlink xmlns:r="http://schemas.openxmlformats.org/officeDocument/2006/relationships" ref="H8" display="Specialty referral hospital. 1. Located at 41 Eng Kong Terrace S599013.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 + EBit 60 VET." r:id="rId4"/>
    <hyperlink xmlns:r="http://schemas.openxmlformats.org/officeDocument/2006/relationships" ref="H9" display="Independent emergency hospital. 1. Located at 86 Serangoon Garden Way S555982. RELEVANCE: emergency work is the fastest-converting handheld use case there is. A FAST scan has to happen in seconds, the vet on shift is usually also the decision-maker, and there is no procurement layer between the demonstration and the decision. Lead product: SonoEye P3 VET." r:id="rId5"/>
    <hyperlink xmlns:r="http://schemas.openxmlformats.org/officeDocument/2006/relationships" ref="H10" display="24-hour referral and general practice hospital; Singapore arm of Hong Kong's largest veterinary group. 1 Singapore hospital within a 12-clinic Hong Kong + Singapore group. Located at 466 Serangoon Road S218225. RELEVANCE: multi-site groups make one equipment decision and repeat it, which turns a single scanner sale into a fleet order. They also have a procurement function, so the conversation belongs at head office rather than at a clinic. Lead product: SonoEye P3 VET (house-call and ward fleet) + SonoAir 70 VET at the Singapore hospital." r:id="rId6"/>
    <hyperlink xmlns:r="http://schemas.openxmlformats.org/officeDocument/2006/relationships" ref="H11" display="Independent multi-site GP group. 4 (Binjai, Greendale, Tampines, Tampines TCM). Located at 11 Binjai Park S589823. RELEVANCE: multi-site groups make one equipment decision and repeat it, which turns a single scanner sale into a fleet order. They also have a procurement function, so the conversation belongs at head office rather than at a clinic. Lead product: SonoEye P3 VET x4." r:id="rId7"/>
    <hyperlink xmlns:r="http://schemas.openxmlformats.org/officeDocument/2006/relationships" ref="H12" display="Advanced-diagnostics practice + dedicated feline clinic. 2 (adjacent, Frankel Estate). Located at 50 Burnfoot Terrace S459837.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 + P3 VET." r:id="rId8"/>
    <hyperlink xmlns:r="http://schemas.openxmlformats.org/officeDocument/2006/relationships" ref="H13" display="Independent GP group. 2 (Katong, Clementi). Located at 55 Lorong L, Telok Kurau S425500. RELEVANCE: multi-site groups make one equipment decision and repeat it, which turns a single scanner sale into a fleet order. They also have a procurement function, so the conversation belongs at head office rather than at a clinic. Lead product: SonoEye P3 VET." r:id="rId9"/>
    <hyperlink xmlns:r="http://schemas.openxmlformats.org/officeDocument/2006/relationships" ref="H14" display="Independent GP group. 2 (Ang Mo Kio, Tiong Bahru). Located at Blk 108 Ang Mo Kio Ave 4. RELEVANCE: multi-site groups make one equipment decision and repeat it, which turns a single scanner sale into a fleet order. They also have a procurement function, so the conversation belongs at head office rather than at a clinic. Lead product: SonoEye P3 VET." r:id="rId10"/>
    <hyperlink xmlns:r="http://schemas.openxmlformats.org/officeDocument/2006/relationships" ref="H15" display="Independent GP group. 2 (Toa Payoh, Swan Lake). Located at Blk 69 Lorong 4 Toa Payoh. RELEVANCE: multi-site groups make one equipment decision and repeat it, which turns a single scanner sale into a fleet order. They also have a procurement function, so the conversation belongs at head office rather than at a clinic. Lead product: SonoEye P3 VET x2." r:id="rId11"/>
    <hyperlink xmlns:r="http://schemas.openxmlformats.org/officeDocument/2006/relationships" ref="H16" display="Independent GP group. 2 (River Valley, Tanjong Katong). Located at 491 River Valley Rd, Valley Point. RELEVANCE: multi-site groups make one equipment decision and repeat it, which turns a single scanner sale into a fleet order. They also have a procurement function, so the conversation belongs at head office rather than at a clinic. Lead product: SonoEye P3 VET x2." r:id="rId12"/>
    <hyperlink xmlns:r="http://schemas.openxmlformats.org/officeDocument/2006/relationships" ref="H17" display="Independent GP group. 2 (Holland Village, Tampines). Located at 31A &amp; 33A Lorong Liput S277742. RELEVANCE: multi-site groups make one equipment decision and repeat it, which turns a single scanner sale into a fleet order. They also have a procurement function, so the conversation belongs at head office rather than at a clinic. Lead product: SonoEye P3 VET x2." r:id="rId13"/>
    <hyperlink xmlns:r="http://schemas.openxmlformats.org/officeDocument/2006/relationships" ref="H18" display="Independent GP group. 2 (Choa Chu Kang, Yuan Ching). Located at Blk 475 Choa Chu Kang Ave 3. RELEVANCE: multi-site groups make one equipment decision and repeat it, which turns a single scanner sale into a fleet order. They also have a procurement function, so the conversation belongs at head office rather than at a clinic. Lead product: SonoEye P3 VET." r:id="rId14"/>
    <hyperlink xmlns:r="http://schemas.openxmlformats.org/officeDocument/2006/relationships" ref="H19" display="Independent GP group. 2 (Lorong Kilat, Holland Close). Located at 21 Lorong Kilat. RELEVANCE: multi-site groups make one equipment decision and repeat it, which turns a single scanner sale into a fleet order. They also have a procurement function, so the conversation belongs at head office rather than at a clinic. Lead product: SonoEye P3 VET." r:id="rId15"/>
    <hyperlink xmlns:r="http://schemas.openxmlformats.org/officeDocument/2006/relationships" ref="H20" display="Independent GP group. 2 (Jurong East, Bedok North). Located at 114 Jurong East St 13. RELEVANCE: multi-site groups make one equipment decision and repeat it, which turns a single scanner sale into a fleet order. They also have a procurement function, so the conversation belongs at head office rather than at a clinic. Lead product: SonoEye P3 VET x2." r:id="rId16"/>
    <hyperlink xmlns:r="http://schemas.openxmlformats.org/officeDocument/2006/relationships" ref="H21" display="Independent GP group. 2 (Hougang St 21, Hougang Village). Located at 211 Hougang St 21. RELEVANCE: multi-site groups make one equipment decision and repeat it, which turns a single scanner sale into a fleet order. They also have a procurement function, so the conversation belongs at head office rather than at a clinic. Lead product: SonoEye P3 VET (shared between two sites)." r:id="rId17"/>
    <hyperlink xmlns:r="http://schemas.openxmlformats.org/officeDocument/2006/relationships" ref="H22" display="Independent GP group. 2 (Jurong West, Telok Blangah). Located at 541 Jurong West Ave 1. RELEVANCE: multi-site groups make one equipment decision and repeat it, which turns a single scanner sale into a fleet order. They also have a procurement function, so the conversation belongs at head office rather than at a clinic. Lead product: SonoEye P3 VET." r:id="rId18"/>
    <hyperlink xmlns:r="http://schemas.openxmlformats.org/officeDocument/2006/relationships" ref="H23" display="Independent hospital. 1. Located at 74 Thomson Road S30759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EBit 50 VET." r:id="rId19"/>
    <hyperlink xmlns:r="http://schemas.openxmlformats.org/officeDocument/2006/relationships" ref="H24" display="Surgery-led practice. 1. Located at 12 Boon Teck Rd. RELEVANCE: a surgical practice buys imaging for peri-operative use — nerve block, vascular access and pre-anaesthetic FAST — which is a different demonstration from the abdominal one and the one that closes this account. Lead product: SonoEye P3 VET (peri-op) + SonoTouch VET." r:id="rId20"/>
    <hyperlink xmlns:r="http://schemas.openxmlformats.org/officeDocument/2006/relationships" ref="H25" display="Established independent practice. 1. Located at 230 Whitley Road S2978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1"/>
    <hyperlink xmlns:r="http://schemas.openxmlformats.org/officeDocument/2006/relationships" ref="H26" display="Independent practice. 1. Located at 74 Serangoon Garden Way S55597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2"/>
    <hyperlink xmlns:r="http://schemas.openxmlformats.org/officeDocument/2006/relationships" ref="H27" display="Exotics / aquatic / avian practice. 1. Located at 24 Jalan Kelulut, Seletar Hills Estate S809041. RELEVANCE: exotic, avian and aquatic species need resolution in the first few centimetres, which is the hardest thing to do with a low-end handheld. A strong technical win here also produces unusual case material that travels well. Lead product: SonoEye P5 VET (high-frequency linear)." r:id="rId23"/>
    <hyperlink xmlns:r="http://schemas.openxmlformats.org/officeDocument/2006/relationships" ref="H28" display="Avian and exotics practice. 1. Located at 716 Yishun St 71. RELEVANCE: exotic, avian and aquatic species need resolution in the first few centimetres, which is the hardest thing to do with a low-end handheld. A strong technical win here also produces unusual case material that travels well. Lead product: SonoEye P5 VET." r:id="rId24"/>
    <hyperlink xmlns:r="http://schemas.openxmlformats.org/officeDocument/2006/relationships" ref="H29" display="Animal rehabilitation clinic. 1 — Singapore's first full rehabilitation clinic. Located at 513 Serangoon Rd. RELEVANCE: musculoskeletal ultrasound — tendon, muscle and joint — is a distinct high-frequency use case, and rehabilitation clinics scan the same patient repeatedly, which makes utilisation easy to justify. Lead product: SonoEye P5 VET (musculoskeletal)." r:id="rId25"/>
    <hyperlink xmlns:r="http://schemas.openxmlformats.org/officeDocument/2006/relationships" ref="H30" display="Modern independent practice. 1. Located at 169 Macpherson Road S348535.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6"/>
    <hyperlink xmlns:r="http://schemas.openxmlformats.org/officeDocument/2006/relationships" ref="H31" display="Independent practice. 1. Located at 1 Yuan Ching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7"/>
    <hyperlink xmlns:r="http://schemas.openxmlformats.org/officeDocument/2006/relationships" ref="H32" display="Independent practice. 1. Located at Blk 163 Bukit Merah Centra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8"/>
    <hyperlink xmlns:r="http://schemas.openxmlformats.org/officeDocument/2006/relationships" ref="H33" display="Independent practice. 1. Located at 258 Pasir Ris St 21, Loyang Point.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9"/>
    <hyperlink xmlns:r="http://schemas.openxmlformats.org/officeDocument/2006/relationships" ref="H34" display="Welfare / charity clinic. 1. Located at 50 Sungei Tengah Road S699012. RELEVANCE: high caseload against a hard budget ceiling, with a donor-funded capital route available. CHISON's price position is the entire argument here, and a placement carries reputational weight in a small veterinary community. Lead product: SonoEye P3 VET (welfare pricing / donation-funded)." r:id="rId30"/>
    <hyperlink xmlns:r="http://schemas.openxmlformats.org/officeDocument/2006/relationships" ref="H35" display="Zoological / wildlife veterinary service. Singapore Zoo, Night Safari, River Wonders, Bird Paradise. Located at 80 Mandai Lake Road S729826. RELEVANCE: exotic, avian and aquatic species need resolution in the first few centimetres, which is the hardest thing to do with a low-end handheld. A strong technical win here also produces unusual case material that travels well. Lead product: SonoEye P5 VET (small exotics) + SonoAir 70 VET (large species)." r:id="rId31"/>
    <hyperlink xmlns:r="http://schemas.openxmlformats.org/officeDocument/2006/relationships" ref="H37" display="Independent GP clinic. 1. Located at 1015 Upper Serangoon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2"/>
    <hyperlink xmlns:r="http://schemas.openxmlformats.org/officeDocument/2006/relationships" ref="H38" display="Independent GP clinic. 1. Located at 16 Yio Chu Kang Road S545527.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3"/>
    <hyperlink xmlns:r="http://schemas.openxmlformats.org/officeDocument/2006/relationships" ref="H39" display="Independent GP clinic. 1. Located at 78 Indu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4"/>
    <hyperlink xmlns:r="http://schemas.openxmlformats.org/officeDocument/2006/relationships" ref="H41" display="Independent GP clinic. 1. Located at Blk 124 Toa Payoh Lorong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5"/>
    <hyperlink xmlns:r="http://schemas.openxmlformats.org/officeDocument/2006/relationships" ref="H42" display="Independent GP clinic. 1. Located at 678 Hougang Ave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6"/>
    <hyperlink xmlns:r="http://schemas.openxmlformats.org/officeDocument/2006/relationships" ref="H43" display="Independent GP clinic. 1. Located at 37 Defu Lane 1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7"/>
    <hyperlink xmlns:r="http://schemas.openxmlformats.org/officeDocument/2006/relationships" ref="H44" display="Independent GP clinic. 1. Located at 101 Frankel Avenue S45822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8"/>
    <hyperlink xmlns:r="http://schemas.openxmlformats.org/officeDocument/2006/relationships" ref="H45" display="Independent GP clinic. 1. Located at 211B Punggol Walk, Punggol Ripples.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9"/>
    <hyperlink xmlns:r="http://schemas.openxmlformats.org/officeDocument/2006/relationships" ref="H46" display="Independent GP clinic. 1. Located at Blk 935 Yishun Central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0"/>
    <hyperlink xmlns:r="http://schemas.openxmlformats.org/officeDocument/2006/relationships" ref="H47" display="Independent GP clinic. 1. Located at 21 Ghim Moh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1"/>
    <hyperlink xmlns:r="http://schemas.openxmlformats.org/officeDocument/2006/relationships" ref="H48" display="Independent GP clinic. 1. Located at 530 Balestier Road, Monville Mansi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2"/>
    <hyperlink xmlns:r="http://schemas.openxmlformats.org/officeDocument/2006/relationships" ref="H49" display="Independent GP clinic. 1. Located at Blk 703 Bedok Reservoi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3"/>
    <hyperlink xmlns:r="http://schemas.openxmlformats.org/officeDocument/2006/relationships" ref="H50" display="Independent GP clinic. 1. Located at 6 Everton Park.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5 VET (phone-paired) + P3 VET." r:id="rId44"/>
    <hyperlink xmlns:r="http://schemas.openxmlformats.org/officeDocument/2006/relationships" ref="H53" display="Independent GP clinic. 1. Located at 2 Balestie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5"/>
    <hyperlink xmlns:r="http://schemas.openxmlformats.org/officeDocument/2006/relationships" ref="H54" display="Independent GP clinic. 1. Located at 15 Venus Road S57430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6"/>
    <hyperlink xmlns:r="http://schemas.openxmlformats.org/officeDocument/2006/relationships" ref="H55" display="Independent GP clinic. 1. Located at Blk 112 Bukit Purmei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senior wellness screening)." r:id="rId47"/>
    <hyperlink xmlns:r="http://schemas.openxmlformats.org/officeDocument/2006/relationships" ref="H56" display="Independent GP clinic. 1. Located at Blk 111 Woodlands Street 1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8"/>
    <hyperlink xmlns:r="http://schemas.openxmlformats.org/officeDocument/2006/relationships" ref="H57" display="Independent GP clinic. 1. Located at 8 Empres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9"/>
    <hyperlink xmlns:r="http://schemas.openxmlformats.org/officeDocument/2006/relationships" ref="H58" display="Independent GP clinic. 1. Located at Blk 123 Hougang Av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0"/>
    <hyperlink xmlns:r="http://schemas.openxmlformats.org/officeDocument/2006/relationships" ref="H60" display="Independent GP clinic. 1. Located at 3 Pandan Valley.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1"/>
    <hyperlink xmlns:r="http://schemas.openxmlformats.org/officeDocument/2006/relationships" ref="H61" display="House-call / mobile practice. 1 + mobile. Located at 9 Taman Serasi. RELEVANCE: a house-call practice physically cannot take a console to a client's living room. A pocket scanner turns a home visit into a diagnostic appointment, which is the single clearest handheld use case in the market. Lead product: SonoEye P3 / P5 VET (mobile scanning)." r:id="rId52"/>
    <hyperlink xmlns:r="http://schemas.openxmlformats.org/officeDocument/2006/relationships" ref="H62" display="Independent GP clinic. 1. Located at 1002 Toa Payoh Lorong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case-study placement)." r:id="rId53"/>
    <hyperlink xmlns:r="http://schemas.openxmlformats.org/officeDocument/2006/relationships" ref="H63" display="Independent GP clinic. 1. Located at 22 Havelock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4"/>
    <hyperlink xmlns:r="http://schemas.openxmlformats.org/officeDocument/2006/relationships" ref="H64" display="Independent GP clinic. 1. Located at 107 Ang Mo Kio Av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5"/>
    <hyperlink xmlns:r="http://schemas.openxmlformats.org/officeDocument/2006/relationships" ref="H65" display="Independent GP clinic. 1. Located at Blk 151 Bukit Batok Street 1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6"/>
    <hyperlink xmlns:r="http://schemas.openxmlformats.org/officeDocument/2006/relationships" ref="H66" display="Independent GP clinic. 1. Located at Blk 519 Jurong West Street 5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7"/>
    <hyperlink xmlns:r="http://schemas.openxmlformats.org/officeDocument/2006/relationships" ref="H67" display="Independent GP clinic. 1. Located at 612 Clementi West Street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8"/>
    <hyperlink xmlns:r="http://schemas.openxmlformats.org/officeDocument/2006/relationships" ref="H69" display="Independent GP clinic. 1. Located at 768 Woodlands Avenue 6.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9"/>
    <hyperlink xmlns:r="http://schemas.openxmlformats.org/officeDocument/2006/relationships" ref="H76" display="Independent GP clinic. 1. Located at Blk 123 Bedok North Street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60"/>
    <hyperlink xmlns:r="http://schemas.openxmlformats.org/officeDocument/2006/relationships" ref="H77" display="Corporate parent of Mount Pleasant and VES. Owns the largest GP chain and the largest specialty/ER hospital in Singapore. Located at Regional office — address not published; approach via Mount Pleasant or VES leadership. RELEVANCE: multi-site groups make one equipment decision and repeat it, which turns a single scanner sale into a fleet order. They also have a procurement function, so the conversation belongs at head office rather than at a clinic. Lead product: SonoEye P3 VET fleet across the group, with SonoAir 70 VET at VES." r:id="rId61"/>
    <hyperlink xmlns:r="http://schemas.openxmlformats.org/officeDocument/2006/relationships" ref="L78" r:id="rId62"/>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V42"/>
  <sheetViews>
    <sheetView zoomScaleNormal="100" workbookViewId="0">
      <pane xSplit="7" ySplit="4" topLeftCell="H5" activePane="bottomRight" state="frozen"/>
      <selection pane="topRight" activeCell="H1" sqref="H1"/>
      <selection pane="bottomLeft" activeCell="A5" sqref="A5"/>
      <selection pane="bottomRight" activeCell="A1" sqref="A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JAPAN — VETERINARY END-USER AND KOL ACCOUNTS (not dealers)</t>
        </is>
      </c>
    </row>
    <row r="2" ht="30" customHeight="1" s="114">
      <c r="A2" s="17" t="inlineStr">
        <is>
          <t>These are hospitals, referral centres and university teaching hospitals, NOT distribution targets. Japan is a dealer market: CHISON cannot invoice any account here until the MAFF foreign-manufacturer registration, a Japanese marketing authorisation holder and the NVAL notification are in place. Everything on this tab is relationship, evaluation and KOL work, which is legitimate now and strengthens the dealer negotiation.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1</v>
      </c>
      <c r="B5" s="41" t="inlineStr">
        <is>
          <t>日本動物高度医療センター 川崎本院 (JARMeC Kawasaki)</t>
        </is>
      </c>
      <c r="C5" s="113" t="inlineStr">
        <is>
          <t>Listed advanced-referral hospital group — HQ</t>
        </is>
      </c>
      <c r="D5" s="42" t="inlineStr">
        <is>
          <t>Not started</t>
        </is>
      </c>
      <c r="E5" s="43" t="n"/>
      <c r="F5" s="44" t="n"/>
      <c r="G5" s="45" t="n"/>
      <c r="H5" s="46" t="inlineStr">
        <is>
          <t>Listed advanced-referral hospital group — HQ. 4 hospitals: Kawasaki (HQ), Tokyo, Nagoya, Osaka. Kawasaki, Kanagawa. RELEVANCE: multi-site groups make one equipment decision and repeat it, which turns a single scanner sale into a fleet order. They also have a procurement function, so the conversation belongs at head office rather than at a clinic. Lead product: SonoAir 70 VET + SonoEye P5 VET (cart tier not addressable — see decision D-2).</t>
        </is>
      </c>
      <c r="I5" s="113" t="inlineStr">
        <is>
          <t>4 hospitals: Kawasaki (HQ), Tokyo, Nagoya, Osaka</t>
        </is>
      </c>
      <c r="J5" s="113" t="inlineStr">
        <is>
          <t>Kawasaki, Kanagawa</t>
        </is>
      </c>
      <c r="K5" s="46" t="inlineStr">
        <is>
          <t>Enquiry form at jarmec.jp/inquiry</t>
        </is>
      </c>
      <c r="L5" s="47" t="inlineStr">
        <is>
          <t>https://www.jarmec.jp</t>
        </is>
      </c>
      <c r="M5" s="113" t="inlineStr">
        <is>
          <t>Not published — enquiry form jarmec.jp/inquiry</t>
        </is>
      </c>
      <c r="N5" s="113" t="inlineStr">
        <is>
          <t>B — VERIFIED PARTIAL (site re-fetched 30 Jul 2026; enquiry form only, no direct email published)</t>
        </is>
      </c>
      <c r="O5" s="113" t="inlineStr">
        <is>
          <t>The highest-influence imaging site in the largest market. A listed referral group with a diagnostic imaging department, taking cases referred from roughly a third of Japan's primary clinics. What their imaging department uses is seen by thousands of referring vets. Rank 10 on the Top 10 tab.</t>
        </is>
      </c>
      <c r="P5" s="113" t="inlineStr">
        <is>
          <t>SonoAir 70 VET + SonoEye P5 VET (cart tier not addressable — see decision D-2)</t>
        </is>
      </c>
      <c r="Q5" s="48" t="inlineStr">
        <is>
          <t>P1 — engage now</t>
        </is>
      </c>
      <c r="R5" s="58" t="inlineStr">
        <is>
          <t>HIGH once the channel exists — real budget and fleet potential, but no invoice until MAFF registration, a Japanese MAH and NVAL notification are in place. Engage now for relationship and evaluation.</t>
        </is>
      </c>
      <c r="S5" s="113" t="inlineStr">
        <is>
          <t>H-Ref</t>
        </is>
      </c>
      <c r="T5" s="113" t="inlineStr">
        <is>
          <t>Verified — jarmec.jp re-fetched 30 Jul 2026</t>
        </is>
      </c>
      <c r="U5" s="56" t="inlineStr">
        <is>
          <t>日本動物高度医療センター 川崎本院 (JARMeC Kawasaki): an introduction to your imaging department</t>
        </is>
      </c>
      <c r="V5" s="50" t="inlineStr">
        <is>
          <t>Dear 日本動物高度医療センター 川崎本院 (JARMeC Kawasaki) team,
My name is Casper Tan, Senior Regional Sales Manager at AstraMed Healthcare, a subsidiary of CHISON Medical Technologies. I look after CHISON veterinary ultrasound in your market.
JARMeC's imaging department is seen, indirectly, by every clinic that refers to you, which is a large part of Japanese small-animal practice.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(cart tier not addressable, see decision D-2).
Could I be introduced to the diagnostic imaging department (画像診断科) for a conversation about an evaluation placement?
Kind regards,
Casper Tan
Senior Regional Sales Manager, AstraMed Healthcare
CHISON veterinary ultrasound (Singapore · Japan · South Korea · Taiwan)
casper@astramed.sg</t>
        </is>
      </c>
    </row>
    <row r="6" ht="165" customHeight="1" s="114">
      <c r="A6" s="113" t="n">
        <v>2</v>
      </c>
      <c r="B6" s="41" t="inlineStr">
        <is>
          <t>日本動物高度医療センター 東京病院 (JARMeC Tokyo)</t>
        </is>
      </c>
      <c r="C6" s="113" t="inlineStr">
        <is>
          <t>Advanced-referral hospital (group site)</t>
        </is>
      </c>
      <c r="D6" s="42" t="inlineStr">
        <is>
          <t>Not started</t>
        </is>
      </c>
      <c r="E6" s="43" t="n"/>
      <c r="F6" s="44" t="n"/>
      <c r="G6" s="45" t="n"/>
      <c r="H6" s="46" t="inlineStr">
        <is>
          <t>Advanced-referral hospital (group site). 1 of 4 group hospitals. Adachi-ku, Tokyo. RELEVANCE: multi-site groups make one equipment decision and repeat it, which turns a single scanner sale into a fleet order. They also have a procurement function, so the conversation belongs at head office rather than at a clinic. Lead product: SonoAir 70 VET + SonoEye P5 VET.</t>
        </is>
      </c>
      <c r="I6" s="113" t="inlineStr">
        <is>
          <t>1 of 4 group hospitals</t>
        </is>
      </c>
      <c r="J6" s="113" t="inlineStr">
        <is>
          <t>Adachi-ku, Tokyo</t>
        </is>
      </c>
      <c r="K6" s="46" t="inlineStr">
        <is>
          <t>Enquiry form at jarmec.jp/inquiry</t>
        </is>
      </c>
      <c r="L6" s="47" t="inlineStr">
        <is>
          <t>https://www.jarmec.jp/tokyo</t>
        </is>
      </c>
      <c r="M6" s="113" t="inlineStr">
        <is>
          <t>Not published — enquiry form jarmec.jp/inquiry</t>
        </is>
      </c>
      <c r="N6" s="113" t="inlineStr">
        <is>
          <t>B — VERIFIED PARTIAL (group site fetched 30 Jul 2026)</t>
        </is>
      </c>
      <c r="O6" s="113" t="inlineStr">
        <is>
          <t>GROUP OVERLAP: same organisation as the Kawasaki row. Do not open a separate approach — this row exists so the Tokyo site is visible when the group conversation reaches rollout.</t>
        </is>
      </c>
      <c r="P6" s="113" t="inlineStr">
        <is>
          <t>SonoAir 70 VET + SonoEye P5 VET</t>
        </is>
      </c>
      <c r="Q6" s="51" t="inlineStr">
        <is>
          <t>P2</t>
        </is>
      </c>
      <c r="R6" s="52" t="inlineStr">
        <is>
          <t>MEDIUM — genuine buyer when the channel opens; no invoice until MAFF registration, a Japanese MAH and NVAL notification are in place. Evaluation and relationship work is legitimate now.</t>
        </is>
      </c>
      <c r="S6" s="113" t="inlineStr">
        <is>
          <t>H-Ref</t>
        </is>
      </c>
      <c r="T6" s="113" t="inlineStr">
        <is>
          <t>Verified — jarmec.jp fetched 30 Jul 2026</t>
        </is>
      </c>
      <c r="U6" s="56" t="inlineStr">
        <is>
          <t>日本動物高度医療センター 東京病院 (JARMeC Tokyo): part of one group conversation, not four</t>
        </is>
      </c>
      <c r="V6" s="50" t="inlineStr">
        <is>
          <t>Dear 日本動物高度医療センター 東京病院 (JARMeC Tokyo) team,
My name is Casper Tan, Senior Regional Sales Manager at AstraMed Healthcare, a subsidiary of CHISON Medical Technologies. I look after CHISON veterinary ultrasound in your market.
I am already in contact with the Kawasaki head office, so this is not a separate approach, I would rather one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If the Tokyo hospital should be involved in an evaluation, could you tell me who to include?
Kind regards,
Casper Tan
Senior Regional Sales Manager, AstraMed Healthcare
CHISON veterinary ultrasound (Singapore · Japan · South Korea · Taiwan)
casper@astramed.sg</t>
        </is>
      </c>
    </row>
    <row r="7" ht="165" customHeight="1" s="114">
      <c r="A7" s="113" t="n">
        <v>3</v>
      </c>
      <c r="B7" s="41" t="inlineStr">
        <is>
          <t>日本動物高度医療センター 名古屋病院 (JARMeC Nagoya)</t>
        </is>
      </c>
      <c r="C7" s="113" t="inlineStr">
        <is>
          <t>Advanced-referral hospital (group site)</t>
        </is>
      </c>
      <c r="D7" s="42" t="inlineStr">
        <is>
          <t>Not started</t>
        </is>
      </c>
      <c r="E7" s="43" t="n"/>
      <c r="F7" s="44" t="n"/>
      <c r="G7" s="45" t="n"/>
      <c r="H7" s="46" t="inlineStr">
        <is>
          <t>Advanced-referral hospital (group site). 1 of 4 group hospitals. Nagoya, Aichi. RELEVANCE: multi-site groups make one equipment decision and repeat it, which turns a single scanner sale into a fleet order. They also have a procurement function, so the conversation belongs at head office rather than at a clinic. Lead product: SonoAir 70 VET.</t>
        </is>
      </c>
      <c r="I7" s="113" t="inlineStr">
        <is>
          <t>1 of 4 group hospitals</t>
        </is>
      </c>
      <c r="J7" s="113" t="inlineStr">
        <is>
          <t>Nagoya, Aichi</t>
        </is>
      </c>
      <c r="K7" s="46" t="inlineStr">
        <is>
          <t>Enquiry form at jarmec.jp/inquiry</t>
        </is>
      </c>
      <c r="L7" s="47" t="inlineStr">
        <is>
          <t>https://www.jarmec.jp</t>
        </is>
      </c>
      <c r="M7" s="113" t="inlineStr">
        <is>
          <t>Not published — enquiry form jarmec.jp/inquiry</t>
        </is>
      </c>
      <c r="N7" s="113" t="inlineStr">
        <is>
          <t>B — VERIFIED PARTIAL (group site fetched 30 Jul 2026)</t>
        </is>
      </c>
      <c r="O7" s="113" t="inlineStr">
        <is>
          <t>GROUP OVERLAP with the Kawasaki row. Tokai coverage; relevant at rollout, not at first contact.</t>
        </is>
      </c>
      <c r="P7" s="113" t="inlineStr">
        <is>
          <t>SonoAir 70 VET</t>
        </is>
      </c>
      <c r="Q7" s="57" t="inlineStr">
        <is>
          <t>P3</t>
        </is>
      </c>
      <c r="R7" s="54" t="inlineStr">
        <is>
          <t>LOW-MEDIUM — long tail, and no invoice until MAFF registration, a Japanese MAH and NVAL notification are in place. Build the relationship cheaply; do not spend travel budget yet.</t>
        </is>
      </c>
      <c r="S7" s="113" t="inlineStr">
        <is>
          <t>H-Ref</t>
        </is>
      </c>
      <c r="T7" s="113" t="inlineStr">
        <is>
          <t>Verified — jarmec.jp fetched 30 Jul 2026</t>
        </is>
      </c>
      <c r="U7" s="56" t="inlineStr">
        <is>
          <t>日本動物高度医療センター 名古屋病院 (JARMeC Nagoya): part of one group conversation, not four</t>
        </is>
      </c>
      <c r="V7" s="50" t="inlineStr">
        <is>
          <t>Dear 日本動物高度医療センター 名古屋病院 (JARMeC Nagoya) team,
My name is Casper Tan, Senior Regional Sales Manager at AstraMed Healthcare, a subsidiary of CHISON Medical Technologies. I look after CHISON veterinary ultrasound in your market.
I am in contact with the Kawasaki head office and would rather run one group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If the Nagoya hospital should be part of an evaluation, could you tell me who to include?
Kind regards,
Casper Tan
Senior Regional Sales Manager, AstraMed Healthcare
CHISON veterinary ultrasound (Singapore · Japan · South Korea · Taiwan)
casper@astramed.sg</t>
        </is>
      </c>
    </row>
    <row r="8" ht="165" customHeight="1" s="114">
      <c r="A8" s="113" t="n">
        <v>4</v>
      </c>
      <c r="B8" s="41" t="inlineStr">
        <is>
          <t>日本動物高度医療センター 大阪病院 (JARMeC Osaka)</t>
        </is>
      </c>
      <c r="C8" s="113" t="inlineStr">
        <is>
          <t>Advanced-referral hospital (group site)</t>
        </is>
      </c>
      <c r="D8" s="42" t="inlineStr">
        <is>
          <t>Not started</t>
        </is>
      </c>
      <c r="E8" s="43" t="n"/>
      <c r="F8" s="44" t="n"/>
      <c r="G8" s="45" t="n"/>
      <c r="H8" s="46" t="inlineStr">
        <is>
          <t>Advanced-referral hospital (group site). 1 of 4 group hospitals. Osaka. RELEVANCE: multi-site groups make one equipment decision and repeat it, which turns a single scanner sale into a fleet order. They also have a procurement function, so the conversation belongs at head office rather than at a clinic. Lead product: SonoAir 70 VET.</t>
        </is>
      </c>
      <c r="I8" s="113" t="inlineStr">
        <is>
          <t>1 of 4 group hospitals</t>
        </is>
      </c>
      <c r="J8" s="113" t="inlineStr">
        <is>
          <t>Osaka</t>
        </is>
      </c>
      <c r="K8" s="46" t="inlineStr">
        <is>
          <t>Enquiry form at jarmec.jp/inquiry</t>
        </is>
      </c>
      <c r="L8" s="47" t="inlineStr">
        <is>
          <t>https://www.jarmec.jp</t>
        </is>
      </c>
      <c r="M8" s="113" t="inlineStr">
        <is>
          <t>Not published — enquiry form jarmec.jp/inquiry</t>
        </is>
      </c>
      <c r="N8" s="113" t="inlineStr">
        <is>
          <t>B — VERIFIED PARTIAL (group site fetched 30 Jul 2026)</t>
        </is>
      </c>
      <c r="O8" s="113" t="inlineStr">
        <is>
          <t>GROUP OVERLAP with the Kawasaki row. Kansai coverage; relevant at rollout.</t>
        </is>
      </c>
      <c r="P8" s="113" t="inlineStr">
        <is>
          <t>SonoAir 70 VET</t>
        </is>
      </c>
      <c r="Q8" s="57" t="inlineStr">
        <is>
          <t>P3</t>
        </is>
      </c>
      <c r="R8" s="54" t="inlineStr">
        <is>
          <t>LOW-MEDIUM — long tail, and no invoice until MAFF registration, a Japanese MAH and NVAL notification are in place. Build the relationship cheaply; do not spend travel budget yet.</t>
        </is>
      </c>
      <c r="S8" s="113" t="inlineStr">
        <is>
          <t>H-Ref</t>
        </is>
      </c>
      <c r="T8" s="113" t="inlineStr">
        <is>
          <t>Verified — jarmec.jp fetched 30 Jul 2026</t>
        </is>
      </c>
      <c r="U8" s="56" t="inlineStr">
        <is>
          <t>日本動物高度医療センター 大阪病院 (JARMeC Osaka): part of one group conversation, not four</t>
        </is>
      </c>
      <c r="V8" s="50" t="inlineStr">
        <is>
          <t>Dear 日本動物高度医療センター 大阪病院 (JARMeC Osaka) team,
My name is Casper Tan, Senior Regional Sales Manager at AstraMed Healthcare, a subsidiary of CHISON Medical Technologies. I look after CHISON veterinary ultrasound in your market.
I am in contact with the Kawasaki head office and would rather run one group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If the Osaka hospital should be part of an evaluation, could you tell me who to include?
Kind regards,
Casper Tan
Senior Regional Sales Manager, AstraMed Healthcare
CHISON veterinary ultrasound (Singapore · Japan · South Korea · Taiwan)
casper@astramed.sg</t>
        </is>
      </c>
    </row>
    <row r="9" ht="165" customHeight="1" s="114">
      <c r="A9" s="113" t="n">
        <v>5</v>
      </c>
      <c r="B9" s="41" t="inlineStr">
        <is>
          <t>イオンペット／ペテモ動物医療センター (AEON Pet / PETEMO)</t>
        </is>
      </c>
      <c r="C9" s="113" t="inlineStr">
        <is>
          <t>Mall-based veterinary network — Japan's largest by site count</t>
        </is>
      </c>
      <c r="D9" s="42" t="inlineStr">
        <is>
          <t>Not started</t>
        </is>
      </c>
      <c r="E9" s="43" t="n"/>
      <c r="F9" s="44" t="n"/>
      <c r="G9" s="45" t="n"/>
      <c r="H9" s="46" t="inlineStr">
        <is>
          <t>Mall-based veterinary network — Japan's largest by site count. Dozens of centres nationwide — count NOT confirmed. Chiba (HQ); nationwide. RELEVANCE: multi-site groups make one equipment decision and repeat it, which turns a single scanner sale into a fleet order. They also have a procurement function, so the conversation belongs at head office rather than at a clinic. Lead product: SonoEye P3 VET, one per centre.</t>
        </is>
      </c>
      <c r="I9" s="113" t="inlineStr">
        <is>
          <t>Dozens of centres nationwide — count NOT confirmed</t>
        </is>
      </c>
      <c r="J9" s="113" t="inlineStr">
        <is>
          <t>Chiba (HQ); nationwide</t>
        </is>
      </c>
      <c r="K9" s="46" t="inlineStr">
        <is>
          <t>NOT CONFIRMED — via aeonpet.com</t>
        </is>
      </c>
      <c r="L9" s="47" t="inlineStr">
        <is>
          <t>https://www.aeonpet.com</t>
        </is>
      </c>
      <c r="M9" s="113" t="inlineStr">
        <is>
          <t>Not published — via aeonpet.com</t>
        </is>
      </c>
      <c r="N9" s="113" t="inlineStr">
        <is>
          <t>D — NOT VERIFIED (search-sourced; site count and corporate structure NOT confirmed — flagged as unverified on the Verification tab)</t>
        </is>
      </c>
      <c r="O9" s="113" t="inlineStr">
        <is>
          <t>Potentially the highest-volume single agreement in Japan: one head-office decision placing a handheld in every centre. Held off the Top 10 precisely because nothing about it has been verified. Confirm the corporate structure and who actually buys equipment before investing time.</t>
        </is>
      </c>
      <c r="P9" s="113" t="inlineStr">
        <is>
          <t>SonoEye P3 VET, one per centre</t>
        </is>
      </c>
      <c r="Q9" s="51" t="inlineStr">
        <is>
          <t>P2</t>
        </is>
      </c>
      <c r="R9" s="52" t="inlineStr">
        <is>
          <t>MEDIUM — genuine buyer when the channel opens; no invoice until MAFF registration, a Japanese MAH and NVAL notification are in place. Evaluation and relationship work is legitimate now.</t>
        </is>
      </c>
      <c r="S9" s="113" t="inlineStr">
        <is>
          <t>H-Fleet</t>
        </is>
      </c>
      <c r="T9" s="113" t="inlineStr">
        <is>
          <t>Carried from CHISON_Market_Development_Target_List_v2 (merged into v6, 6 Aug 2026) — NOT verified</t>
        </is>
      </c>
      <c r="U9" s="56" t="inlineStr">
        <is>
          <t>イオンペット／ペテモ動物医療センター (AEON Pet / PETEMO): one decision, every centre</t>
        </is>
      </c>
      <c r="V9" s="50" t="inlineStr">
        <is>
          <t>Dear イオンペット／ペテモ動物医療センター (AEON Pet / PETEMO) team,
My name is Casper Tan, Senior Regional Sales Manager at AstraMed Healthcare, a subsidiary of CHISON Medical Technologies. I look after CHISON veterinary ultrasound in your market.
A mall-format network buys equipment once and rolls it out, which is a very different conversation from selling one scanner to one clinic.
To be simple about where we are: CHISON is completing the MAFF foreign-manufacturer route and a Japanese marketing authorisation holder, so this note is about the relationship and an evaluation, not an order.
The configuration I would put in front of you is SonoEye P3 VET, one per centre.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0" ht="165" customHeight="1" s="114">
      <c r="A10" s="113" t="n">
        <v>6</v>
      </c>
      <c r="B10" s="41" t="inlineStr">
        <is>
          <t>日本小動物医療センター (Japan Small Animal Medical Center)</t>
        </is>
      </c>
      <c r="C10" s="113" t="inlineStr">
        <is>
          <t>Major referral centre</t>
        </is>
      </c>
      <c r="D10" s="42" t="inlineStr">
        <is>
          <t>Not started</t>
        </is>
      </c>
      <c r="E10" s="43" t="n"/>
      <c r="F10" s="44" t="n"/>
      <c r="G10" s="45" t="n"/>
      <c r="H10" s="113" t="inlineStr">
        <is>
          <t>Major referral centre. 1. Tokorozawa, Saitama.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t>
        </is>
      </c>
      <c r="I10" s="113" t="inlineStr">
        <is>
          <t>1</t>
        </is>
      </c>
      <c r="J10" s="113" t="inlineStr">
        <is>
          <t>Tokorozawa, Saitama</t>
        </is>
      </c>
      <c r="K10" s="113" t="inlineStr">
        <is>
          <t>NOT CONFIRMED</t>
        </is>
      </c>
      <c r="L10" s="113" t="inlineStr">
        <is>
          <t>NOT CONFIRMED — search 日本小動物医療センター</t>
        </is>
      </c>
      <c r="M10" s="113" t="inlineStr">
        <is>
          <t>NOT CONFIRMED</t>
        </is>
      </c>
      <c r="N10" s="113" t="inlineStr">
        <is>
          <t>D — NOT VERIFIED (name, city and domain carried from the Market Development list; page not opened by us)</t>
        </is>
      </c>
      <c r="O10" s="113" t="inlineStr">
        <is>
          <t>Kanto referral flagship outside the JARMeC group — useful as an independent counterweight and a second reference site in the same region.</t>
        </is>
      </c>
      <c r="P10" s="113" t="inlineStr">
        <is>
          <t>SonoAir 70 VET + SonoEye P5 VET</t>
        </is>
      </c>
      <c r="Q10" s="51" t="inlineStr">
        <is>
          <t>P2</t>
        </is>
      </c>
      <c r="R10" s="52" t="inlineStr">
        <is>
          <t>MEDIUM — genuine buyer when the channel opens; no invoice until MAFF registration, a Japanese MAH and NVAL notification are in place. Evaluation and relationship work is legitimate now.</t>
        </is>
      </c>
      <c r="S10" s="113" t="inlineStr">
        <is>
          <t>H-Ref</t>
        </is>
      </c>
      <c r="T10" s="113" t="inlineStr">
        <is>
          <t>Carried from CHISON_Market_Development_Target_List_v2 (merged into v6, 6 Aug 2026)</t>
        </is>
      </c>
      <c r="U10" s="56" t="inlineStr">
        <is>
          <t>日本小動物医療センター (Japan Small Animal Medical Center): a reference installation in Kanto</t>
        </is>
      </c>
      <c r="V10" s="50" t="inlineStr">
        <is>
          <t>Dear 日本小動物医療センター (Japan Small Animal Medical Center) team,
My name is Casper Tan, Senior Regional Sales Manager at AstraMed Healthcare, a subsidiary of CHISON Medical Technologies. I look after CHISON veterinary ultrasound in your market.
A referral centre's imaging choices are watched by the primary clinics that refer into it.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1" ht="165" customHeight="1" s="114">
      <c r="A11" s="113" t="n">
        <v>7</v>
      </c>
      <c r="B11" s="41" t="inlineStr">
        <is>
          <t>ネオ・ベッツVRセンター (NeoVets VR Center)</t>
        </is>
      </c>
      <c r="C11" s="113" t="inlineStr">
        <is>
          <t>Referral and emergency centre</t>
        </is>
      </c>
      <c r="D11" s="42" t="inlineStr">
        <is>
          <t>Not started</t>
        </is>
      </c>
      <c r="E11" s="43" t="n"/>
      <c r="F11" s="44" t="n"/>
      <c r="G11" s="45" t="n"/>
      <c r="H11" s="46" t="inlineStr">
        <is>
          <t>Referral and emergency centre. 1. Osaka. RELEVANCE: emergency work is the fastest-converting handheld use case there is. A FAST scan has to happen in seconds, the vet on shift is usually also the decision-maker, and there is no procurement layer between the demonstration and the decision. Lead product: SonoEye P3 VET + SonoAir 70 VET.</t>
        </is>
      </c>
      <c r="I11" s="113" t="inlineStr">
        <is>
          <t>1</t>
        </is>
      </c>
      <c r="J11" s="113" t="inlineStr">
        <is>
          <t>Osaka</t>
        </is>
      </c>
      <c r="K11" s="46" t="inlineStr">
        <is>
          <t>NOT CONFIRMED — via neovets.com</t>
        </is>
      </c>
      <c r="L11" s="47" t="inlineStr">
        <is>
          <t>https://www.neovets.com</t>
        </is>
      </c>
      <c r="M11" s="113" t="inlineStr">
        <is>
          <t>Not published — via neovets.com</t>
        </is>
      </c>
      <c r="N11" s="113" t="inlineStr">
        <is>
          <t>C — SITE LIVE, NOT OPENED (domain returned by search with real content; page not opened by us)</t>
        </is>
      </c>
      <c r="O11" s="113" t="inlineStr">
        <is>
          <t>Kansai referral flagship. Emergency plus referral means both the FAST-scan pitch and the imaging-quality pitch land in the same building.</t>
        </is>
      </c>
      <c r="P11" s="113" t="inlineStr">
        <is>
          <t>SonoEye P3 VET + SonoAir 70 VET</t>
        </is>
      </c>
      <c r="Q11" s="51" t="inlineStr">
        <is>
          <t>P2</t>
        </is>
      </c>
      <c r="R11" s="52" t="inlineStr">
        <is>
          <t>MEDIUM — genuine buyer when the channel opens; no invoice until MAFF registration, a Japanese MAH and NVAL notification are in place. Evaluation and relationship work is legitimate now.</t>
        </is>
      </c>
      <c r="S11" s="113" t="inlineStr">
        <is>
          <t>H-Ref</t>
        </is>
      </c>
      <c r="T11" s="113" t="inlineStr">
        <is>
          <t>Carried from CHISON_Market_Development_Target_List_v2 (merged into v6, 6 Aug 2026)</t>
        </is>
      </c>
      <c r="U11" s="56" t="inlineStr">
        <is>
          <t>ネオ・ベッツVRセンター (NeoVets VR Center): a scanner for the emergency floor</t>
        </is>
      </c>
      <c r="V11" s="50" t="inlineStr">
        <is>
          <t>Dear ネオ・ベッツVRセンター (NeoVets VR Center) team,
My name is Casper Tan, Senior Regional Sales Manager at AstraMed Healthcare, a subsidiary of CHISON Medical Technologies. I look after CHISON veterinary ultrasound in your market.
An emergency and referral centre needs a scanner that is fast to reach for, not only one that is good on a scheduled abdomen.
To be simple about where we are: CHISON is completing the MAFF foreign-manufacturer route and a Japanese marketing authorisation holder, so this note is about the relationship and an evaluation, not an order.
The configuration I would put in front of you is SonoEye P3 VET + SonoAir 70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2" ht="165" customHeight="1" s="114">
      <c r="A12" s="113" t="n">
        <v>8</v>
      </c>
      <c r="B12" s="113" t="inlineStr">
        <is>
          <t>TRVA夜間救急動物医療センター (TRVA Night Emergency)</t>
        </is>
      </c>
      <c r="C12" s="113" t="inlineStr">
        <is>
          <t>Night emergency centre</t>
        </is>
      </c>
      <c r="D12" s="42" t="inlineStr">
        <is>
          <t>Not started</t>
        </is>
      </c>
      <c r="E12" s="43" t="n"/>
      <c r="F12" s="44" t="n"/>
      <c r="G12" s="45" t="n"/>
      <c r="H12" s="46" t="inlineStr">
        <is>
          <t>Night emergency centre. 1. Setagaya, Tokyo.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2" s="113" t="inlineStr">
        <is>
          <t>1</t>
        </is>
      </c>
      <c r="J12" s="113" t="inlineStr">
        <is>
          <t>Setagaya, Tokyo</t>
        </is>
      </c>
      <c r="K12" s="46" t="inlineStr">
        <is>
          <t>NOT CONFIRMED — via trva.jp</t>
        </is>
      </c>
      <c r="L12" s="47" t="inlineStr">
        <is>
          <t>https://www.trva.jp</t>
        </is>
      </c>
      <c r="M12" s="113" t="inlineStr">
        <is>
          <t>Not published — via trva.jp</t>
        </is>
      </c>
      <c r="N12" s="113" t="inlineStr">
        <is>
          <t>C — SITE LIVE, NOT OPENED (domain returned by search with real content; page not opened by us)</t>
        </is>
      </c>
      <c r="O12" s="113" t="inlineStr">
        <is>
          <t>A pure night-emergency centre is the clearest point-of-care ultrasound showcase in Tokyo — FAST scanning is the whole job.</t>
        </is>
      </c>
      <c r="P12" s="113" t="inlineStr">
        <is>
          <t>SonoEye P3 VET</t>
        </is>
      </c>
      <c r="Q12" s="51" t="inlineStr">
        <is>
          <t>P2</t>
        </is>
      </c>
      <c r="R12" s="52" t="inlineStr">
        <is>
          <t>MEDIUM — genuine buyer when the channel opens; no invoice until MAFF registration, a Japanese MAH and NVAL notification are in place. Evaluation and relationship work is legitimate now.</t>
        </is>
      </c>
      <c r="S12" s="113" t="inlineStr">
        <is>
          <t>H-Eval</t>
        </is>
      </c>
      <c r="T12" s="113" t="inlineStr">
        <is>
          <t>Carried from CHISON_Market_Development_Target_List_v2 (merged into v6, 6 Aug 2026)</t>
        </is>
      </c>
      <c r="U12" s="50" t="inlineStr">
        <is>
          <t>TRVA夜間救急動物医療センター (TRVA Night Emergency): a FAST scanner for the night shift</t>
        </is>
      </c>
      <c r="V12" s="50" t="inlineStr">
        <is>
          <t>Dear TRVA夜間救急動物医療センター (TRVA Night Emergency) team,
My name is Casper Tan, Senior Regional Sales Manager at AstraMed Healthcare, a subsidiary of CHISON Medical Technologies. I look after CHISON veterinary ultrasound in your market.
On a night shift the scanner that gets used is the one already in your hand, not the one across the room.
To be simple about where we are: CHISON is completing the MAFF foreign-manufacturer route and a Japanese marketing authorisation holder,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3" ht="165" customHeight="1" s="114">
      <c r="A13" s="113" t="n">
        <v>9</v>
      </c>
      <c r="B13" s="113" t="inlineStr">
        <is>
          <t>DVMsどうぶつ医療センター横浜</t>
        </is>
      </c>
      <c r="C13" s="113" t="inlineStr">
        <is>
          <t>Referral and emergency centre</t>
        </is>
      </c>
      <c r="D13" s="42" t="inlineStr">
        <is>
          <t>Not started</t>
        </is>
      </c>
      <c r="E13" s="43" t="n"/>
      <c r="F13" s="44" t="n"/>
      <c r="G13" s="45" t="n"/>
      <c r="H13" s="46" t="inlineStr">
        <is>
          <t>Referral and emergency centre. 1. Yokohama, Kanagawa.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13" s="113" t="inlineStr">
        <is>
          <t>1</t>
        </is>
      </c>
      <c r="J13" s="113" t="inlineStr">
        <is>
          <t>Yokohama, Kanagawa</t>
        </is>
      </c>
      <c r="K13" s="46" t="inlineStr">
        <is>
          <t>NOT CONFIRMED — via dvms.jp</t>
        </is>
      </c>
      <c r="L13" s="47" t="inlineStr">
        <is>
          <t>https://www.dvms.jp</t>
        </is>
      </c>
      <c r="M13" s="113" t="inlineStr">
        <is>
          <t>Not published — via dvms.jp</t>
        </is>
      </c>
      <c r="N13" s="113" t="inlineStr">
        <is>
          <t>C — SITE LIVE, NOT OPENED (domain returned by search with real content; page not opened by us)</t>
        </is>
      </c>
      <c r="O13" s="113" t="inlineStr">
        <is>
          <t>Kanagawa flagship, in the same prefecture as JARMeC Kawasaki and Arrow Medical — a tight cluster worth working in one trip.</t>
        </is>
      </c>
      <c r="P13" s="113" t="inlineStr">
        <is>
          <t>SonoAir 70 VET + SonoEye P3 VET</t>
        </is>
      </c>
      <c r="Q13" s="51" t="inlineStr">
        <is>
          <t>P2</t>
        </is>
      </c>
      <c r="R13" s="52" t="inlineStr">
        <is>
          <t>MEDIUM — genuine buyer when the channel opens; no invoice until MAFF registration, a Japanese MAH and NVAL notification are in place. Evaluation and relationship work is legitimate now.</t>
        </is>
      </c>
      <c r="S13" s="113" t="inlineStr">
        <is>
          <t>H-Ref</t>
        </is>
      </c>
      <c r="T13" s="113" t="inlineStr">
        <is>
          <t>Carried from CHISON_Market_Development_Target_List_v2 (merged into v6, 6 Aug 2026) · v11 CHECK 27 Sep 2026: dvms.jp did not resolve in DNS; the site may have moved or closed, confirm before relying on it.</t>
        </is>
      </c>
      <c r="U13" s="50" t="inlineStr">
        <is>
          <t>DVMsどうぶつ医療センター横浜: an evaluation at your Yokohama centre</t>
        </is>
      </c>
      <c r="V13" s="50" t="inlineStr">
        <is>
          <t>Dear DVMsどうぶつ医療センター横浜 team,
My name is Casper Tan, Senior Regional Sales Manager at AstraMed Healthcare, a subsidiary of CHISON Medical Technologies. I look after CHISON veterinary ultrasound in your market.
Yokohama has an unusually dense concentration of referral work, and imaging decisions there are visible across the whole Kanagawa clinic base.
To be simple about where we are: CHISON is completing the MAFF foreign-manufacturer route and a Japanese marketing authorisation holder, so this note is about the relationship and an evaluation, not an order.
The configuration I would put in front of you is SonoAir 70 VET +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4" ht="165" customHeight="1" s="114">
      <c r="A14" s="113" t="n">
        <v>10</v>
      </c>
      <c r="B14" s="41" t="inlineStr">
        <is>
          <t>苅谷動物病院グループ (Kariya Animal Hospital Group)</t>
        </is>
      </c>
      <c r="C14" s="113" t="inlineStr">
        <is>
          <t>Multi-site hospital group</t>
        </is>
      </c>
      <c r="D14" s="42" t="inlineStr">
        <is>
          <t>Not started</t>
        </is>
      </c>
      <c r="E14" s="43" t="n"/>
      <c r="F14" s="44" t="n"/>
      <c r="G14" s="45" t="n"/>
      <c r="H14" s="46" t="inlineStr">
        <is>
          <t>Multi-site hospital group. Multiple sites — count NOT confirmed. Koto-ku, Tokyo. RELEVANCE: multi-site groups make one equipment decision and repeat it, which turns a single scanner sale into a fleet order. They also have a procurement function, so the conversation belongs at head office rather than at a clinic. Lead product: SonoEye P3 VET per site.</t>
        </is>
      </c>
      <c r="I14" s="113" t="inlineStr">
        <is>
          <t>Multiple sites — count NOT confirmed</t>
        </is>
      </c>
      <c r="J14" s="113" t="inlineStr">
        <is>
          <t>Koto-ku, Tokyo</t>
        </is>
      </c>
      <c r="K14" s="46" t="inlineStr">
        <is>
          <t>NOT CONFIRMED — via kariya.co.jp</t>
        </is>
      </c>
      <c r="L14" s="47" t="inlineStr">
        <is>
          <t>https://www.kariya.co.jp</t>
        </is>
      </c>
      <c r="M14" s="113" t="inlineStr">
        <is>
          <t>Not published — via kariya.co.jp</t>
        </is>
      </c>
      <c r="N14" s="113" t="inlineStr">
        <is>
          <t>C — SITE LIVE, NOT OPENED (domain returned by search with real content; page not opened by us)</t>
        </is>
      </c>
      <c r="O14" s="113" t="inlineStr">
        <is>
          <t>Historic Tokyo group. Multi-site means one standardisation decision rather than several — but confirm the site count before framing it as a fleet conversation.</t>
        </is>
      </c>
      <c r="P14" s="113" t="inlineStr">
        <is>
          <t>SonoEye P3 VET per site</t>
        </is>
      </c>
      <c r="Q14" s="51" t="inlineStr">
        <is>
          <t>P2</t>
        </is>
      </c>
      <c r="R14" s="52" t="inlineStr">
        <is>
          <t>MEDIUM — genuine buyer when the channel opens; no invoice until MAFF registration, a Japanese MAH and NVAL notification are in place. Evaluation and relationship work is legitimate now.</t>
        </is>
      </c>
      <c r="S14" s="113" t="inlineStr">
        <is>
          <t>H-Fleet</t>
        </is>
      </c>
      <c r="T14" s="113" t="inlineStr">
        <is>
          <t>Carried from CHISON_Market_Development_Target_List_v2 (merged into v6, 6 Aug 2026)</t>
        </is>
      </c>
      <c r="U14" s="56" t="inlineStr">
        <is>
          <t>苅谷動物病院グループ (Kariya Animal Hospital Group): one handheld standard across your sites</t>
        </is>
      </c>
      <c r="V14" s="50" t="inlineStr">
        <is>
          <t>Dear 苅谷動物病院グループ (Kariya Animal Hospital Group) team,
My name is Casper Tan, Senior Regional Sales Manager at AstraMed Healthcare, a subsidiary of CHISON Medical Technologies. I look after CHISON veterinary ultrasound in your market.
A group that has grown across Tokyo tends to standardise equipment rather than let each site choose separately.
To be simple about where we are: CHISON is completing the MAFF foreign-manufacturer route and a Japanese marketing authorisation holder,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5" ht="165" customHeight="1" s="114">
      <c r="A15" s="113" t="n">
        <v>11</v>
      </c>
      <c r="B15" s="41" t="inlineStr">
        <is>
          <t>ダクタリ動物病院 (Daktari Animal Hospital, Tokyo Medical Center)</t>
        </is>
      </c>
      <c r="C15" s="113" t="inlineStr">
        <is>
          <t>Hospital group with advanced imaging</t>
        </is>
      </c>
      <c r="D15" s="42" t="inlineStr">
        <is>
          <t>Not started</t>
        </is>
      </c>
      <c r="E15" s="43" t="n"/>
      <c r="F15" s="44" t="n"/>
      <c r="G15" s="45" t="n"/>
      <c r="H15" s="46" t="inlineStr">
        <is>
          <t>Hospital group with advanced imaging. Tokyo and Kyoto. Tokyo / Kyoto. RELEVANCE: multi-site groups make one equipment decision and repeat it, which turns a single scanner sale into a fleet order. They also have a procurement function, so the conversation belongs at head office rather than at a clinic. Lead product: SonoAir 70 VET (image-quality comparison) + SonoEye P5 VET.</t>
        </is>
      </c>
      <c r="I15" s="113" t="inlineStr">
        <is>
          <t>Tokyo and Kyoto</t>
        </is>
      </c>
      <c r="J15" s="113" t="inlineStr">
        <is>
          <t>Tokyo / Kyoto</t>
        </is>
      </c>
      <c r="K15" s="46" t="inlineStr">
        <is>
          <t>NOT CONFIRMED — via daktari.gr.jp</t>
        </is>
      </c>
      <c r="L15" s="47" t="inlineStr">
        <is>
          <t>https://www.daktari.gr.jp</t>
        </is>
      </c>
      <c r="M15" s="113" t="inlineStr">
        <is>
          <t>Not published — via daktari.gr.jp</t>
        </is>
      </c>
      <c r="N15" s="113" t="inlineStr">
        <is>
          <t>C — SITE LIVE, NOT OPENED (domain returned by search with real content; page not opened by us)</t>
        </is>
      </c>
      <c r="O15" s="113" t="inlineStr">
        <is>
          <t>Recorded as using Canon ultrasound, which makes them an experienced buyer who will judge on image quality rather than on brand. Expect the 'why not domestic' objection immediately — prepare that answer.</t>
        </is>
      </c>
      <c r="P15" s="113" t="inlineStr">
        <is>
          <t>SonoAir 70 VET (image-quality comparison) + SonoEye P5 VET</t>
        </is>
      </c>
      <c r="Q15" s="51" t="inlineStr">
        <is>
          <t>P2</t>
        </is>
      </c>
      <c r="R15" s="52" t="inlineStr">
        <is>
          <t>MEDIUM — genuine buyer when the channel opens; no invoice until MAFF registration, a Japanese MAH and NVAL notification are in place. Evaluation and relationship work is legitimate now.</t>
        </is>
      </c>
      <c r="S15" s="113" t="inlineStr">
        <is>
          <t>H-Ref</t>
        </is>
      </c>
      <c r="T15" s="113" t="inlineStr">
        <is>
          <t>Carried from CHISON_Market_Development_Target_List_v2 (merged into v6, 6 Aug 2026)</t>
        </is>
      </c>
      <c r="U15" s="56" t="inlineStr">
        <is>
          <t>ダクタリ動物病院 (Daktari Animal Hospital, Tokyo Medical Center): a side-by-side image comparison</t>
        </is>
      </c>
      <c r="V15" s="50" t="inlineStr">
        <is>
          <t>Dear ダクタリ動物病院 (Daktari Animal Hospital, Tokyo Medical Center) team,
My name is Casper Tan, Senior Regional Sales Manager at AstraMed Healthcare, a subsidiary of CHISON Medical Technologies. I look after CHISON veterinary ultrasound in your market.
You already work with a premium ultrasound platform, so I am not going to argue about brands, I would rather you compared images.
To be simple about where we are: CHISON is completing the MAFF foreign-manufacturer route and a Japanese marketing authorisation holder, so this note is about the relationship and an evaluation, not an order.
The configuration I would put in front of you is SonoAir 70 VET (image-quality comparison)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6" ht="165" customHeight="1" s="114">
      <c r="A16" s="113" t="n">
        <v>12</v>
      </c>
      <c r="B16" s="41" t="inlineStr">
        <is>
          <t>松波動物病院メディカルセンター (Matsunami Animal Hospital Medical Center)</t>
        </is>
      </c>
      <c r="C16" s="113" t="inlineStr">
        <is>
          <t>Large hospital with retail operation</t>
        </is>
      </c>
      <c r="D16" s="42" t="inlineStr">
        <is>
          <t>Not started</t>
        </is>
      </c>
      <c r="E16" s="43" t="n"/>
      <c r="F16" s="44" t="n"/>
      <c r="G16" s="45" t="n"/>
      <c r="H16" s="113" t="inlineStr">
        <is>
          <t>Large hospital with retail operation. 1 large centre. Nagoya, Aichi.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SonoAir 70 VET.</t>
        </is>
      </c>
      <c r="I16" s="113" t="inlineStr">
        <is>
          <t>1 large centre</t>
        </is>
      </c>
      <c r="J16" s="113" t="inlineStr">
        <is>
          <t>Nagoya, Aichi</t>
        </is>
      </c>
      <c r="K16" s="113" t="inlineStr">
        <is>
          <t>NOT CONFIRMED</t>
        </is>
      </c>
      <c r="L16" s="113" t="inlineStr">
        <is>
          <t>NOT CONFIRMED — search 松波動物病院</t>
        </is>
      </c>
      <c r="M16" s="113" t="inlineStr">
        <is>
          <t>NOT CONFIRMED</t>
        </is>
      </c>
      <c r="N16" s="113" t="inlineStr">
        <is>
          <t>D — NOT VERIFIED (name, city and domain carried from the Market Development list; page not opened by us)</t>
        </is>
      </c>
      <c r="O16" s="113" t="inlineStr">
        <is>
          <t>Tokai flagship. Large single-site hospitals buy on clinical argument rather than procurement process, which shortens the cycle.</t>
        </is>
      </c>
      <c r="P16" s="113" t="inlineStr">
        <is>
          <t>SonoEye P3 VET + SonoAir 70 VET</t>
        </is>
      </c>
      <c r="Q16" s="57" t="inlineStr">
        <is>
          <t>P3</t>
        </is>
      </c>
      <c r="R16" s="54" t="inlineStr">
        <is>
          <t>LOW-MEDIUM — long tail, and no invoice until MAFF registration, a Japanese MAH and NVAL notification are in place. Build the relationship cheaply; do not spend travel budget yet.</t>
        </is>
      </c>
      <c r="S16" s="113" t="inlineStr">
        <is>
          <t>H-Eval</t>
        </is>
      </c>
      <c r="T16" s="113" t="inlineStr">
        <is>
          <t>Carried from CHISON_Market_Development_Target_List_v2 (merged into v6, 6 Aug 2026)</t>
        </is>
      </c>
      <c r="U16" s="56" t="inlineStr">
        <is>
          <t>松波動物病院メディカルセンター (Matsunami Animal Hospital Medical Center): an evaluation unit in Nagoya</t>
        </is>
      </c>
      <c r="V16" s="50" t="inlineStr">
        <is>
          <t>Dear 松波動物病院メディカルセンター (Matsunami Animal Hospital Medical Center) team,
My name is Casper Tan, Senior Regional Sales Manager at AstraMed Healthcare, a subsidiary of CHISON Medical Technologies. I look after CHISON veterinary ultrasound in your market.
A single large hospital can decide on a scanner in one conversation, which is rare and worth respecting.
To be simple about where we are: CHISON is completing the MAFF foreign-manufacturer route and a Japanese marketing authorisation holder, so this note is about the relationship and an evaluation, not an order.
The configuration I would put in front of you is SonoEye P3 VET + SonoAir 70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7" ht="165" customHeight="1" s="114">
      <c r="A17" s="113" t="n">
        <v>13</v>
      </c>
      <c r="B17" s="41" t="inlineStr">
        <is>
          <t>東京大学附属動物医療センター (University of Tokyo VMC)</t>
        </is>
      </c>
      <c r="C17" s="113" t="inlineStr">
        <is>
          <t>University teaching hospital — top academic site</t>
        </is>
      </c>
      <c r="D17" s="42" t="inlineStr">
        <is>
          <t>Not started</t>
        </is>
      </c>
      <c r="E17" s="43" t="n"/>
      <c r="F17" s="44" t="n"/>
      <c r="G17" s="45" t="n"/>
      <c r="H17" s="46" t="inlineStr">
        <is>
          <t>University teaching hospital — top academic site. 1. Bunkyo-ku,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7" s="113" t="inlineStr">
        <is>
          <t>1</t>
        </is>
      </c>
      <c r="J17" s="113" t="inlineStr">
        <is>
          <t>Bunkyo-ku, Tokyo</t>
        </is>
      </c>
      <c r="K17" s="46" t="inlineStr">
        <is>
          <t>NOT CONFIRMED — via vm.a.u-tokyo.ac.jp</t>
        </is>
      </c>
      <c r="L17" s="47" t="inlineStr">
        <is>
          <t>https://www.vm.a.u-tokyo.ac.jp/vmc</t>
        </is>
      </c>
      <c r="M17" s="113" t="inlineStr">
        <is>
          <t>Not published — via the university site</t>
        </is>
      </c>
      <c r="N17" s="113" t="inlineStr">
        <is>
          <t>C — SITE LIVE, NOT OPENED (domain returned by search with real content; page not opened by us)</t>
        </is>
      </c>
      <c r="O17" s="113" t="inlineStr">
        <is>
          <t>The top academic veterinary site in Japan and rank 15 on the bench list. Long cycle, high influence, and partly cart-tier dependent — note decision D-2: no veterinary-labelled cart exists yet, so do not promise one.</t>
        </is>
      </c>
      <c r="P17" s="113" t="inlineStr">
        <is>
          <t>SonoEye P5 VET teaching units (cart tier NOT addressable — decision D-2)</t>
        </is>
      </c>
      <c r="Q17" s="51" t="inlineStr">
        <is>
          <t>P2</t>
        </is>
      </c>
      <c r="R17" s="52" t="inlineStr">
        <is>
          <t>MEDIUM — high KOL value, long cycle, and no invoice until MAFF registration, a Japanese MAH and NVAL notification are in place. No veterinary cart exists (decision D-2) — handheld teaching units only.</t>
        </is>
      </c>
      <c r="S17" s="113" t="inlineStr">
        <is>
          <t>H-Ref</t>
        </is>
      </c>
      <c r="T17" s="113" t="inlineStr">
        <is>
          <t>Carried from CHISON_Market_Development_Target_List_v2 (merged into v6, 6 Aug 2026) + Bench 11-20 rank 15</t>
        </is>
      </c>
      <c r="U17" s="56" t="inlineStr">
        <is>
          <t>東京大学附属動物医療センター (University of Tokyo VMC): an academic evaluation placement</t>
        </is>
      </c>
      <c r="V17" s="50" t="inlineStr">
        <is>
          <t>Dear 東京大学附属動物医療センター (University of Tokyo VMC) team,
My name is Casper Tan, Senior Regional Sales Manager at AstraMed Healthcare, a subsidiary of CHISON Medical Technologies. I look after CHISON veterinary ultrasound in your market.
Residents learn on whatever scanner is in the teaching hospital, and they buy that habit into practice for the next twenty years.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8" ht="165" customHeight="1" s="114">
      <c r="A18" s="113" t="n">
        <v>14</v>
      </c>
      <c r="B18" s="41" t="inlineStr">
        <is>
          <t>東京農工大学 動物医療センター (TUAT Animal Medical Center)</t>
        </is>
      </c>
      <c r="C18" s="113" t="inlineStr">
        <is>
          <t>University teaching hospital</t>
        </is>
      </c>
      <c r="D18" s="42" t="inlineStr">
        <is>
          <t>Not started</t>
        </is>
      </c>
      <c r="E18" s="43" t="n"/>
      <c r="F18" s="44" t="n"/>
      <c r="G18" s="45" t="n"/>
      <c r="H18" s="46" t="inlineStr">
        <is>
          <t>University teaching hospital. 1. Fuchu,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8" s="113" t="inlineStr">
        <is>
          <t>1</t>
        </is>
      </c>
      <c r="J18" s="113" t="inlineStr">
        <is>
          <t>Fuchu, Tokyo</t>
        </is>
      </c>
      <c r="K18" s="46" t="inlineStr">
        <is>
          <t>NOT CONFIRMED — via tuat-amc.org</t>
        </is>
      </c>
      <c r="L18" s="47" t="inlineStr">
        <is>
          <t>https://www.tuat-amc.org</t>
        </is>
      </c>
      <c r="M18" s="113" t="inlineStr">
        <is>
          <t>Not published — via tuat-amc.org</t>
        </is>
      </c>
      <c r="N18" s="113" t="inlineStr">
        <is>
          <t>C — SITE LIVE, NOT OPENED (domain returned by search with real content; page not opened by us)</t>
        </is>
      </c>
      <c r="O18" s="113" t="inlineStr">
        <is>
          <t>Leading small-animal academic centre and rank 16 on the bench list. The natural second Japanese academic account after the University of Tokyo.</t>
        </is>
      </c>
      <c r="P18" s="113" t="inlineStr">
        <is>
          <t>SonoEye P5 VET teaching units (cart tier NOT addressable — decision D-2)</t>
        </is>
      </c>
      <c r="Q18" s="51" t="inlineStr">
        <is>
          <t>P2</t>
        </is>
      </c>
      <c r="R18" s="52" t="inlineStr">
        <is>
          <t>MEDIUM — high KOL value, long cycle, and no invoice until MAFF registration, a Japanese MAH and NVAL notification are in place. No veterinary cart exists (decision D-2) — handheld teaching units only.</t>
        </is>
      </c>
      <c r="S18" s="113" t="inlineStr">
        <is>
          <t>H-Ref</t>
        </is>
      </c>
      <c r="T18" s="113" t="inlineStr">
        <is>
          <t>Carried from CHISON_Market_Development_Target_List_v2 (merged into v6, 6 Aug 2026) + Bench 11-20 rank 16</t>
        </is>
      </c>
      <c r="U18" s="56" t="inlineStr">
        <is>
          <t>東京農工大学 動物医療センター (TUAT Animal Medical Center): an academic evaluation placement</t>
        </is>
      </c>
      <c r="V18" s="50" t="inlineStr">
        <is>
          <t>Dear 東京農工大学 動物医療センター (TUAT Animal Medical Center) team,
My name is Casper Tan, Senior Regional Sales Manager at AstraMed Healthcare, a subsidiary of CHISON Medical Technologies. I look after CHISON veterinary ultrasound in your market.
TUAT trains a large share of Japan's small-animal clinicians, and teaching-room equipment shapes what they buy later.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9" ht="165" customHeight="1" s="114">
      <c r="A19" s="113" t="n">
        <v>15</v>
      </c>
      <c r="B19" s="41" t="inlineStr">
        <is>
          <t>日本獣医生命科学大学 付属動物医療センター (NVLU)</t>
        </is>
      </c>
      <c r="C19" s="113" t="inlineStr">
        <is>
          <t>University teaching hospital</t>
        </is>
      </c>
      <c r="D19" s="42" t="inlineStr">
        <is>
          <t>Not started</t>
        </is>
      </c>
      <c r="E19" s="43" t="n"/>
      <c r="F19" s="44" t="n"/>
      <c r="G19" s="45" t="n"/>
      <c r="H19" s="113" t="inlineStr">
        <is>
          <t>University teaching hospital. 1. Musashino,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9" s="113" t="inlineStr">
        <is>
          <t>1</t>
        </is>
      </c>
      <c r="J19" s="113" t="inlineStr">
        <is>
          <t>Musashino, Tokyo</t>
        </is>
      </c>
      <c r="K19" s="113" t="inlineStr">
        <is>
          <t>NOT CONFIRMED</t>
        </is>
      </c>
      <c r="L19" s="113" t="inlineStr">
        <is>
          <t>NOT CONFIRMED — search the university's 動物病院 page</t>
        </is>
      </c>
      <c r="M19" s="113" t="inlineStr">
        <is>
          <t>NOT CONFIRMED</t>
        </is>
      </c>
      <c r="N19" s="113" t="inlineStr">
        <is>
          <t>D — NOT VERIFIED (name, city and domain carried from the Market Development list; page not opened by us)</t>
        </is>
      </c>
      <c r="O19" s="113" t="inlineStr">
        <is>
          <t>Regional academic account. Lower influence than the Tokyo schools but a shorter queue, and residents carry equipment habits into practice.</t>
        </is>
      </c>
      <c r="P19" s="113" t="inlineStr">
        <is>
          <t>SonoEye P5 VET teaching units (cart tier NOT addressable — decision D-2)</t>
        </is>
      </c>
      <c r="Q19" s="57" t="inlineStr">
        <is>
          <t>P3</t>
        </is>
      </c>
      <c r="R19" s="52" t="inlineStr">
        <is>
          <t>MEDIUM — high KOL value, long cycle, and no invoice until MAFF registration, a Japanese MAH and NVAL notification are in place. No veterinary cart exists (decision D-2) — handheld teaching units only.</t>
        </is>
      </c>
      <c r="S19" s="113" t="inlineStr">
        <is>
          <t>H-Ref</t>
        </is>
      </c>
      <c r="T19" s="113" t="inlineStr">
        <is>
          <t>Carried from CHISON_Market_Development_Target_List_v2 (merged into v6, 6 Aug 2026)</t>
        </is>
      </c>
      <c r="U19" s="56" t="inlineStr">
        <is>
          <t>日本獣医生命科学大学 付属動物医療センター (NVLU): an academic evaluation placement</t>
        </is>
      </c>
      <c r="V19" s="50" t="inlineStr">
        <is>
          <t>Dear 日本獣医生命科学大学 付属動物医療センター (NVLU)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0" ht="165" customHeight="1" s="114">
      <c r="A20" s="113" t="n">
        <v>16</v>
      </c>
      <c r="B20" s="41" t="inlineStr">
        <is>
          <t>麻布大学 附属動物病院 (Azabu University)</t>
        </is>
      </c>
      <c r="C20" s="113" t="inlineStr">
        <is>
          <t>University teaching hospital</t>
        </is>
      </c>
      <c r="D20" s="42" t="inlineStr">
        <is>
          <t>Not started</t>
        </is>
      </c>
      <c r="E20" s="43" t="n"/>
      <c r="F20" s="44" t="n"/>
      <c r="G20" s="45" t="n"/>
      <c r="H20" s="113" t="inlineStr">
        <is>
          <t>University teaching hospital. 1. Sagamihara, Kanagawa.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0" s="113" t="inlineStr">
        <is>
          <t>1</t>
        </is>
      </c>
      <c r="J20" s="113" t="inlineStr">
        <is>
          <t>Sagamihara, Kanagawa</t>
        </is>
      </c>
      <c r="K20" s="113" t="inlineStr">
        <is>
          <t>NOT CONFIRMED</t>
        </is>
      </c>
      <c r="L20" s="113" t="inlineStr">
        <is>
          <t>NOT CONFIRMED — search the university's 動物病院 page</t>
        </is>
      </c>
      <c r="M20" s="113" t="inlineStr">
        <is>
          <t>NOT CONFIRMED</t>
        </is>
      </c>
      <c r="N20" s="113" t="inlineStr">
        <is>
          <t>D — NOT VERIFIED (name, city and domain carried from the Market Development list; page not opened by us)</t>
        </is>
      </c>
      <c r="O20" s="113" t="inlineStr">
        <is>
          <t>Regional academic account. Lower influence than the Tokyo schools but a shorter queue, and residents carry equipment habits into practice.</t>
        </is>
      </c>
      <c r="P20" s="113" t="inlineStr">
        <is>
          <t>SonoEye P5 VET teaching units (cart tier NOT addressable — decision D-2)</t>
        </is>
      </c>
      <c r="Q20" s="57" t="inlineStr">
        <is>
          <t>P3</t>
        </is>
      </c>
      <c r="R20" s="52" t="inlineStr">
        <is>
          <t>MEDIUM — high KOL value, long cycle, and no invoice until MAFF registration, a Japanese MAH and NVAL notification are in place. No veterinary cart exists (decision D-2) — handheld teaching units only.</t>
        </is>
      </c>
      <c r="S20" s="113" t="inlineStr">
        <is>
          <t>H-Ref</t>
        </is>
      </c>
      <c r="T20" s="113" t="inlineStr">
        <is>
          <t>Carried from CHISON_Market_Development_Target_List_v2 (merged into v6, 6 Aug 2026)</t>
        </is>
      </c>
      <c r="U20" s="56" t="inlineStr">
        <is>
          <t>麻布大学 附属動物病院 (Azabu University): an academic evaluation placement</t>
        </is>
      </c>
      <c r="V20" s="50" t="inlineStr">
        <is>
          <t>Dear 麻布大学 附属動物病院 (Azabu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1" ht="165" customHeight="1" s="114">
      <c r="A21" s="113" t="n">
        <v>17</v>
      </c>
      <c r="B21" s="41" t="inlineStr">
        <is>
          <t>北里大学 獣医学部附属動物病院 (Kitasato University)</t>
        </is>
      </c>
      <c r="C21" s="113" t="inlineStr">
        <is>
          <t>University teaching hospital</t>
        </is>
      </c>
      <c r="D21" s="42" t="inlineStr">
        <is>
          <t>Not started</t>
        </is>
      </c>
      <c r="E21" s="43" t="n"/>
      <c r="F21" s="44" t="n"/>
      <c r="G21" s="45" t="n"/>
      <c r="H21" s="113" t="inlineStr">
        <is>
          <t>University teaching hospital. 1. Towada, Aomori / Sagamihara.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1" s="113" t="inlineStr">
        <is>
          <t>1</t>
        </is>
      </c>
      <c r="J21" s="113" t="inlineStr">
        <is>
          <t>Towada, Aomori / Sagamihara</t>
        </is>
      </c>
      <c r="K21" s="113" t="inlineStr">
        <is>
          <t>NOT CONFIRMED</t>
        </is>
      </c>
      <c r="L21" s="113" t="inlineStr">
        <is>
          <t>NOT CONFIRMED — search the university's 動物病院 page</t>
        </is>
      </c>
      <c r="M21" s="113" t="inlineStr">
        <is>
          <t>NOT CONFIRMED</t>
        </is>
      </c>
      <c r="N21" s="113" t="inlineStr">
        <is>
          <t>D — NOT VERIFIED (name, city and domain carried from the Market Development list; page not opened by us)</t>
        </is>
      </c>
      <c r="O21" s="113" t="inlineStr">
        <is>
          <t>Regional academic account with production-animal strength as well as small animal — the one setting where EBit 50 VET is the lead product rather than the handheld.</t>
        </is>
      </c>
      <c r="P21" s="113" t="inlineStr">
        <is>
          <t>EBit 50 VET (bovine/equine reproduction) + SonoEye P3 VET</t>
        </is>
      </c>
      <c r="Q21" s="57" t="inlineStr">
        <is>
          <t>P3</t>
        </is>
      </c>
      <c r="R21" s="52" t="inlineStr">
        <is>
          <t>MEDIUM — high KOL value, long cycle, and no invoice until MAFF registration, a Japanese MAH and NVAL notification are in place. No veterinary cart exists (decision D-2) — handheld teaching units only.</t>
        </is>
      </c>
      <c r="S21" s="113" t="inlineStr">
        <is>
          <t>H-Ref</t>
        </is>
      </c>
      <c r="T21" s="113" t="inlineStr">
        <is>
          <t>Carried from CHISON_Market_Development_Target_List_v2 (merged into v6, 6 Aug 2026)</t>
        </is>
      </c>
      <c r="U21" s="56" t="inlineStr">
        <is>
          <t>北里大学 獣医学部附属動物病院 (Kitasato University): an academic evaluation placement</t>
        </is>
      </c>
      <c r="V21" s="50" t="inlineStr">
        <is>
          <t>Dear 北里大学 獣医学部附属動物病院 (Kitasato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2" ht="165" customHeight="1" s="114">
      <c r="A22" s="113" t="n">
        <v>18</v>
      </c>
      <c r="B22" s="41" t="inlineStr">
        <is>
          <t>酪農学園大学 附属動物医療センター (Rakuno Gakuen University)</t>
        </is>
      </c>
      <c r="C22" s="113" t="inlineStr">
        <is>
          <t>University teaching hospital</t>
        </is>
      </c>
      <c r="D22" s="42" t="inlineStr">
        <is>
          <t>Not started</t>
        </is>
      </c>
      <c r="E22" s="43" t="n"/>
      <c r="F22" s="44" t="n"/>
      <c r="G22" s="45" t="n"/>
      <c r="H22" s="113" t="inlineStr">
        <is>
          <t>University teaching hospital. 1. Ebetsu,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2" s="113" t="inlineStr">
        <is>
          <t>1</t>
        </is>
      </c>
      <c r="J22" s="113" t="inlineStr">
        <is>
          <t>Ebetsu, Hokkaido</t>
        </is>
      </c>
      <c r="K22" s="113" t="inlineStr">
        <is>
          <t>NOT CONFIRMED</t>
        </is>
      </c>
      <c r="L22" s="113" t="inlineStr">
        <is>
          <t>NOT CONFIRMED — search the university's 動物病院 page</t>
        </is>
      </c>
      <c r="M22" s="113" t="inlineStr">
        <is>
          <t>NOT CONFIRMED</t>
        </is>
      </c>
      <c r="N22" s="113" t="inlineStr">
        <is>
          <t>D — NOT VERIFIED (name, city and domain carried from the Market Development list; page not opened by us)</t>
        </is>
      </c>
      <c r="O22" s="113" t="inlineStr">
        <is>
          <t>Regional academic account with production-animal strength as well as small animal — the one setting where EBit 50 VET is the lead product rather than the handheld.</t>
        </is>
      </c>
      <c r="P22" s="113" t="inlineStr">
        <is>
          <t>EBit 50 VET (bovine/equine reproduction) + SonoEye P3 VET</t>
        </is>
      </c>
      <c r="Q22" s="57" t="inlineStr">
        <is>
          <t>P3</t>
        </is>
      </c>
      <c r="R22" s="52" t="inlineStr">
        <is>
          <t>MEDIUM — high KOL value, long cycle, and no invoice until MAFF registration, a Japanese MAH and NVAL notification are in place. No veterinary cart exists (decision D-2) — handheld teaching units only.</t>
        </is>
      </c>
      <c r="S22" s="113" t="inlineStr">
        <is>
          <t>H-Ref</t>
        </is>
      </c>
      <c r="T22" s="113" t="inlineStr">
        <is>
          <t>Carried from CHISON_Market_Development_Target_List_v2 (merged into v6, 6 Aug 2026)</t>
        </is>
      </c>
      <c r="U22" s="56" t="inlineStr">
        <is>
          <t>酪農学園大学 附属動物医療センター (Rakuno Gakuen University): an academic evaluation placement</t>
        </is>
      </c>
      <c r="V22" s="50" t="inlineStr">
        <is>
          <t>Dear 酪農学園大学 附属動物医療センター (Rakuno Gakuen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3" ht="165" customHeight="1" s="114">
      <c r="A23" s="113" t="n">
        <v>19</v>
      </c>
      <c r="B23" s="41" t="inlineStr">
        <is>
          <t>北海道大学 動物医療センター (Hokkaido University)</t>
        </is>
      </c>
      <c r="C23" s="113" t="inlineStr">
        <is>
          <t>University teaching hospital</t>
        </is>
      </c>
      <c r="D23" s="42" t="inlineStr">
        <is>
          <t>Not started</t>
        </is>
      </c>
      <c r="E23" s="43" t="n"/>
      <c r="F23" s="44" t="n"/>
      <c r="G23" s="45" t="n"/>
      <c r="H23" s="113" t="inlineStr">
        <is>
          <t>University teaching hospital. 1. Sapporo,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3" s="113" t="inlineStr">
        <is>
          <t>1</t>
        </is>
      </c>
      <c r="J23" s="113" t="inlineStr">
        <is>
          <t>Sapporo, Hokkaido</t>
        </is>
      </c>
      <c r="K23" s="113" t="inlineStr">
        <is>
          <t>NOT CONFIRMED</t>
        </is>
      </c>
      <c r="L23" s="113" t="inlineStr">
        <is>
          <t>NOT CONFIRMED — search the university's 動物病院 page</t>
        </is>
      </c>
      <c r="M23" s="113" t="inlineStr">
        <is>
          <t>NOT CONFIRMED</t>
        </is>
      </c>
      <c r="N23" s="113" t="inlineStr">
        <is>
          <t>D — NOT VERIFIED (name, city and domain carried from the Market Development list; page not opened by us)</t>
        </is>
      </c>
      <c r="O23" s="113" t="inlineStr">
        <is>
          <t>Regional academic account. Lower influence than the Tokyo schools but a shorter queue, and residents carry equipment habits into practice.</t>
        </is>
      </c>
      <c r="P23" s="113" t="inlineStr">
        <is>
          <t>SonoEye P5 VET teaching units (cart tier NOT addressable — decision D-2)</t>
        </is>
      </c>
      <c r="Q23" s="57" t="inlineStr">
        <is>
          <t>P3</t>
        </is>
      </c>
      <c r="R23" s="52" t="inlineStr">
        <is>
          <t>MEDIUM — high KOL value, long cycle, and no invoice until MAFF registration, a Japanese MAH and NVAL notification are in place. No veterinary cart exists (decision D-2) — handheld teaching units only.</t>
        </is>
      </c>
      <c r="S23" s="113" t="inlineStr">
        <is>
          <t>H-Ref</t>
        </is>
      </c>
      <c r="T23" s="113" t="inlineStr">
        <is>
          <t>Carried from CHISON_Market_Development_Target_List_v2 (merged into v6, 6 Aug 2026)</t>
        </is>
      </c>
      <c r="U23" s="56" t="inlineStr">
        <is>
          <t>北海道大学 動物医療センター (Hokkaido University): an academic evaluation placement</t>
        </is>
      </c>
      <c r="V23" s="50" t="inlineStr">
        <is>
          <t>Dear 北海道大学 動物医療センター (Hokkaido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4" ht="165" customHeight="1" s="114">
      <c r="A24" s="113" t="n">
        <v>20</v>
      </c>
      <c r="B24" s="41" t="inlineStr">
        <is>
          <t>帯広畜産大学 動物医療センター (Obihiro University)</t>
        </is>
      </c>
      <c r="C24" s="113" t="inlineStr">
        <is>
          <t>University teaching hospital</t>
        </is>
      </c>
      <c r="D24" s="42" t="inlineStr">
        <is>
          <t>Not started</t>
        </is>
      </c>
      <c r="E24" s="43" t="n"/>
      <c r="F24" s="44" t="n"/>
      <c r="G24" s="45" t="n"/>
      <c r="H24" s="113" t="inlineStr">
        <is>
          <t>University teaching hospital. 1. Obihiro,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4" s="113" t="inlineStr">
        <is>
          <t>1</t>
        </is>
      </c>
      <c r="J24" s="113" t="inlineStr">
        <is>
          <t>Obihiro, Hokkaido</t>
        </is>
      </c>
      <c r="K24" s="113" t="inlineStr">
        <is>
          <t>NOT CONFIRMED</t>
        </is>
      </c>
      <c r="L24" s="113" t="inlineStr">
        <is>
          <t>NOT CONFIRMED — search the university's 動物病院 page</t>
        </is>
      </c>
      <c r="M24" s="113" t="inlineStr">
        <is>
          <t>NOT CONFIRMED</t>
        </is>
      </c>
      <c r="N24" s="113" t="inlineStr">
        <is>
          <t>D — NOT VERIFIED (name, city and domain carried from the Market Development list; page not opened by us)</t>
        </is>
      </c>
      <c r="O24" s="113" t="inlineStr">
        <is>
          <t>Regional academic account with production-animal strength as well as small animal — the one setting where EBit 50 VET is the lead product rather than the handheld.</t>
        </is>
      </c>
      <c r="P24" s="113" t="inlineStr">
        <is>
          <t>EBit 50 VET (bovine/equine reproduction) + SonoEye P3 VET</t>
        </is>
      </c>
      <c r="Q24" s="57" t="inlineStr">
        <is>
          <t>P3</t>
        </is>
      </c>
      <c r="R24" s="52" t="inlineStr">
        <is>
          <t>MEDIUM — high KOL value, long cycle, and no invoice until MAFF registration, a Japanese MAH and NVAL notification are in place. No veterinary cart exists (decision D-2) — handheld teaching units only.</t>
        </is>
      </c>
      <c r="S24" s="113" t="inlineStr">
        <is>
          <t>H-Ref</t>
        </is>
      </c>
      <c r="T24" s="113" t="inlineStr">
        <is>
          <t>Carried from CHISON_Market_Development_Target_List_v2 (merged into v6, 6 Aug 2026)</t>
        </is>
      </c>
      <c r="U24" s="56" t="inlineStr">
        <is>
          <t>帯広畜産大学 動物医療センター (Obihiro University): an academic evaluation placement</t>
        </is>
      </c>
      <c r="V24" s="50" t="inlineStr">
        <is>
          <t>Dear 帯広畜産大学 動物医療センター (Obihiro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5" ht="165" customHeight="1" s="114">
      <c r="A25" s="113" t="n">
        <v>21</v>
      </c>
      <c r="B25" s="41" t="inlineStr">
        <is>
          <t>岩手大学 動物病院 (Iwate University)</t>
        </is>
      </c>
      <c r="C25" s="113" t="inlineStr">
        <is>
          <t>University teaching hospital</t>
        </is>
      </c>
      <c r="D25" s="42" t="inlineStr">
        <is>
          <t>Not started</t>
        </is>
      </c>
      <c r="E25" s="43" t="n"/>
      <c r="F25" s="44" t="n"/>
      <c r="G25" s="45" t="n"/>
      <c r="H25" s="113" t="inlineStr">
        <is>
          <t>University teaching hospital. 1. Morioka, Iwate.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5" s="113" t="inlineStr">
        <is>
          <t>1</t>
        </is>
      </c>
      <c r="J25" s="113" t="inlineStr">
        <is>
          <t>Morioka, Iwate</t>
        </is>
      </c>
      <c r="K25" s="113" t="inlineStr">
        <is>
          <t>NOT CONFIRMED</t>
        </is>
      </c>
      <c r="L25" s="113" t="inlineStr">
        <is>
          <t>NOT CONFIRMED — search the university's 動物病院 page</t>
        </is>
      </c>
      <c r="M25" s="113" t="inlineStr">
        <is>
          <t>NOT CONFIRMED</t>
        </is>
      </c>
      <c r="N25" s="113" t="inlineStr">
        <is>
          <t>D — NOT VERIFIED (name, city and domain carried from the Market Development list; page not opened by us)</t>
        </is>
      </c>
      <c r="O25" s="113" t="inlineStr">
        <is>
          <t>Regional academic account with production-animal strength as well as small animal — the one setting where EBit 50 VET is the lead product rather than the handheld.</t>
        </is>
      </c>
      <c r="P25" s="113" t="inlineStr">
        <is>
          <t>EBit 50 VET (bovine/equine reproduction) + SonoEye P3 VET</t>
        </is>
      </c>
      <c r="Q25" s="57" t="inlineStr">
        <is>
          <t>P3</t>
        </is>
      </c>
      <c r="R25" s="52" t="inlineStr">
        <is>
          <t>MEDIUM — high KOL value, long cycle, and no invoice until MAFF registration, a Japanese MAH and NVAL notification are in place. No veterinary cart exists (decision D-2) — handheld teaching units only.</t>
        </is>
      </c>
      <c r="S25" s="113" t="inlineStr">
        <is>
          <t>H-Ref</t>
        </is>
      </c>
      <c r="T25" s="113" t="inlineStr">
        <is>
          <t>Carried from CHISON_Market_Development_Target_List_v2 (merged into v6, 6 Aug 2026)</t>
        </is>
      </c>
      <c r="U25" s="56" t="inlineStr">
        <is>
          <t>岩手大学 動物病院 (Iwate University): an academic evaluation placement</t>
        </is>
      </c>
      <c r="V25" s="50" t="inlineStr">
        <is>
          <t>Dear 岩手大学 動物病院 (Iwate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6" ht="165" customHeight="1" s="114">
      <c r="A26" s="113" t="n">
        <v>22</v>
      </c>
      <c r="B26" s="41" t="inlineStr">
        <is>
          <t>岐阜大学 動物病院 (Gifu University)</t>
        </is>
      </c>
      <c r="C26" s="113" t="inlineStr">
        <is>
          <t>University teaching hospital</t>
        </is>
      </c>
      <c r="D26" s="42" t="inlineStr">
        <is>
          <t>Not started</t>
        </is>
      </c>
      <c r="E26" s="43" t="n"/>
      <c r="F26" s="44" t="n"/>
      <c r="G26" s="45" t="n"/>
      <c r="H26" s="113" t="inlineStr">
        <is>
          <t>University teaching hospital. 1. Gifu.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6" s="113" t="inlineStr">
        <is>
          <t>1</t>
        </is>
      </c>
      <c r="J26" s="113" t="inlineStr">
        <is>
          <t>Gifu</t>
        </is>
      </c>
      <c r="K26" s="113" t="inlineStr">
        <is>
          <t>NOT CONFIRMED</t>
        </is>
      </c>
      <c r="L26" s="113" t="inlineStr">
        <is>
          <t>NOT CONFIRMED — search the university's 動物病院 page</t>
        </is>
      </c>
      <c r="M26" s="113" t="inlineStr">
        <is>
          <t>NOT CONFIRMED</t>
        </is>
      </c>
      <c r="N26" s="113" t="inlineStr">
        <is>
          <t>D — NOT VERIFIED (name, city and domain carried from the Market Development list; page not opened by us)</t>
        </is>
      </c>
      <c r="O26" s="113" t="inlineStr">
        <is>
          <t>Regional academic account. Lower influence than the Tokyo schools but a shorter queue, and residents carry equipment habits into practice.</t>
        </is>
      </c>
      <c r="P26" s="113" t="inlineStr">
        <is>
          <t>SonoEye P5 VET teaching units (cart tier NOT addressable — decision D-2)</t>
        </is>
      </c>
      <c r="Q26" s="57" t="inlineStr">
        <is>
          <t>P3</t>
        </is>
      </c>
      <c r="R26" s="52" t="inlineStr">
        <is>
          <t>MEDIUM — high KOL value, long cycle, and no invoice until MAFF registration, a Japanese MAH and NVAL notification are in place. No veterinary cart exists (decision D-2) — handheld teaching units only.</t>
        </is>
      </c>
      <c r="S26" s="113" t="inlineStr">
        <is>
          <t>H-Ref</t>
        </is>
      </c>
      <c r="T26" s="113" t="inlineStr">
        <is>
          <t>Carried from CHISON_Market_Development_Target_List_v2 (merged into v6, 6 Aug 2026)</t>
        </is>
      </c>
      <c r="U26" s="56" t="inlineStr">
        <is>
          <t>岐阜大学 動物病院 (Gifu University): an academic evaluation placement</t>
        </is>
      </c>
      <c r="V26" s="50" t="inlineStr">
        <is>
          <t>Dear 岐阜大学 動物病院 (Gifu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7" ht="165" customHeight="1" s="114">
      <c r="A27" s="113" t="n">
        <v>23</v>
      </c>
      <c r="B27" s="41" t="inlineStr">
        <is>
          <t>大阪公立大学 獣医臨床センター (Osaka Metropolitan University)</t>
        </is>
      </c>
      <c r="C27" s="113" t="inlineStr">
        <is>
          <t>University teaching hospital</t>
        </is>
      </c>
      <c r="D27" s="42" t="inlineStr">
        <is>
          <t>Not started</t>
        </is>
      </c>
      <c r="E27" s="43" t="n"/>
      <c r="F27" s="44" t="n"/>
      <c r="G27" s="45" t="n"/>
      <c r="H27" s="113" t="inlineStr">
        <is>
          <t>University teaching hospital. 1. Izumisano, Osaka.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7" s="113" t="inlineStr">
        <is>
          <t>1</t>
        </is>
      </c>
      <c r="J27" s="113" t="inlineStr">
        <is>
          <t>Izumisano, Osaka</t>
        </is>
      </c>
      <c r="K27" s="113" t="inlineStr">
        <is>
          <t>NOT CONFIRMED</t>
        </is>
      </c>
      <c r="L27" s="113" t="inlineStr">
        <is>
          <t>NOT CONFIRMED — search the university's 動物病院 page</t>
        </is>
      </c>
      <c r="M27" s="113" t="inlineStr">
        <is>
          <t>NOT CONFIRMED</t>
        </is>
      </c>
      <c r="N27" s="113" t="inlineStr">
        <is>
          <t>D — NOT VERIFIED (name, city and domain carried from the Market Development list; page not opened by us)</t>
        </is>
      </c>
      <c r="O27" s="113" t="inlineStr">
        <is>
          <t>Regional academic account. Lower influence than the Tokyo schools but a shorter queue, and residents carry equipment habits into practice.</t>
        </is>
      </c>
      <c r="P27" s="113" t="inlineStr">
        <is>
          <t>SonoEye P5 VET teaching units (cart tier NOT addressable — decision D-2)</t>
        </is>
      </c>
      <c r="Q27" s="57" t="inlineStr">
        <is>
          <t>P3</t>
        </is>
      </c>
      <c r="R27" s="52" t="inlineStr">
        <is>
          <t>MEDIUM — high KOL value, long cycle, and no invoice until MAFF registration, a Japanese MAH and NVAL notification are in place. No veterinary cart exists (decision D-2) — handheld teaching units only.</t>
        </is>
      </c>
      <c r="S27" s="113" t="inlineStr">
        <is>
          <t>H-Ref</t>
        </is>
      </c>
      <c r="T27" s="113" t="inlineStr">
        <is>
          <t>Carried from CHISON_Market_Development_Target_List_v2 (merged into v6, 6 Aug 2026)</t>
        </is>
      </c>
      <c r="U27" s="56" t="inlineStr">
        <is>
          <t>大阪公立大学 獣医臨床センター (Osaka Metropolitan University): an academic evaluation placement</t>
        </is>
      </c>
      <c r="V27" s="50" t="inlineStr">
        <is>
          <t>Dear 大阪公立大学 獣医臨床センター (Osaka Metropolitan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8" ht="165" customHeight="1" s="114">
      <c r="A28" s="113" t="n">
        <v>24</v>
      </c>
      <c r="B28" s="41" t="inlineStr">
        <is>
          <t>鳥取大学 動物医療センター (Tottori University)</t>
        </is>
      </c>
      <c r="C28" s="113" t="inlineStr">
        <is>
          <t>University teaching hospital</t>
        </is>
      </c>
      <c r="D28" s="42" t="inlineStr">
        <is>
          <t>Not started</t>
        </is>
      </c>
      <c r="E28" s="43" t="n"/>
      <c r="F28" s="44" t="n"/>
      <c r="G28" s="45" t="n"/>
      <c r="H28" s="113" t="inlineStr">
        <is>
          <t>University teaching hospital. 1. Tottori.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8" s="113" t="inlineStr">
        <is>
          <t>1</t>
        </is>
      </c>
      <c r="J28" s="113" t="inlineStr">
        <is>
          <t>Tottori</t>
        </is>
      </c>
      <c r="K28" s="113" t="inlineStr">
        <is>
          <t>NOT CONFIRMED</t>
        </is>
      </c>
      <c r="L28" s="113" t="inlineStr">
        <is>
          <t>NOT CONFIRMED — search the university's 動物病院 page</t>
        </is>
      </c>
      <c r="M28" s="113" t="inlineStr">
        <is>
          <t>NOT CONFIRMED</t>
        </is>
      </c>
      <c r="N28" s="113" t="inlineStr">
        <is>
          <t>D — NOT VERIFIED (name, city and domain carried from the Market Development list; page not opened by us)</t>
        </is>
      </c>
      <c r="O28" s="113" t="inlineStr">
        <is>
          <t>Regional academic account. Lower influence than the Tokyo schools but a shorter queue, and residents carry equipment habits into practice.</t>
        </is>
      </c>
      <c r="P28" s="113" t="inlineStr">
        <is>
          <t>SonoEye P5 VET teaching units (cart tier NOT addressable — decision D-2)</t>
        </is>
      </c>
      <c r="Q28" s="57" t="inlineStr">
        <is>
          <t>P3</t>
        </is>
      </c>
      <c r="R28" s="52" t="inlineStr">
        <is>
          <t>MEDIUM — high KOL value, long cycle, and no invoice until MAFF registration, a Japanese MAH and NVAL notification are in place. No veterinary cart exists (decision D-2) — handheld teaching units only.</t>
        </is>
      </c>
      <c r="S28" s="113" t="inlineStr">
        <is>
          <t>H-Ref</t>
        </is>
      </c>
      <c r="T28" s="113" t="inlineStr">
        <is>
          <t>Carried from CHISON_Market_Development_Target_List_v2 (merged into v6, 6 Aug 2026)</t>
        </is>
      </c>
      <c r="U28" s="56" t="inlineStr">
        <is>
          <t>鳥取大学 動物医療センター (Tottori University): an academic evaluation placement</t>
        </is>
      </c>
      <c r="V28" s="50" t="inlineStr">
        <is>
          <t>Dear 鳥取大学 動物医療センター (Tottori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9" ht="165" customHeight="1" s="114">
      <c r="A29" s="113" t="n">
        <v>25</v>
      </c>
      <c r="B29" s="41" t="inlineStr">
        <is>
          <t>山口大学 動物医療センター (Yamaguchi University)</t>
        </is>
      </c>
      <c r="C29" s="113" t="inlineStr">
        <is>
          <t>University teaching hospital</t>
        </is>
      </c>
      <c r="D29" s="42" t="inlineStr">
        <is>
          <t>Not started</t>
        </is>
      </c>
      <c r="E29" s="43" t="n"/>
      <c r="F29" s="44" t="n"/>
      <c r="G29" s="45" t="n"/>
      <c r="H29" s="113" t="inlineStr">
        <is>
          <t>University teaching hospital. 1. Yamaguchi.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9" s="113" t="inlineStr">
        <is>
          <t>1</t>
        </is>
      </c>
      <c r="J29" s="113" t="inlineStr">
        <is>
          <t>Yamaguchi</t>
        </is>
      </c>
      <c r="K29" s="113" t="inlineStr">
        <is>
          <t>NOT CONFIRMED</t>
        </is>
      </c>
      <c r="L29" s="113" t="inlineStr">
        <is>
          <t>NOT CONFIRMED — search the university's 動物病院 page</t>
        </is>
      </c>
      <c r="M29" s="113" t="inlineStr">
        <is>
          <t>NOT CONFIRMED</t>
        </is>
      </c>
      <c r="N29" s="113" t="inlineStr">
        <is>
          <t>D — NOT VERIFIED (name, city and domain carried from the Market Development list; page not opened by us)</t>
        </is>
      </c>
      <c r="O29" s="113" t="inlineStr">
        <is>
          <t>Regional academic account. Lower influence than the Tokyo schools but a shorter queue, and residents carry equipment habits into practice.</t>
        </is>
      </c>
      <c r="P29" s="113" t="inlineStr">
        <is>
          <t>SonoEye P5 VET teaching units (cart tier NOT addressable — decision D-2)</t>
        </is>
      </c>
      <c r="Q29" s="57" t="inlineStr">
        <is>
          <t>P3</t>
        </is>
      </c>
      <c r="R29" s="52" t="inlineStr">
        <is>
          <t>MEDIUM — high KOL value, long cycle, and no invoice until MAFF registration, a Japanese MAH and NVAL notification are in place. No veterinary cart exists (decision D-2) — handheld teaching units only.</t>
        </is>
      </c>
      <c r="S29" s="113" t="inlineStr">
        <is>
          <t>H-Ref</t>
        </is>
      </c>
      <c r="T29" s="113" t="inlineStr">
        <is>
          <t>Carried from CHISON_Market_Development_Target_List_v2 (merged into v6, 6 Aug 2026)</t>
        </is>
      </c>
      <c r="U29" s="56" t="inlineStr">
        <is>
          <t>山口大学 動物医療センター (Yamaguchi University): an academic evaluation placement</t>
        </is>
      </c>
      <c r="V29" s="50" t="inlineStr">
        <is>
          <t>Dear 山口大学 動物医療センター (Yamaguchi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0" ht="165" customHeight="1" s="114">
      <c r="A30" s="113" t="n">
        <v>26</v>
      </c>
      <c r="B30" s="41" t="inlineStr">
        <is>
          <t>鹿児島大学 動物病院 (Kagoshima University)</t>
        </is>
      </c>
      <c r="C30" s="113" t="inlineStr">
        <is>
          <t>University teaching hospital</t>
        </is>
      </c>
      <c r="D30" s="42" t="inlineStr">
        <is>
          <t>Not started</t>
        </is>
      </c>
      <c r="E30" s="43" t="n"/>
      <c r="F30" s="44" t="n"/>
      <c r="G30" s="45" t="n"/>
      <c r="H30" s="113" t="inlineStr">
        <is>
          <t>University teaching hospital. 1. Kagoshima.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30" s="113" t="inlineStr">
        <is>
          <t>1</t>
        </is>
      </c>
      <c r="J30" s="113" t="inlineStr">
        <is>
          <t>Kagoshima</t>
        </is>
      </c>
      <c r="K30" s="113" t="inlineStr">
        <is>
          <t>NOT CONFIRMED</t>
        </is>
      </c>
      <c r="L30" s="113" t="inlineStr">
        <is>
          <t>NOT CONFIRMED — search the university's 動物病院 page</t>
        </is>
      </c>
      <c r="M30" s="113" t="inlineStr">
        <is>
          <t>NOT CONFIRMED</t>
        </is>
      </c>
      <c r="N30" s="113" t="inlineStr">
        <is>
          <t>D — NOT VERIFIED (name, city and domain carried from the Market Development list; page not opened by us)</t>
        </is>
      </c>
      <c r="O30" s="113" t="inlineStr">
        <is>
          <t>Regional academic account. Lower influence than the Tokyo schools but a shorter queue, and residents carry equipment habits into practice.</t>
        </is>
      </c>
      <c r="P30" s="113" t="inlineStr">
        <is>
          <t>SonoEye P5 VET teaching units (cart tier NOT addressable — decision D-2)</t>
        </is>
      </c>
      <c r="Q30" s="57" t="inlineStr">
        <is>
          <t>P3</t>
        </is>
      </c>
      <c r="R30" s="52" t="inlineStr">
        <is>
          <t>MEDIUM — high KOL value, long cycle, and no invoice until MAFF registration, a Japanese MAH and NVAL notification are in place. No veterinary cart exists (decision D-2) — handheld teaching units only.</t>
        </is>
      </c>
      <c r="S30" s="113" t="inlineStr">
        <is>
          <t>H-Ref</t>
        </is>
      </c>
      <c r="T30" s="113" t="inlineStr">
        <is>
          <t>Carried from CHISON_Market_Development_Target_List_v2 (merged into v6, 6 Aug 2026)</t>
        </is>
      </c>
      <c r="U30" s="56" t="inlineStr">
        <is>
          <t>鹿児島大学 動物病院 (Kagoshima University): an academic evaluation placement</t>
        </is>
      </c>
      <c r="V30" s="50" t="inlineStr">
        <is>
          <t>Dear 鹿児島大学 動物病院 (Kagoshima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1" ht="165" customHeight="1" s="114">
      <c r="A31" s="113" t="n">
        <v>27</v>
      </c>
      <c r="B31" s="41" t="inlineStr">
        <is>
          <t>宮崎大学 附属動物病院 (Miyazaki University)</t>
        </is>
      </c>
      <c r="C31" s="113" t="inlineStr">
        <is>
          <t>University teaching hospital</t>
        </is>
      </c>
      <c r="D31" s="42" t="inlineStr">
        <is>
          <t>Not started</t>
        </is>
      </c>
      <c r="E31" s="43" t="n"/>
      <c r="F31" s="44" t="n"/>
      <c r="G31" s="45" t="n"/>
      <c r="H31" s="113" t="inlineStr">
        <is>
          <t>University teaching hospital. 1. Miyazaki.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31" s="113" t="inlineStr">
        <is>
          <t>1</t>
        </is>
      </c>
      <c r="J31" s="113" t="inlineStr">
        <is>
          <t>Miyazaki</t>
        </is>
      </c>
      <c r="K31" s="113" t="inlineStr">
        <is>
          <t>NOT CONFIRMED</t>
        </is>
      </c>
      <c r="L31" s="113" t="inlineStr">
        <is>
          <t>NOT CONFIRMED — search the university's 動物病院 page</t>
        </is>
      </c>
      <c r="M31" s="113" t="inlineStr">
        <is>
          <t>NOT CONFIRMED</t>
        </is>
      </c>
      <c r="N31" s="113" t="inlineStr">
        <is>
          <t>D — NOT VERIFIED (name, city and domain carried from the Market Development list; page not opened by us)</t>
        </is>
      </c>
      <c r="O31" s="113" t="inlineStr">
        <is>
          <t>Regional academic account with production-animal strength as well as small animal — the one setting where EBit 50 VET is the lead product rather than the handheld.</t>
        </is>
      </c>
      <c r="P31" s="113" t="inlineStr">
        <is>
          <t>EBit 50 VET (bovine/equine reproduction) + SonoEye P3 VET</t>
        </is>
      </c>
      <c r="Q31" s="57" t="inlineStr">
        <is>
          <t>P3</t>
        </is>
      </c>
      <c r="R31" s="52" t="inlineStr">
        <is>
          <t>MEDIUM — high KOL value, long cycle, and no invoice until MAFF registration, a Japanese MAH and NVAL notification are in place. No veterinary cart exists (decision D-2) — handheld teaching units only.</t>
        </is>
      </c>
      <c r="S31" s="113" t="inlineStr">
        <is>
          <t>H-Ref</t>
        </is>
      </c>
      <c r="T31" s="113" t="inlineStr">
        <is>
          <t>Carried from CHISON_Market_Development_Target_List_v2 (merged into v6, 6 Aug 2026)</t>
        </is>
      </c>
      <c r="U31" s="56" t="inlineStr">
        <is>
          <t>宮崎大学 附属動物病院 (Miyazaki University): an academic evaluation placement</t>
        </is>
      </c>
      <c r="V31" s="50" t="inlineStr">
        <is>
          <t>Dear 宮崎大学 附属動物病院 (Miyazaki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2" ht="165" customHeight="1" s="114">
      <c r="A32" s="113" t="n">
        <v>28</v>
      </c>
      <c r="B32" s="41" t="inlineStr">
        <is>
          <t>日本大学 動物病院 NUAMS (Nihon University)</t>
        </is>
      </c>
      <c r="C32" s="113" t="inlineStr">
        <is>
          <t>University teaching hospital</t>
        </is>
      </c>
      <c r="D32" s="42" t="inlineStr">
        <is>
          <t>Not started</t>
        </is>
      </c>
      <c r="E32" s="43" t="n"/>
      <c r="F32" s="44" t="n"/>
      <c r="G32" s="45" t="n"/>
      <c r="H32" s="113" t="inlineStr">
        <is>
          <t>University teaching hospital. 1. Fujisawa, Kanagawa.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32" s="113" t="inlineStr">
        <is>
          <t>1</t>
        </is>
      </c>
      <c r="J32" s="113" t="inlineStr">
        <is>
          <t>Fujisawa, Kanagawa</t>
        </is>
      </c>
      <c r="K32" s="113" t="inlineStr">
        <is>
          <t>NOT CONFIRMED</t>
        </is>
      </c>
      <c r="L32" s="113" t="inlineStr">
        <is>
          <t>NOT CONFIRMED — search the university's 動物病院 page</t>
        </is>
      </c>
      <c r="M32" s="113" t="inlineStr">
        <is>
          <t>NOT CONFIRMED</t>
        </is>
      </c>
      <c r="N32" s="113" t="inlineStr">
        <is>
          <t>D — NOT VERIFIED (name, city and domain carried from the Market Development list; page not opened by us)</t>
        </is>
      </c>
      <c r="O32" s="113" t="inlineStr">
        <is>
          <t>Regional academic account. Lower influence than the Tokyo schools but a shorter queue, and residents carry equipment habits into practice.</t>
        </is>
      </c>
      <c r="P32" s="113" t="inlineStr">
        <is>
          <t>SonoEye P5 VET teaching units (cart tier NOT addressable — decision D-2)</t>
        </is>
      </c>
      <c r="Q32" s="57" t="inlineStr">
        <is>
          <t>P3</t>
        </is>
      </c>
      <c r="R32" s="52" t="inlineStr">
        <is>
          <t>MEDIUM — high KOL value, long cycle, and no invoice until MAFF registration, a Japanese MAH and NVAL notification are in place. No veterinary cart exists (decision D-2) — handheld teaching units only.</t>
        </is>
      </c>
      <c r="S32" s="113" t="inlineStr">
        <is>
          <t>H-Ref</t>
        </is>
      </c>
      <c r="T32" s="113" t="inlineStr">
        <is>
          <t>Carried from CHISON_Market_Development_Target_List_v2 (merged into v6, 6 Aug 2026)</t>
        </is>
      </c>
      <c r="U32" s="56" t="inlineStr">
        <is>
          <t>日本大学 動物病院 NUAMS (Nihon University): an academic evaluation placement</t>
        </is>
      </c>
      <c r="V32" s="50" t="inlineStr">
        <is>
          <t>Dear 日本大学 動物病院 NUAMS (Nihon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3" ht="14.25" customHeight="1" s="114">
      <c r="E33" s="43" t="n"/>
      <c r="F33" s="44" t="n"/>
      <c r="G33" s="45" t="n"/>
    </row>
    <row r="34" ht="14.25" customHeight="1" s="114">
      <c r="A34" s="10">
        <f>COUNTIF(Q5:Q32,"P1*")</f>
        <v/>
      </c>
      <c r="B34" s="10" t="inlineStr">
        <is>
          <t>P1 — engage now</t>
        </is>
      </c>
      <c r="E34" s="43" t="n"/>
      <c r="F34" s="44" t="n"/>
      <c r="G34" s="45" t="n"/>
    </row>
    <row r="35" ht="14.25" customHeight="1" s="114">
      <c r="A35" s="10">
        <f>COUNTIF(Q5:Q32,"P2*")</f>
        <v/>
      </c>
      <c r="B35" s="9" t="inlineStr">
        <is>
          <t>P2</t>
        </is>
      </c>
      <c r="E35" s="43" t="n"/>
      <c r="F35" s="44" t="n"/>
      <c r="G35" s="45" t="n"/>
    </row>
    <row r="36" ht="14.25" customHeight="1" s="114">
      <c r="A36" s="10">
        <f>COUNTIF(Q5:Q32,"P3*")</f>
        <v/>
      </c>
      <c r="B36" s="9" t="inlineStr">
        <is>
          <t>P3</t>
        </is>
      </c>
      <c r="E36" s="43" t="n"/>
      <c r="F36" s="44" t="n"/>
      <c r="G36" s="45" t="n"/>
    </row>
    <row r="37" ht="14.25" customHeight="1" s="114">
      <c r="E37" s="43" t="n"/>
      <c r="F37" s="44" t="n"/>
      <c r="G37" s="45" t="n"/>
    </row>
    <row r="38" ht="14.25" customHeight="1" s="114">
      <c r="A38" s="10">
        <f>COUNTIF(R5:R32,"HIGH*")</f>
        <v/>
      </c>
      <c r="B38" s="9" t="inlineStr">
        <is>
          <t>Buying potential HIGH</t>
        </is>
      </c>
      <c r="E38" s="43" t="n"/>
      <c r="F38" s="44" t="n"/>
      <c r="G38" s="45" t="n"/>
    </row>
    <row r="39" ht="14.25" customHeight="1" s="114">
      <c r="A39" s="10">
        <f>COUNTIF(R5:R32,"MEDIUM*")</f>
        <v/>
      </c>
      <c r="B39" s="9" t="inlineStr">
        <is>
          <t>Buying potential MEDIUM</t>
        </is>
      </c>
      <c r="E39" s="43" t="n"/>
      <c r="F39" s="44" t="n"/>
      <c r="G39" s="45" t="n"/>
    </row>
    <row r="40" ht="14.25" customHeight="1" s="114">
      <c r="A40" s="10">
        <f>COUNTIF(R5:R32,"LOW*")</f>
        <v/>
      </c>
      <c r="B40" s="9" t="inlineStr">
        <is>
          <t>Buying potential LOW / long tail</t>
        </is>
      </c>
      <c r="E40" s="43" t="n"/>
      <c r="F40" s="44" t="n"/>
      <c r="G40" s="45" t="n"/>
    </row>
    <row r="41" ht="14.25" customHeight="1" s="114">
      <c r="E41" s="43" t="n"/>
      <c r="F41" s="44" t="n"/>
      <c r="G41" s="45" t="n"/>
    </row>
    <row r="42" ht="14.25" customHeight="1" s="114">
      <c r="A42" s="10">
        <f>COUNTA(B5:B32)</f>
        <v/>
      </c>
      <c r="B42" s="10" t="inlineStr">
        <is>
          <t>Total accounts on this tab — every one has a ready-to-send email</t>
        </is>
      </c>
      <c r="E42" s="43" t="n"/>
      <c r="F42" s="44" t="n"/>
      <c r="G42" s="45" t="n"/>
    </row>
  </sheetData>
  <autoFilter ref="A4:V32"/>
  <conditionalFormatting sqref="D5:D32">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32"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32"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Listed advanced-referral hospital group — HQ. 4 hospitals: Kawasaki (HQ), Tokyo, Nagoya, Osaka. Kawasaki, Kanagawa. RELEVANCE: multi-site groups make one equipment decision and repeat it, which turns a single scanner sale into a fleet order. They also have a procurement function, so the conversation belongs at head office rather than at a clinic. Lead product: SonoAir 70 VET + SonoEye P5 VET (cart tier not addressable — see decision D-2)." r:id="rId1"/>
    <hyperlink xmlns:r="http://schemas.openxmlformats.org/officeDocument/2006/relationships" ref="H6" display="Advanced-referral hospital (group site). 1 of 4 group hospitals. Adachi-ku, Tokyo. RELEVANCE: multi-site groups make one equipment decision and repeat it, which turns a single scanner sale into a fleet order. They also have a procurement function, so the conversation belongs at head office rather than at a clinic. Lead product: SonoAir 70 VET + SonoEye P5 VET." r:id="rId2"/>
    <hyperlink xmlns:r="http://schemas.openxmlformats.org/officeDocument/2006/relationships" ref="H7" display="Advanced-referral hospital (group site). 1 of 4 group hospitals. Nagoya, Aichi. RELEVANCE: multi-site groups make one equipment decision and repeat it, which turns a single scanner sale into a fleet order. They also have a procurement function, so the conversation belongs at head office rather than at a clinic. Lead product: SonoAir 70 VET." r:id="rId3"/>
    <hyperlink xmlns:r="http://schemas.openxmlformats.org/officeDocument/2006/relationships" ref="H8" display="Advanced-referral hospital (group site). 1 of 4 group hospitals. Osaka. RELEVANCE: multi-site groups make one equipment decision and repeat it, which turns a single scanner sale into a fleet order. They also have a procurement function, so the conversation belongs at head office rather than at a clinic. Lead product: SonoAir 70 VET." r:id="rId4"/>
    <hyperlink xmlns:r="http://schemas.openxmlformats.org/officeDocument/2006/relationships" ref="H9" display="Mall-based veterinary network — Japan's largest by site count. Dozens of centres nationwide — count NOT confirmed. Chiba (HQ); nationwide. RELEVANCE: multi-site groups make one equipment decision and repeat it, which turns a single scanner sale into a fleet order. They also have a procurement function, so the conversation belongs at head office rather than at a clinic. Lead product: SonoEye P3 VET, one per centre." r:id="rId5"/>
    <hyperlink xmlns:r="http://schemas.openxmlformats.org/officeDocument/2006/relationships" ref="H11" display="Referral and emergency centre. 1. Osaka. RELEVANCE: emergency work is the fastest-converting handheld use case there is. A FAST scan has to happen in seconds, the vet on shift is usually also the decision-maker, and there is no procurement layer between the demonstration and the decision. Lead product: SonoEye P3 VET + SonoAir 70 VET." r:id="rId6"/>
    <hyperlink xmlns:r="http://schemas.openxmlformats.org/officeDocument/2006/relationships" ref="H12" display="Night emergency centre. 1. Setagaya, Tokyo. RELEVANCE: emergency work is the fastest-converting handheld use case there is. A FAST scan has to happen in seconds, the vet on shift is usually also the decision-maker, and there is no procurement layer between the demonstration and the decision. Lead product: SonoEye P3 VET." r:id="rId7"/>
    <hyperlink xmlns:r="http://schemas.openxmlformats.org/officeDocument/2006/relationships" ref="H13" display="Referral and emergency centre. 1. Yokohama, Kanagawa.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8"/>
    <hyperlink xmlns:r="http://schemas.openxmlformats.org/officeDocument/2006/relationships" ref="H14" display="Multi-site hospital group. Multiple sites — count NOT confirmed. Koto-ku, Tokyo. RELEVANCE: multi-site groups make one equipment decision and repeat it, which turns a single scanner sale into a fleet order. They also have a procurement function, so the conversation belongs at head office rather than at a clinic. Lead product: SonoEye P3 VET per site." r:id="rId9"/>
    <hyperlink xmlns:r="http://schemas.openxmlformats.org/officeDocument/2006/relationships" ref="H15" display="Hospital group with advanced imaging. Tokyo and Kyoto. Tokyo / Kyoto. RELEVANCE: multi-site groups make one equipment decision and repeat it, which turns a single scanner sale into a fleet order. They also have a procurement function, so the conversation belongs at head office rather than at a clinic. Lead product: SonoAir 70 VET (image-quality comparison) + SonoEye P5 VET." r:id="rId10"/>
    <hyperlink xmlns:r="http://schemas.openxmlformats.org/officeDocument/2006/relationships" ref="H17" display="University teaching hospital — top academic site. 1. Bunkyo-k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1"/>
    <hyperlink xmlns:r="http://schemas.openxmlformats.org/officeDocument/2006/relationships" ref="H18" display="University teaching hospital. 1. Fuch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2"/>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V40"/>
  <sheetViews>
    <sheetView zoomScaleNormal="100" workbookViewId="0">
      <pane xSplit="7" ySplit="4" topLeftCell="H5" activePane="bottomRight" state="frozen"/>
      <selection pane="topRight" activeCell="H1" sqref="H1"/>
      <selection pane="bottomLeft" activeCell="A5" sqref="A5"/>
      <selection pane="bottomRight" activeCell="R21" sqref="R2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SOUTH KOREA — VETERINARY END-USER AND KOL ACCOUNTS (not dealers)</t>
        </is>
      </c>
    </row>
    <row r="2" ht="30" customHeight="1" s="114">
      <c r="A2" s="17" t="inlineStr">
        <is>
          <t>Hospitals, hospital groups and university teaching hospitals, NOT distribution targets. A Korean entity must hold a QIA (not MFDS) veterinary device import business licence before anything ships. Relationship, evaluation and KOL work is legitimate now.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5</v>
      </c>
      <c r="B5" s="113" t="inlineStr">
        <is>
          <t>VIP동물의료센터 — 노원 (VIP Animal Medical Center, 노원 branch)</t>
        </is>
      </c>
      <c r="C5" s="113" t="inlineStr">
        <is>
          <t>24-hour branch hospital (group site)</t>
        </is>
      </c>
      <c r="D5" s="42" t="inlineStr">
        <is>
          <t>Not started</t>
        </is>
      </c>
      <c r="E5" s="43" t="n"/>
      <c r="F5" s="44" t="n"/>
      <c r="G5" s="45" t="n"/>
      <c r="H5" s="46" t="inlineStr">
        <is>
          <t>24-hour branch hospital (group site). 1 of 5 group sites. Nowon-gu, Seoul. RELEVANCE: multi-site groups make one equipment decision and repeat it, which turns a single scanner sale into a fleet order. They also have a procurement function, so the conversation belongs at head office rather than at a clinic. Lead product: SonoEye P3 VET.</t>
        </is>
      </c>
      <c r="I5" s="113" t="inlineStr">
        <is>
          <t>1 of 5 group sites</t>
        </is>
      </c>
      <c r="J5" s="113" t="inlineStr">
        <is>
          <t>Nowon-gu, Seoul</t>
        </is>
      </c>
      <c r="K5" s="46" t="inlineStr">
        <is>
          <t>NOT CONFIRMED — via vipah.co.kr</t>
        </is>
      </c>
      <c r="L5" s="47" t="inlineStr">
        <is>
          <t>https://www.vipah.co.kr</t>
        </is>
      </c>
      <c r="M5" s="113" t="inlineStr">
        <is>
          <t>Not published — via vipah.co.kr</t>
        </is>
      </c>
      <c r="N5" s="113" t="inlineStr">
        <is>
          <t>C — SITE LIVE, NOT OPENED (domain returned by search with real content; page not opened by us)</t>
        </is>
      </c>
      <c r="O5" s="113" t="inlineStr">
        <is>
          <t>GROUP OVERLAP: same organisation as the Cheongdam flagship row. Do not open a separate approach — this row exists so the branch is visible at rollout.</t>
        </is>
      </c>
      <c r="P5" s="113" t="inlineStr">
        <is>
          <t>SonoEye P3 VET</t>
        </is>
      </c>
      <c r="Q5" s="57" t="inlineStr">
        <is>
          <t>P3</t>
        </is>
      </c>
      <c r="R5" s="54" t="inlineStr">
        <is>
          <t>LOW-MEDIUM — long tail, and no invoice until a Korean entity holds the QIA veterinary device import licence. Build the relationship cheaply; do not spend travel budget yet.</t>
        </is>
      </c>
      <c r="S5" s="113" t="inlineStr">
        <is>
          <t>H-Fleet</t>
        </is>
      </c>
      <c r="T5" s="113" t="inlineStr">
        <is>
          <t>Carried from CHISON_Market_Development_Target_List_v2 (merged into v6, 6 Aug 2026)</t>
        </is>
      </c>
      <c r="U5" s="50" t="inlineStr">
        <is>
          <t>VIP동물의료센터: 노원 (VIP Animal Medical Center, 노원 branch), part of one group conversation, not five</t>
        </is>
      </c>
      <c r="V5" s="50" t="inlineStr">
        <is>
          <t>Dear VIP동물의료센터, 노원 (VIP Animal Medical Center, 노원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6" ht="165" customHeight="1" s="114">
      <c r="A6" s="113" t="n">
        <v>4</v>
      </c>
      <c r="B6" s="113" t="inlineStr">
        <is>
          <t>VIP동물의료센터 — 동대문 (VIP Animal Medical Center, 동대문 branch)</t>
        </is>
      </c>
      <c r="C6" s="113" t="inlineStr">
        <is>
          <t>24-hour branch hospital (group site)</t>
        </is>
      </c>
      <c r="D6" s="42" t="inlineStr">
        <is>
          <t>Not started</t>
        </is>
      </c>
      <c r="E6" s="43" t="n"/>
      <c r="F6" s="44" t="n"/>
      <c r="G6" s="45" t="n"/>
      <c r="H6" s="46" t="inlineStr">
        <is>
          <t>24-hour branch hospital (group site). 1 of 5 group sites. Dongdaemun-gu, Seoul. RELEVANCE: multi-site groups make one equipment decision and repeat it, which turns a single scanner sale into a fleet order. They also have a procurement function, so the conversation belongs at head office rather than at a clinic. Lead product: SonoEye P3 VET.</t>
        </is>
      </c>
      <c r="I6" s="113" t="inlineStr">
        <is>
          <t>1 of 5 group sites</t>
        </is>
      </c>
      <c r="J6" s="113" t="inlineStr">
        <is>
          <t>Dongdaemun-gu, Seoul</t>
        </is>
      </c>
      <c r="K6" s="46" t="inlineStr">
        <is>
          <t>NOT CONFIRMED — via vipah.co.kr</t>
        </is>
      </c>
      <c r="L6" s="47" t="inlineStr">
        <is>
          <t>https://www.vipah.co.kr</t>
        </is>
      </c>
      <c r="M6" s="113" t="inlineStr">
        <is>
          <t>Not published — via vipah.co.kr</t>
        </is>
      </c>
      <c r="N6" s="113" t="inlineStr">
        <is>
          <t>C — SITE LIVE, NOT OPENED (domain returned by search with real content; page not opened by us)</t>
        </is>
      </c>
      <c r="O6" s="113" t="inlineStr">
        <is>
          <t>GROUP OVERLAP: same organisation as the Cheongdam flagship row. Do not open a separate approach — this row exists so the branch is visible at rollout.</t>
        </is>
      </c>
      <c r="P6" s="113" t="inlineStr">
        <is>
          <t>SonoEye P3 VET</t>
        </is>
      </c>
      <c r="Q6" s="57" t="inlineStr">
        <is>
          <t>P3</t>
        </is>
      </c>
      <c r="R6" s="54" t="inlineStr">
        <is>
          <t>LOW-MEDIUM — long tail, and no invoice until a Korean entity holds the QIA veterinary device import licence. Build the relationship cheaply; do not spend travel budget yet.</t>
        </is>
      </c>
      <c r="S6" s="113" t="inlineStr">
        <is>
          <t>H-Fleet</t>
        </is>
      </c>
      <c r="T6" s="113" t="inlineStr">
        <is>
          <t>Carried from CHISON_Market_Development_Target_List_v2 (merged into v6, 6 Aug 2026)</t>
        </is>
      </c>
      <c r="U6" s="50" t="inlineStr">
        <is>
          <t>VIP동물의료센터: 동대문 (VIP Animal Medical Center, 동대문 branch), part of one group conversation, not five</t>
        </is>
      </c>
      <c r="V6" s="50" t="inlineStr">
        <is>
          <t>Dear VIP동물의료센터, 동대문 (VIP Animal Medical Center, 동대문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7" ht="165" customHeight="1" s="114">
      <c r="A7" s="113" t="n">
        <v>6</v>
      </c>
      <c r="B7" s="113" t="inlineStr">
        <is>
          <t>VIP동물의료센터 — 서초 (VIP Animal Medical Center, 서초 branch)</t>
        </is>
      </c>
      <c r="C7" s="113" t="inlineStr">
        <is>
          <t>24-hour branch hospital (group site)</t>
        </is>
      </c>
      <c r="D7" s="42" t="inlineStr">
        <is>
          <t>Not started</t>
        </is>
      </c>
      <c r="E7" s="43" t="n"/>
      <c r="F7" s="44" t="n"/>
      <c r="G7" s="45" t="n"/>
      <c r="H7" s="46" t="inlineStr">
        <is>
          <t>24-hour branch hospital (group site). 1 of 5 group sites. Seocho-gu, Seoul. RELEVANCE: multi-site groups make one equipment decision and repeat it, which turns a single scanner sale into a fleet order. They also have a procurement function, so the conversation belongs at head office rather than at a clinic. Lead product: SonoEye P3 VET.</t>
        </is>
      </c>
      <c r="I7" s="113" t="inlineStr">
        <is>
          <t>1 of 5 group sites</t>
        </is>
      </c>
      <c r="J7" s="113" t="inlineStr">
        <is>
          <t>Seocho-gu, Seoul</t>
        </is>
      </c>
      <c r="K7" s="46" t="inlineStr">
        <is>
          <t>NOT CONFIRMED — via vipah.co.kr</t>
        </is>
      </c>
      <c r="L7" s="47" t="inlineStr">
        <is>
          <t>https://www.vipah.co.kr</t>
        </is>
      </c>
      <c r="M7" s="113" t="inlineStr">
        <is>
          <t>Not published — via vipah.co.kr</t>
        </is>
      </c>
      <c r="N7" s="113" t="inlineStr">
        <is>
          <t>C — SITE LIVE, NOT OPENED (domain returned by search with real content; page not opened by us)</t>
        </is>
      </c>
      <c r="O7" s="113" t="inlineStr">
        <is>
          <t>GROUP OVERLAP: same organisation as the Cheongdam flagship row. Do not open a separate approach — this row exists so the branch is visible at rollout.</t>
        </is>
      </c>
      <c r="P7" s="113" t="inlineStr">
        <is>
          <t>SonoEye P3 VET</t>
        </is>
      </c>
      <c r="Q7" s="57" t="inlineStr">
        <is>
          <t>P3</t>
        </is>
      </c>
      <c r="R7" s="54" t="inlineStr">
        <is>
          <t>LOW-MEDIUM — long tail, and no invoice until a Korean entity holds the QIA veterinary device import licence. Build the relationship cheaply; do not spend travel budget yet.</t>
        </is>
      </c>
      <c r="S7" s="113" t="inlineStr">
        <is>
          <t>H-Fleet</t>
        </is>
      </c>
      <c r="T7" s="113" t="inlineStr">
        <is>
          <t>Carried from CHISON_Market_Development_Target_List_v2 (merged into v6, 6 Aug 2026)</t>
        </is>
      </c>
      <c r="U7" s="50" t="inlineStr">
        <is>
          <t>VIP동물의료센터: 서초 (VIP Animal Medical Center, 서초 branch), part of one group conversation, not five</t>
        </is>
      </c>
      <c r="V7" s="50" t="inlineStr">
        <is>
          <t>Dear VIP동물의료센터, 서초 (VIP Animal Medical Center, 서초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8" ht="165" customHeight="1" s="114">
      <c r="A8" s="113" t="n">
        <v>3</v>
      </c>
      <c r="B8" s="113" t="inlineStr">
        <is>
          <t>VIP동물의료센터 — 성북 (VIP Animal Medical Center, 성북 branch)</t>
        </is>
      </c>
      <c r="C8" s="113" t="inlineStr">
        <is>
          <t>24-hour branch hospital (group site)</t>
        </is>
      </c>
      <c r="D8" s="42" t="inlineStr">
        <is>
          <t>Not started</t>
        </is>
      </c>
      <c r="E8" s="43" t="n"/>
      <c r="F8" s="44" t="n"/>
      <c r="G8" s="45" t="n"/>
      <c r="H8" s="46" t="inlineStr">
        <is>
          <t>24-hour branch hospital (group site). 1 of 5 group sites. Seongbuk-gu, Seoul. RELEVANCE: multi-site groups make one equipment decision and repeat it, which turns a single scanner sale into a fleet order. They also have a procurement function, so the conversation belongs at head office rather than at a clinic. Lead product: SonoEye P3 VET.</t>
        </is>
      </c>
      <c r="I8" s="113" t="inlineStr">
        <is>
          <t>1 of 5 group sites</t>
        </is>
      </c>
      <c r="J8" s="113" t="inlineStr">
        <is>
          <t>Seongbuk-gu, Seoul</t>
        </is>
      </c>
      <c r="K8" s="46" t="inlineStr">
        <is>
          <t>NOT CONFIRMED — via vipah.co.kr</t>
        </is>
      </c>
      <c r="L8" s="47" t="inlineStr">
        <is>
          <t>https://www.vipah.co.kr</t>
        </is>
      </c>
      <c r="M8" s="113" t="inlineStr">
        <is>
          <t>Not published — via vipah.co.kr</t>
        </is>
      </c>
      <c r="N8" s="113" t="inlineStr">
        <is>
          <t>C — SITE LIVE, NOT OPENED (domain returned by search with real content; page not opened by us)</t>
        </is>
      </c>
      <c r="O8" s="113" t="inlineStr">
        <is>
          <t>GROUP OVERLAP: same organisation as the Cheongdam flagship row. Do not open a separate approach — this row exists so the branch is visible at rollout.</t>
        </is>
      </c>
      <c r="P8" s="113" t="inlineStr">
        <is>
          <t>SonoEye P3 VET</t>
        </is>
      </c>
      <c r="Q8" s="57" t="inlineStr">
        <is>
          <t>P3</t>
        </is>
      </c>
      <c r="R8" s="54" t="inlineStr">
        <is>
          <t>LOW-MEDIUM — long tail, and no invoice until a Korean entity holds the QIA veterinary device import licence. Build the relationship cheaply; do not spend travel budget yet.</t>
        </is>
      </c>
      <c r="S8" s="113" t="inlineStr">
        <is>
          <t>H-Fleet</t>
        </is>
      </c>
      <c r="T8" s="113" t="inlineStr">
        <is>
          <t>Carried from CHISON_Market_Development_Target_List_v2 (merged into v6, 6 Aug 2026)</t>
        </is>
      </c>
      <c r="U8" s="50" t="inlineStr">
        <is>
          <t>VIP동물의료센터: 성북 (VIP Animal Medical Center, 성북 branch), part of one group conversation, not five</t>
        </is>
      </c>
      <c r="V8" s="50" t="inlineStr">
        <is>
          <t>Dear VIP동물의료센터, 성북 (VIP Animal Medical Center, 성북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9" ht="165" customHeight="1" s="114">
      <c r="A9" s="113" t="n">
        <v>2</v>
      </c>
      <c r="B9" s="113" t="inlineStr">
        <is>
          <t>VIP동물의료센터 — 청담 본원 (VIP Animal Medical Center, Cheongdam flagship)</t>
        </is>
      </c>
      <c r="C9" s="113" t="inlineStr">
        <is>
          <t>24-hour metropolitan hospital group — flagship</t>
        </is>
      </c>
      <c r="D9" s="42" t="inlineStr">
        <is>
          <t>Not started</t>
        </is>
      </c>
      <c r="E9" s="43" t="n"/>
      <c r="F9" s="44" t="n"/>
      <c r="G9" s="45" t="n"/>
      <c r="H9" s="46" t="inlineStr">
        <is>
          <t>24-hour metropolitan hospital group — flagship. 5 Seoul sites. Gangnam-gu, Seoul.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t>
        </is>
      </c>
      <c r="I9" s="113" t="inlineStr">
        <is>
          <t>5 Seoul sites</t>
        </is>
      </c>
      <c r="J9" s="113" t="inlineStr">
        <is>
          <t>Gangnam-gu, Seoul</t>
        </is>
      </c>
      <c r="K9" s="46" t="inlineStr">
        <is>
          <t>NOT CONFIRMED — via vipah.co.kr</t>
        </is>
      </c>
      <c r="L9" s="47" t="inlineStr">
        <is>
          <t>https://www.vipah.co.kr</t>
        </is>
      </c>
      <c r="M9" s="113" t="inlineStr">
        <is>
          <t>Not published — via vipah.co.kr</t>
        </is>
      </c>
      <c r="N9" s="113" t="inlineStr">
        <is>
          <t>C — SITE LIVE, NOT OPENED (domain returned by search with real content; page not opened by us)</t>
        </is>
      </c>
      <c r="O9" s="113" t="inlineStr">
        <is>
          <t>Rank 9 on the Top 10 tab. Five departmentally specialised 24-hour centres under one head office — one decision, five sites, and the branch rows below exist only so the rollout is visible.</t>
        </is>
      </c>
      <c r="P9" s="113" t="inlineStr">
        <is>
          <t>SonoEye P3 VET per site + shared SonoAir 70 VET</t>
        </is>
      </c>
      <c r="Q9" s="48" t="inlineStr">
        <is>
          <t>P1 — engage now</t>
        </is>
      </c>
      <c r="R9" s="58" t="inlineStr">
        <is>
          <t>HIGH once the channel exists — real budget and fleet potential, but no invoice until a Korean entity holds the QIA veterinary device import licence. Engage now for relationship and evaluation.</t>
        </is>
      </c>
      <c r="S9" s="113" t="inlineStr">
        <is>
          <t>H-Fleet</t>
        </is>
      </c>
      <c r="T9" s="113" t="inlineStr">
        <is>
          <t>Verified site (internal list) + Top 10 rank 9</t>
        </is>
      </c>
      <c r="U9" s="50" t="inlineStr">
        <is>
          <t>VIP동물의료센터: 청담 본원 (VIP Animal Medical Center, Cheongdam flagship), one handheld standard across five centres</t>
        </is>
      </c>
      <c r="V9" s="50" t="inlineStr">
        <is>
          <t>Dear VIP동물의료센터, 청담 본원 (VIP Animal Medical Center, Cheongdam flagship) team,
My name is Casper Tan, Senior Regional Sales Manager at AstraMed Healthcare, a subsidiary of CHISON Medical Technologies. I look after CHISON veterinary ultrasound in your market.
Five 24-hour centres under one head office means a handheld decision made once and repeated five times, which is a very different conversation from selling one scanner.
To be simple: a Korean entity must hold the QIA veterinary device import licence before anything ships, so this note is about the relationship and an evaluation, not an order.
The configuration I would put in front of you is SonoEye P3 VET per site + shared SonoAir 70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0" ht="165" customHeight="1" s="114">
      <c r="A10" s="113" t="n">
        <v>22</v>
      </c>
      <c r="B10" s="41" t="inlineStr">
        <is>
          <t>강원대학교 동물병원 (Kangwon National University)</t>
        </is>
      </c>
      <c r="C10" s="113" t="inlineStr">
        <is>
          <t>University teaching hospital</t>
        </is>
      </c>
      <c r="D10" s="42" t="inlineStr">
        <is>
          <t>Not started</t>
        </is>
      </c>
      <c r="E10" s="43" t="n"/>
      <c r="F10" s="44" t="n"/>
      <c r="G10" s="45" t="n"/>
      <c r="H10" s="113" t="inlineStr">
        <is>
          <t>University teaching hospital. 1. Chuncheon.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0" s="113" t="inlineStr">
        <is>
          <t>1</t>
        </is>
      </c>
      <c r="J10" s="113" t="inlineStr">
        <is>
          <t>Chuncheon</t>
        </is>
      </c>
      <c r="K10" s="113" t="inlineStr">
        <is>
          <t>NOT CONFIRMED</t>
        </is>
      </c>
      <c r="L10" s="113" t="inlineStr">
        <is>
          <t>NOT CONFIRMED — search the university's 동물병원 page</t>
        </is>
      </c>
      <c r="M10" s="113" t="inlineStr">
        <is>
          <t>NOT CONFIRMED</t>
        </is>
      </c>
      <c r="N10" s="113" t="inlineStr">
        <is>
          <t>D — NOT VERIFIED (name, city and domain carried from the Market Development list; page not opened by us)</t>
        </is>
      </c>
      <c r="O10" s="113" t="inlineStr">
        <is>
          <t>Regional academic account. Lower influence than Seoul, shorter queue, and graduates carry equipment habits into regional practice.</t>
        </is>
      </c>
      <c r="P10" s="113" t="inlineStr">
        <is>
          <t>SonoEye P5 VET teaching units</t>
        </is>
      </c>
      <c r="Q10" s="57" t="inlineStr">
        <is>
          <t>P3</t>
        </is>
      </c>
      <c r="R10" s="52" t="inlineStr">
        <is>
          <t>MEDIUM — high KOL value, long cycle, and no invoice until a Korean entity holds the QIA veterinary device import licence. No veterinary cart exists (decision D-2) — handheld teaching units only.</t>
        </is>
      </c>
      <c r="S10" s="113" t="inlineStr">
        <is>
          <t>H-Ref</t>
        </is>
      </c>
      <c r="T10" s="113" t="inlineStr">
        <is>
          <t>Carried from CHISON_Market_Development_Target_List_v2 (merged into v6, 6 Aug 2026)</t>
        </is>
      </c>
      <c r="U10" s="56" t="inlineStr">
        <is>
          <t>강원대학교 동물병원 (Kangwon National University): an academic evaluation placement</t>
        </is>
      </c>
      <c r="V10" s="50" t="inlineStr">
        <is>
          <t>Dear 강원대학교 동물병원 (Kangwon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1" ht="165" customHeight="1" s="114">
      <c r="A11" s="113" t="n">
        <v>15</v>
      </c>
      <c r="B11" s="41" t="inlineStr">
        <is>
          <t>건국대학교 부속 동물병원 (Konkuk University)</t>
        </is>
      </c>
      <c r="C11" s="113" t="inlineStr">
        <is>
          <t>University teaching hospital</t>
        </is>
      </c>
      <c r="D11" s="42" t="inlineStr">
        <is>
          <t>Not started</t>
        </is>
      </c>
      <c r="E11" s="43" t="n"/>
      <c r="F11" s="44" t="n"/>
      <c r="G11" s="45" t="n"/>
      <c r="H11" s="46" t="inlineStr">
        <is>
          <t>University teaching hospital. 1. Gwangjin-gu,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1" s="113" t="inlineStr">
        <is>
          <t>1</t>
        </is>
      </c>
      <c r="J11" s="113" t="inlineStr">
        <is>
          <t>Gwangjin-gu, Seoul</t>
        </is>
      </c>
      <c r="K11" s="46" t="inlineStr">
        <is>
          <t>NOT CONFIRMED — via vmth.konkuk.ac.kr</t>
        </is>
      </c>
      <c r="L11" s="47" t="inlineStr">
        <is>
          <t>https://vmth.konkuk.ac.kr</t>
        </is>
      </c>
      <c r="M11" s="113" t="inlineStr">
        <is>
          <t>Not published — via the university site</t>
        </is>
      </c>
      <c r="N11" s="113" t="inlineStr">
        <is>
          <t>C — SITE LIVE, NOT OPENED (domain returned by search with real content; page not opened by us)</t>
        </is>
      </c>
      <c r="O11" s="113" t="inlineStr">
        <is>
          <t>The second metropolitan academic account in Korea. Shorter queue than SNU, similar teaching reach.</t>
        </is>
      </c>
      <c r="P11" s="113" t="inlineStr">
        <is>
          <t>SonoEye P5 VET teaching units</t>
        </is>
      </c>
      <c r="Q11" s="57" t="inlineStr">
        <is>
          <t>P3</t>
        </is>
      </c>
      <c r="R11" s="52" t="inlineStr">
        <is>
          <t>MEDIUM — high KOL value, long cycle, and no invoice until a Korean entity holds the QIA veterinary device import licence. No veterinary cart exists (decision D-2) — handheld teaching units only.</t>
        </is>
      </c>
      <c r="S11" s="113" t="inlineStr">
        <is>
          <t>H-Ref</t>
        </is>
      </c>
      <c r="T11" s="113" t="inlineStr">
        <is>
          <t>Carried from CHISON_Market_Development_Target_List_v2 (merged into v6, 6 Aug 2026)</t>
        </is>
      </c>
      <c r="U11" s="56" t="inlineStr">
        <is>
          <t>건국대학교 부속 동물병원 (Konkuk University): an academic evaluation placement</t>
        </is>
      </c>
      <c r="V11" s="50" t="inlineStr">
        <is>
          <t>Dear 건국대학교 부속 동물병원 (Konkuk University) team,
My name is Casper Tan, Senior Regional Sales Manager at AstraMed Healthcare, a subsidiary of CHISON Medical Technologies. I look after CHISON veterinary ultrasound in your market.
Teaching-room equipment shapes what your graduates specify in their own clinics.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2" ht="165" customHeight="1" s="114">
      <c r="A12" s="113" t="n">
        <v>18</v>
      </c>
      <c r="B12" s="41" t="inlineStr">
        <is>
          <t>경북대학교 동물병원 (Kyungpook National University)</t>
        </is>
      </c>
      <c r="C12" s="113" t="inlineStr">
        <is>
          <t>University teaching hospital</t>
        </is>
      </c>
      <c r="D12" s="42" t="inlineStr">
        <is>
          <t>Not started</t>
        </is>
      </c>
      <c r="E12" s="43" t="n"/>
      <c r="F12" s="44" t="n"/>
      <c r="G12" s="45" t="n"/>
      <c r="H12" s="113" t="inlineStr">
        <is>
          <t>University teaching hospital. 1. Daegu.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2" s="113" t="inlineStr">
        <is>
          <t>1</t>
        </is>
      </c>
      <c r="J12" s="113" t="inlineStr">
        <is>
          <t>Daegu</t>
        </is>
      </c>
      <c r="K12" s="113" t="inlineStr">
        <is>
          <t>NOT CONFIRMED</t>
        </is>
      </c>
      <c r="L12" s="113" t="inlineStr">
        <is>
          <t>NOT CONFIRMED — search the university's 동물병원 page</t>
        </is>
      </c>
      <c r="M12" s="113" t="inlineStr">
        <is>
          <t>NOT CONFIRMED</t>
        </is>
      </c>
      <c r="N12" s="113" t="inlineStr">
        <is>
          <t>D — NOT VERIFIED (name, city and domain carried from the Market Development list; page not opened by us)</t>
        </is>
      </c>
      <c r="O12" s="113" t="inlineStr">
        <is>
          <t>Regional academic account. Lower influence than Seoul, shorter queue, and graduates carry equipment habits into regional practice.</t>
        </is>
      </c>
      <c r="P12" s="113" t="inlineStr">
        <is>
          <t>SonoEye P5 VET teaching units</t>
        </is>
      </c>
      <c r="Q12" s="57" t="inlineStr">
        <is>
          <t>P3</t>
        </is>
      </c>
      <c r="R12" s="52" t="inlineStr">
        <is>
          <t>MEDIUM — high KOL value, long cycle, and no invoice until a Korean entity holds the QIA veterinary device import licence. No veterinary cart exists (decision D-2) — handheld teaching units only.</t>
        </is>
      </c>
      <c r="S12" s="113" t="inlineStr">
        <is>
          <t>H-Ref</t>
        </is>
      </c>
      <c r="T12" s="113" t="inlineStr">
        <is>
          <t>Carried from CHISON_Market_Development_Target_List_v2 (merged into v6, 6 Aug 2026)</t>
        </is>
      </c>
      <c r="U12" s="56" t="inlineStr">
        <is>
          <t>경북대학교 동물병원 (Kyungpook National University): an academic evaluation placement</t>
        </is>
      </c>
      <c r="V12" s="50" t="inlineStr">
        <is>
          <t>Dear 경북대학교 동물병원 (Kyungpook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3" ht="165" customHeight="1" s="114">
      <c r="A13" s="113" t="n">
        <v>21</v>
      </c>
      <c r="B13" s="41" t="inlineStr">
        <is>
          <t>경상국립대학교 동물의료원 (Gyeongsang National University)</t>
        </is>
      </c>
      <c r="C13" s="113" t="inlineStr">
        <is>
          <t>University teaching hospital</t>
        </is>
      </c>
      <c r="D13" s="42" t="inlineStr">
        <is>
          <t>Not started</t>
        </is>
      </c>
      <c r="E13" s="43" t="n"/>
      <c r="F13" s="44" t="n"/>
      <c r="G13" s="45" t="n"/>
      <c r="H13" s="113" t="inlineStr">
        <is>
          <t>University teaching hospital. 1. Jinju.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13" s="113" t="inlineStr">
        <is>
          <t>1</t>
        </is>
      </c>
      <c r="J13" s="113" t="inlineStr">
        <is>
          <t>Jinju</t>
        </is>
      </c>
      <c r="K13" s="113" t="inlineStr">
        <is>
          <t>NOT CONFIRMED</t>
        </is>
      </c>
      <c r="L13" s="113" t="inlineStr">
        <is>
          <t>NOT CONFIRMED — search the university's 동물병원 page</t>
        </is>
      </c>
      <c r="M13" s="113" t="inlineStr">
        <is>
          <t>NOT CONFIRMED</t>
        </is>
      </c>
      <c r="N13" s="113" t="inlineStr">
        <is>
          <t>D — NOT VERIFIED (name, city and domain carried from the Market Development list; page not opened by us)</t>
        </is>
      </c>
      <c r="O13" s="113" t="inlineStr">
        <is>
          <t>Regional academic account in a livestock-weighted province — the one setting where EBit 50 VET leads rather than the handheld.</t>
        </is>
      </c>
      <c r="P13" s="113" t="inlineStr">
        <is>
          <t>EBit 50 VET (bovine/swine reproduction) + SonoEye P3 VET</t>
        </is>
      </c>
      <c r="Q13" s="57" t="inlineStr">
        <is>
          <t>P3</t>
        </is>
      </c>
      <c r="R13" s="52" t="inlineStr">
        <is>
          <t>MEDIUM — high KOL value, long cycle, and no invoice until a Korean entity holds the QIA veterinary device import licence. No veterinary cart exists (decision D-2) — handheld teaching units only.</t>
        </is>
      </c>
      <c r="S13" s="113" t="inlineStr">
        <is>
          <t>H-Ref</t>
        </is>
      </c>
      <c r="T13" s="113" t="inlineStr">
        <is>
          <t>Carried from CHISON_Market_Development_Target_List_v2 (merged into v6, 6 Aug 2026)</t>
        </is>
      </c>
      <c r="U13" s="56" t="inlineStr">
        <is>
          <t>경상국립대학교 동물의료원 (Gyeongsang National University): an academic evaluation placement</t>
        </is>
      </c>
      <c r="V13" s="50" t="inlineStr">
        <is>
          <t>Dear 경상국립대학교 동물의료원 (Gyeongsang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4" ht="165" customHeight="1" s="114">
      <c r="A14" s="113" t="n">
        <v>12</v>
      </c>
      <c r="B14" s="41" t="inlineStr">
        <is>
          <t>로얄동물메디컬센터 강동 (Royal AMC 강동 branch)</t>
        </is>
      </c>
      <c r="C14" s="113" t="inlineStr">
        <is>
          <t>Branch hospital (group site)</t>
        </is>
      </c>
      <c r="D14" s="42" t="inlineStr">
        <is>
          <t>Not started</t>
        </is>
      </c>
      <c r="E14" s="43" t="n"/>
      <c r="F14" s="44" t="n"/>
      <c r="G14" s="45" t="n"/>
      <c r="H14" s="46" t="inlineStr">
        <is>
          <t>Branch hospital (group site). 1 of 3 group sites. Gangdong-gu, Seoul. RELEVANCE: multi-site groups make one equipment decision and repeat it, which turns a single scanner sale into a fleet order. They also have a procurement function, so the conversation belongs at head office rather than at a clinic. Lead product: SonoEye P3 VET.</t>
        </is>
      </c>
      <c r="I14" s="113" t="inlineStr">
        <is>
          <t>1 of 3 group sites</t>
        </is>
      </c>
      <c r="J14" s="113" t="inlineStr">
        <is>
          <t>Gangdong-gu, Seoul</t>
        </is>
      </c>
      <c r="K14" s="46" t="inlineStr">
        <is>
          <t>NOT CONFIRMED — via royalamc.com</t>
        </is>
      </c>
      <c r="L14" s="47" t="inlineStr">
        <is>
          <t>https://www.royalamc.com</t>
        </is>
      </c>
      <c r="M14" s="113" t="inlineStr">
        <is>
          <t>Not published — via royalamc.com</t>
        </is>
      </c>
      <c r="N14" s="113" t="inlineStr">
        <is>
          <t>C — SITE LIVE, NOT OPENED (domain returned by search with real content; page not opened by us)</t>
        </is>
      </c>
      <c r="O14" s="113" t="inlineStr">
        <is>
          <t>GROUP OVERLAP with the Royal AMC main row. Visible for rollout only.</t>
        </is>
      </c>
      <c r="P14" s="113" t="inlineStr">
        <is>
          <t>SonoEye P3 VET</t>
        </is>
      </c>
      <c r="Q14" s="57" t="inlineStr">
        <is>
          <t>P3</t>
        </is>
      </c>
      <c r="R14" s="54" t="inlineStr">
        <is>
          <t>LOW-MEDIUM — long tail, and no invoice until a Korean entity holds the QIA veterinary device import licence. Build the relationship cheaply; do not spend travel budget yet.</t>
        </is>
      </c>
      <c r="S14" s="113" t="inlineStr">
        <is>
          <t>H-Fleet</t>
        </is>
      </c>
      <c r="T14" s="113" t="inlineStr">
        <is>
          <t>Carried from CHISON_Market_Development_Target_List_v2 (merged into v6, 6 Aug 2026)</t>
        </is>
      </c>
      <c r="U14" s="56" t="inlineStr">
        <is>
          <t>로얄동물메디컬센터 강동 (Royal AMC 강동 branch): part of one group conversation, not three</t>
        </is>
      </c>
      <c r="V14" s="50" t="inlineStr">
        <is>
          <t>Dear 로얄동물메디컬센터 강동 (Royal AMC 강동 branch) team,
My name is Casper Tan, Senior Regional Sales Manager at AstraMed Healthcare, a subsidiary of CHISON Medical Technologies. I look after CHISON veterinary ultrasound in your market.
I am already in contact with the main hospital,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15" ht="165" customHeight="1" s="114">
      <c r="A15" s="113" t="n">
        <v>11</v>
      </c>
      <c r="B15" s="41" t="inlineStr">
        <is>
          <t>로얄동물메디컬센터 본원 (Royal Animal Medical Center, main)</t>
        </is>
      </c>
      <c r="C15" s="113" t="inlineStr">
        <is>
          <t>3-site hospital group, Seoul</t>
        </is>
      </c>
      <c r="D15" s="42" t="inlineStr">
        <is>
          <t>Not started</t>
        </is>
      </c>
      <c r="E15" s="43" t="n"/>
      <c r="F15" s="44" t="n"/>
      <c r="G15" s="45" t="n"/>
      <c r="H15" s="46" t="inlineStr">
        <is>
          <t>3-site hospital group, Seoul. 3 Seoul sites. Mapo-gu, Seoul. RELEVANCE: multi-site groups make one equipment decision and repeat it, which turns a single scanner sale into a fleet order. They also have a procurement function, so the conversation belongs at head office rather than at a clinic. Lead product: SonoEye P3 VET per site.</t>
        </is>
      </c>
      <c r="I15" s="113" t="inlineStr">
        <is>
          <t>3 Seoul sites</t>
        </is>
      </c>
      <c r="J15" s="113" t="inlineStr">
        <is>
          <t>Mapo-gu, Seoul</t>
        </is>
      </c>
      <c r="K15" s="46" t="inlineStr">
        <is>
          <t>NOT CONFIRMED — via royalamc.com</t>
        </is>
      </c>
      <c r="L15" s="47" t="inlineStr">
        <is>
          <t>https://www.royalamc.com</t>
        </is>
      </c>
      <c r="M15" s="113" t="inlineStr">
        <is>
          <t>Not published — via royalamc.com</t>
        </is>
      </c>
      <c r="N15" s="113" t="inlineStr">
        <is>
          <t>C — SITE LIVE, NOT OPENED (domain returned by search with real content; page not opened by us)</t>
        </is>
      </c>
      <c r="O15" s="113" t="inlineStr">
        <is>
          <t>Rank 19 on the bench list — the alternative Korean multi-site group if VIP stalls. Three sites is enough for a standardisation argument.</t>
        </is>
      </c>
      <c r="P15" s="113" t="inlineStr">
        <is>
          <t>SonoEye P3 VET per site</t>
        </is>
      </c>
      <c r="Q15" s="51" t="inlineStr">
        <is>
          <t>P2</t>
        </is>
      </c>
      <c r="R15" s="52" t="inlineStr">
        <is>
          <t>MEDIUM — genuine buyer when the channel opens; no invoice until a Korean entity holds the QIA veterinary device import licence. Evaluation and relationship work is legitimate now.</t>
        </is>
      </c>
      <c r="S15" s="113" t="inlineStr">
        <is>
          <t>H-Fleet</t>
        </is>
      </c>
      <c r="T15" s="113" t="inlineStr">
        <is>
          <t>Carried from CHISON_Market_Development_Target_List_v2 (merged into v6, 6 Aug 2026) + Bench 11-20 rank 19</t>
        </is>
      </c>
      <c r="U15" s="56" t="inlineStr">
        <is>
          <t>로얄동물메디컬센터 본원 (Royal Animal Medical Center, main): one handheld standard across three sites</t>
        </is>
      </c>
      <c r="V15" s="50" t="inlineStr">
        <is>
          <t>Dear 로얄동물메디컬센터 본원 (Royal Animal Medical Center, main) team,
My name is Casper Tan, Senior Regional Sales Manager at AstraMed Healthcare, a subsidiary of CHISON Medical Technologies. I look after CHISON veterinary ultrasound in your market.
Three centres under one group is enough for standardisation to save you money rather than cost you flexibility.
To be simple: a Korean entity must hold the QIA veterinary device import licence before anything ships,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6" ht="165" customHeight="1" s="114">
      <c r="A16" s="113" t="n">
        <v>13</v>
      </c>
      <c r="B16" s="41" t="inlineStr">
        <is>
          <t>로얄동물메디컬센터 중랑 (Royal AMC 중랑 branch)</t>
        </is>
      </c>
      <c r="C16" s="113" t="inlineStr">
        <is>
          <t>Branch hospital (group site)</t>
        </is>
      </c>
      <c r="D16" s="42" t="inlineStr">
        <is>
          <t>Not started</t>
        </is>
      </c>
      <c r="E16" s="43" t="n"/>
      <c r="F16" s="44" t="n"/>
      <c r="G16" s="45" t="n"/>
      <c r="H16" s="46" t="inlineStr">
        <is>
          <t>Branch hospital (group site). 1 of 3 group sites. Jungnang-gu, Seoul. RELEVANCE: multi-site groups make one equipment decision and repeat it, which turns a single scanner sale into a fleet order. They also have a procurement function, so the conversation belongs at head office rather than at a clinic. Lead product: SonoEye P3 VET.</t>
        </is>
      </c>
      <c r="I16" s="113" t="inlineStr">
        <is>
          <t>1 of 3 group sites</t>
        </is>
      </c>
      <c r="J16" s="113" t="inlineStr">
        <is>
          <t>Jungnang-gu, Seoul</t>
        </is>
      </c>
      <c r="K16" s="46" t="inlineStr">
        <is>
          <t>NOT CONFIRMED — via royalamc.com</t>
        </is>
      </c>
      <c r="L16" s="47" t="inlineStr">
        <is>
          <t>https://www.royalamc.com</t>
        </is>
      </c>
      <c r="M16" s="113" t="inlineStr">
        <is>
          <t>Not published — via royalamc.com</t>
        </is>
      </c>
      <c r="N16" s="113" t="inlineStr">
        <is>
          <t>C — SITE LIVE, NOT OPENED (domain returned by search with real content; page not opened by us)</t>
        </is>
      </c>
      <c r="O16" s="113" t="inlineStr">
        <is>
          <t>GROUP OVERLAP with the Royal AMC main row. Visible for rollout only.</t>
        </is>
      </c>
      <c r="P16" s="113" t="inlineStr">
        <is>
          <t>SonoEye P3 VET</t>
        </is>
      </c>
      <c r="Q16" s="57" t="inlineStr">
        <is>
          <t>P3</t>
        </is>
      </c>
      <c r="R16" s="54" t="inlineStr">
        <is>
          <t>LOW-MEDIUM — long tail, and no invoice until a Korean entity holds the QIA veterinary device import licence. Build the relationship cheaply; do not spend travel budget yet.</t>
        </is>
      </c>
      <c r="S16" s="113" t="inlineStr">
        <is>
          <t>H-Fleet</t>
        </is>
      </c>
      <c r="T16" s="113" t="inlineStr">
        <is>
          <t>Carried from CHISON_Market_Development_Target_List_v2 (merged into v6, 6 Aug 2026)</t>
        </is>
      </c>
      <c r="U16" s="56" t="inlineStr">
        <is>
          <t>로얄동물메디컬센터 중랑 (Royal AMC 중랑 branch): part of one group conversation, not three</t>
        </is>
      </c>
      <c r="V16" s="50" t="inlineStr">
        <is>
          <t>Dear 로얄동물메디컬센터 중랑 (Royal AMC 중랑 branch) team,
My name is Casper Tan, Senior Regional Sales Manager at AstraMed Healthcare, a subsidiary of CHISON Medical Technologies. I look after CHISON veterinary ultrasound in your market.
I am already in contact with the main hospital,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17" ht="165" customHeight="1" s="114">
      <c r="A17" s="113" t="n">
        <v>10</v>
      </c>
      <c r="B17" s="41" t="inlineStr">
        <is>
          <t>사람앤동물메디컬센터 (Saram &amp; Animal Medical Center)</t>
        </is>
      </c>
      <c r="C17" s="113" t="inlineStr">
        <is>
          <t>24-hour medical centre</t>
        </is>
      </c>
      <c r="D17" s="42" t="inlineStr">
        <is>
          <t>Not started</t>
        </is>
      </c>
      <c r="E17" s="43" t="n"/>
      <c r="F17" s="44" t="n"/>
      <c r="G17" s="45" t="n"/>
      <c r="H17" s="46" t="inlineStr">
        <is>
          <t>24-hour medical centre. 1. South Korea.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7" s="113" t="inlineStr">
        <is>
          <t>1</t>
        </is>
      </c>
      <c r="J17" s="113" t="inlineStr">
        <is>
          <t>South Korea</t>
        </is>
      </c>
      <c r="K17" s="46" t="inlineStr">
        <is>
          <t>NOT CONFIRMED — via snamc.co.kr</t>
        </is>
      </c>
      <c r="L17" s="47" t="inlineStr">
        <is>
          <t>https://www.snamc.co.kr</t>
        </is>
      </c>
      <c r="M17" s="113" t="inlineStr">
        <is>
          <t>Not published — via snamc.co.kr</t>
        </is>
      </c>
      <c r="N17" s="113" t="inlineStr">
        <is>
          <t>C — SITE LIVE, NOT OPENED (domain returned by search with real content; page not opened by us)</t>
        </is>
      </c>
      <c r="O17" s="113" t="inlineStr">
        <is>
          <t>24-hour imaging buyer. Second-wave metro account.</t>
        </is>
      </c>
      <c r="P17" s="113" t="inlineStr">
        <is>
          <t>SonoEye P3 VET</t>
        </is>
      </c>
      <c r="Q17" s="57" t="inlineStr">
        <is>
          <t>P3</t>
        </is>
      </c>
      <c r="R17" s="54" t="inlineStr">
        <is>
          <t>LOW-MEDIUM — long tail, and no invoice until a Korean entity holds the QIA veterinary device import licence. Build the relationship cheaply; do not spend travel budget yet.</t>
        </is>
      </c>
      <c r="S17" s="113" t="inlineStr">
        <is>
          <t>H-Eval</t>
        </is>
      </c>
      <c r="T17" s="113" t="inlineStr">
        <is>
          <t>Carried from CHISON_Market_Development_Target_List_v2 (merged into v6, 6 Aug 2026)</t>
        </is>
      </c>
      <c r="U17" s="56" t="inlineStr">
        <is>
          <t>사람앤동물메디컬센터 (Saram &amp; Animal Medical Center): a scanner for the night shift</t>
        </is>
      </c>
      <c r="V17" s="50" t="inlineStr">
        <is>
          <t>Dear 사람앤동물메디컬센터 (Saram &amp; Animal Medical Center) team,
My name is Casper Tan, Senior Regional Sales Manager at AstraMed Healthcare, a subsidiary of CHISON Medical Technologies. I look after CHISON veterinary ultrasound in your market.
A 24-hour centre needs a scanner that is reachable in seconds, not one that has to be wheeled in.
To be simple: a Korean entity must hold the QIA veterinary device import licence before anything ships,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8" ht="165" customHeight="1" s="114">
      <c r="A18" s="113" t="n">
        <v>7</v>
      </c>
      <c r="B18" s="41" t="inlineStr">
        <is>
          <t>샤인동물메디컬센터 (Shine Animal Medical Center)</t>
        </is>
      </c>
      <c r="C18" s="113" t="inlineStr">
        <is>
          <t>University-grade 24-hour centre with CT and MRI</t>
        </is>
      </c>
      <c r="D18" s="42" t="inlineStr">
        <is>
          <t>Not started</t>
        </is>
      </c>
      <c r="E18" s="43" t="n"/>
      <c r="F18" s="44" t="n"/>
      <c r="G18" s="45" t="n"/>
      <c r="H18" s="46" t="inlineStr">
        <is>
          <t>University-grade 24-hour centre with CT and MRI. 1.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SonoAir 70 VET + SonoEye P5 VET.</t>
        </is>
      </c>
      <c r="I18" s="113" t="inlineStr">
        <is>
          <t>1</t>
        </is>
      </c>
      <c r="J18" s="113" t="inlineStr">
        <is>
          <t>Seoul</t>
        </is>
      </c>
      <c r="K18" s="46" t="inlineStr">
        <is>
          <t>NOT CONFIRMED — via shineamc.com</t>
        </is>
      </c>
      <c r="L18" s="47" t="inlineStr">
        <is>
          <t>https://www.shineamc.com</t>
        </is>
      </c>
      <c r="M18" s="113" t="inlineStr">
        <is>
          <t>Not published — via shineamc.com</t>
        </is>
      </c>
      <c r="N18" s="113" t="inlineStr">
        <is>
          <t>C — SITE LIVE, NOT OPENED (domain returned by search with real content; page not opened by us)</t>
        </is>
      </c>
      <c r="O18" s="113" t="inlineStr">
        <is>
          <t>Rank 14 on the bench list. A metro flagship already carrying CT and MRI, so imaging quality is judged properly here and a good result carries weight.</t>
        </is>
      </c>
      <c r="P18" s="113" t="inlineStr">
        <is>
          <t>SonoAir 70 VET + SonoEye P5 VET</t>
        </is>
      </c>
      <c r="Q18" s="51" t="inlineStr">
        <is>
          <t>P2</t>
        </is>
      </c>
      <c r="R18" s="52" t="inlineStr">
        <is>
          <t>MEDIUM — high KOL value, long cycle, and no invoice until a Korean entity holds the QIA veterinary device import licence. No veterinary cart exists (decision D-2) — handheld teaching units only.</t>
        </is>
      </c>
      <c r="S18" s="113" t="inlineStr">
        <is>
          <t>H-Ref</t>
        </is>
      </c>
      <c r="T18" s="113" t="inlineStr">
        <is>
          <t>Carried from CHISON_Market_Development_Target_List_v2 (merged into v6, 6 Aug 2026) + Bench 11-20 rank 14</t>
        </is>
      </c>
      <c r="U18" s="56" t="inlineStr">
        <is>
          <t>샤인동물메디컬센터 (Shine Animal Medical Center): an evaluation judged on images</t>
        </is>
      </c>
      <c r="V18" s="50" t="inlineStr">
        <is>
          <t>Dear 샤인동물메디컬센터 (Shine Animal Medical Center) team,
My name is Casper Tan, Senior Regional Sales Manager at AstraMed Healthcare, a subsidiary of CHISON Medical Technologies. I look after CHISON veterinary ultrasound in your market.
A centre that already runs CT and MRI will judge an ultrasound on the images, not on the brochure, which suits us.
To be simple: a Korean entity must hold the QIA veterinary device import licence before anything ships, so this note is about the relationship and an evaluation, not an order.
The configuration I would put in front of you is SonoAir 70 VET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9" ht="165" customHeight="1" s="114">
      <c r="A19" s="113" t="n">
        <v>14</v>
      </c>
      <c r="B19" s="41" t="inlineStr">
        <is>
          <t>서울대학교 수의과대학 동물병원 (SNU VMTH)</t>
        </is>
      </c>
      <c r="C19" s="113" t="inlineStr">
        <is>
          <t>Korea's No.1 university teaching hospital</t>
        </is>
      </c>
      <c r="D19" s="42" t="inlineStr">
        <is>
          <t>Not started</t>
        </is>
      </c>
      <c r="E19" s="43" t="n"/>
      <c r="F19" s="44" t="n"/>
      <c r="G19" s="45" t="n"/>
      <c r="H19" s="46" t="inlineStr">
        <is>
          <t>Korea's No.1 university teaching hospital. 1. Gwanak-gu,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9" s="113" t="inlineStr">
        <is>
          <t>1</t>
        </is>
      </c>
      <c r="J19" s="113" t="inlineStr">
        <is>
          <t>Gwanak-gu, Seoul</t>
        </is>
      </c>
      <c r="K19" s="46" t="inlineStr">
        <is>
          <t>NOT CONFIRMED — via vmth.snu.ac.kr</t>
        </is>
      </c>
      <c r="L19" s="47" t="inlineStr">
        <is>
          <t>https://vmth.snu.ac.kr</t>
        </is>
      </c>
      <c r="M19" s="113" t="inlineStr">
        <is>
          <t>Not published — via vmth.snu.ac.kr</t>
        </is>
      </c>
      <c r="N19" s="113" t="inlineStr">
        <is>
          <t>C — SITE LIVE, NOT OPENED (domain returned by search with real content; page not opened by us)</t>
        </is>
      </c>
      <c r="O19" s="113" t="inlineStr">
        <is>
          <t>Rank 13 on the bench list. The highest academic value in Korea and the slowest cycle — start it early precisely because it will take the longest.</t>
        </is>
      </c>
      <c r="P19" s="113" t="inlineStr">
        <is>
          <t>SonoEye P5 VET teaching units (cart tier NOT addressable — decision D-2)</t>
        </is>
      </c>
      <c r="Q19" s="51" t="inlineStr">
        <is>
          <t>P2</t>
        </is>
      </c>
      <c r="R19" s="52" t="inlineStr">
        <is>
          <t>MEDIUM — high KOL value, long cycle, and no invoice until a Korean entity holds the QIA veterinary device import licence. No veterinary cart exists (decision D-2) — handheld teaching units only.</t>
        </is>
      </c>
      <c r="S19" s="113" t="inlineStr">
        <is>
          <t>H-Ref</t>
        </is>
      </c>
      <c r="T19" s="113" t="inlineStr">
        <is>
          <t>Carried from CHISON_Market_Development_Target_List_v2 (merged into v6, 6 Aug 2026) + Bench 11-20 rank 13</t>
        </is>
      </c>
      <c r="U19" s="56" t="inlineStr">
        <is>
          <t>서울대학교 수의과대학 동물병원 (SNU VMTH): an academic evaluation placement</t>
        </is>
      </c>
      <c r="V19" s="50" t="inlineStr">
        <is>
          <t>Dear 서울대학교 수의과대학 동물병원 (SNU VMTH) team,
My name is Casper Tan, Senior Regional Sales Manager at AstraMed Healthcare, a subsidiary of CHISON Medical Technologies. I look after CHISON veterinary ultrasound in your market.
SNU residents set the imaging habits of Korean small-animal practice for the following decade.
To be simple: a Korean entity must hold the QIA veterinary device import licence before anything ships,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0" ht="165" customHeight="1" s="114">
      <c r="A20" s="113" t="n">
        <v>25</v>
      </c>
      <c r="B20" s="41" t="inlineStr">
        <is>
          <t>송파원 동물병원 (Songpawon Animal Hospital)</t>
        </is>
      </c>
      <c r="C20" s="113" t="inlineStr">
        <is>
          <t>AAHA-accredited hospital</t>
        </is>
      </c>
      <c r="D20" s="42" t="inlineStr">
        <is>
          <t>Not started</t>
        </is>
      </c>
      <c r="E20" s="43" t="n"/>
      <c r="F20" s="44" t="n"/>
      <c r="G20" s="45" t="n"/>
      <c r="H20" s="46" t="inlineStr">
        <is>
          <t>AAHA-accredited hospital. 1. Songpa-gu,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0" s="113" t="inlineStr">
        <is>
          <t>1</t>
        </is>
      </c>
      <c r="J20" s="113" t="inlineStr">
        <is>
          <t>Songpa-gu, Seoul</t>
        </is>
      </c>
      <c r="K20" s="46" t="inlineStr">
        <is>
          <t>NOT CONFIRMED — via songpawonah.com</t>
        </is>
      </c>
      <c r="L20" s="47" t="inlineStr">
        <is>
          <t>https://www.songpawonah.com</t>
        </is>
      </c>
      <c r="M20" s="113" t="inlineStr">
        <is>
          <t>Not published — via songpawonah.com</t>
        </is>
      </c>
      <c r="N20" s="113" t="inlineStr">
        <is>
          <t>C — SITE LIVE, NOT OPENED (domain returned by search with real content; page not opened by us)</t>
        </is>
      </c>
      <c r="O20" s="113" t="inlineStr">
        <is>
          <t>AAHA accreditation means a quality-forward buyer who documents standards — an easier evaluation conversation than most.</t>
        </is>
      </c>
      <c r="P20" s="113" t="inlineStr">
        <is>
          <t>SonoEye P3 VET</t>
        </is>
      </c>
      <c r="Q20" s="57" t="inlineStr">
        <is>
          <t>P3</t>
        </is>
      </c>
      <c r="R20" s="54" t="inlineStr">
        <is>
          <t>LOW-MEDIUM — long tail, and no invoice until a Korean entity holds the QIA veterinary device import licence. Build the relationship cheaply; do not spend travel budget yet.</t>
        </is>
      </c>
      <c r="S20" s="113" t="inlineStr">
        <is>
          <t>H-Eval</t>
        </is>
      </c>
      <c r="T20" s="113" t="inlineStr">
        <is>
          <t>Carried from CHISON_Market_Development_Target_List_v2 (merged into v6, 6 Aug 2026)</t>
        </is>
      </c>
      <c r="U20" s="56" t="inlineStr">
        <is>
          <t>송파원 동물병원 (Songpawon Animal Hospital): a structured 30-day evaluation</t>
        </is>
      </c>
      <c r="V20" s="50" t="inlineStr">
        <is>
          <t>Dear 송파원 동물병원 (Songpawon Animal Hospital) team,
My name is Casper Tan, Senior Regional Sales Manager at AstraMed Healthcare, a subsidiary of CHISON Medical Technologies. I look after CHISON veterinary ultrasound in your market.
An AAHA-accredited hospital already documents its diagnostic standards, which makes a structured evaluation simple rather than awkward.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1" ht="165" customHeight="1" s="114">
      <c r="A21" s="113" t="n">
        <v>8</v>
      </c>
      <c r="B21" s="41" t="inlineStr">
        <is>
          <t>웨스턴동물의료센터 (Western Animal Medical Center)</t>
        </is>
      </c>
      <c r="C21" s="113" t="inlineStr">
        <is>
          <t>Top-class 24-hour medical centre</t>
        </is>
      </c>
      <c r="D21" s="42" t="inlineStr">
        <is>
          <t>Not started</t>
        </is>
      </c>
      <c r="E21" s="43" t="n"/>
      <c r="F21" s="44" t="n"/>
      <c r="G21" s="45" t="n"/>
      <c r="H21" s="46" t="inlineStr">
        <is>
          <t>Top-class 24-hour medical centre. 1. Sinchon, Seoul.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21" s="113" t="inlineStr">
        <is>
          <t>1</t>
        </is>
      </c>
      <c r="J21" s="113" t="inlineStr">
        <is>
          <t>Sinchon, Seoul</t>
        </is>
      </c>
      <c r="K21" s="46" t="inlineStr">
        <is>
          <t>NOT CONFIRMED — via westernamc.com</t>
        </is>
      </c>
      <c r="L21" s="47" t="inlineStr">
        <is>
          <t>https://www.westernamc.com</t>
        </is>
      </c>
      <c r="M21" s="113" t="inlineStr">
        <is>
          <t>Not published — via westernamc.com</t>
        </is>
      </c>
      <c r="N21" s="113" t="inlineStr">
        <is>
          <t>C — SITE LIVE, NOT OPENED (domain returned by search with real content; page not opened by us)</t>
        </is>
      </c>
      <c r="O21" s="113" t="inlineStr">
        <is>
          <t>Top-tier private centre in central Seoul. Strong reference value, single-site decision.</t>
        </is>
      </c>
      <c r="P21" s="113" t="inlineStr">
        <is>
          <t>SonoAir 70 VET + SonoEye P3 VET</t>
        </is>
      </c>
      <c r="Q21" s="51" t="inlineStr">
        <is>
          <t>P2</t>
        </is>
      </c>
      <c r="R21" s="52" t="inlineStr">
        <is>
          <t>MEDIUM — genuine buyer when the channel opens; no invoice until a Korean entity holds the QIA veterinary device import licence. Evaluation and relationship work is legitimate now.</t>
        </is>
      </c>
      <c r="S21" s="113" t="inlineStr">
        <is>
          <t>H-Ref</t>
        </is>
      </c>
      <c r="T21" s="113" t="inlineStr">
        <is>
          <t>Carried from CHISON_Market_Development_Target_List_v2 (merged into v6, 6 Aug 2026)</t>
        </is>
      </c>
      <c r="U21" s="56" t="inlineStr">
        <is>
          <t>웨스턴동물의료센터 (Western Animal Medical Center): a reference installation in central Seoul</t>
        </is>
      </c>
      <c r="V21" s="50" t="inlineStr">
        <is>
          <t>Dear 웨스턴동물의료센터 (Western Animal Medical Center) team,
My name is Casper Tan, Senior Regional Sales Manager at AstraMed Healthcare, a subsidiary of CHISON Medical Technologies. I look after CHISON veterinary ultrasound in your market.
A 24-hour centre in central Seoul sets an equipment reference that smaller clinics in the district follow.
To be simple: a Korean entity must hold the QIA veterinary device import licence before anything ships, so this note is about the relationship and an evaluation, not an order.
The configuration I would put in front of you is SonoAir 70 VET +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2" ht="165" customHeight="1" s="114">
      <c r="A22" s="113" t="n">
        <v>20</v>
      </c>
      <c r="B22" s="41" t="inlineStr">
        <is>
          <t>전남대학교 동물병원 (Chonnam National University)</t>
        </is>
      </c>
      <c r="C22" s="113" t="inlineStr">
        <is>
          <t>University teaching hospital</t>
        </is>
      </c>
      <c r="D22" s="42" t="inlineStr">
        <is>
          <t>Not started</t>
        </is>
      </c>
      <c r="E22" s="43" t="n"/>
      <c r="F22" s="44" t="n"/>
      <c r="G22" s="45" t="n"/>
      <c r="H22" s="113" t="inlineStr">
        <is>
          <t>University teaching hospital. 1. Gwangju.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2" s="113" t="inlineStr">
        <is>
          <t>1</t>
        </is>
      </c>
      <c r="J22" s="113" t="inlineStr">
        <is>
          <t>Gwangju</t>
        </is>
      </c>
      <c r="K22" s="113" t="inlineStr">
        <is>
          <t>NOT CONFIRMED</t>
        </is>
      </c>
      <c r="L22" s="113" t="inlineStr">
        <is>
          <t>NOT CONFIRMED — search the university's 동물병원 page</t>
        </is>
      </c>
      <c r="M22" s="113" t="inlineStr">
        <is>
          <t>NOT CONFIRMED</t>
        </is>
      </c>
      <c r="N22" s="113" t="inlineStr">
        <is>
          <t>D — NOT VERIFIED (name, city and domain carried from the Market Development list; page not opened by us)</t>
        </is>
      </c>
      <c r="O22" s="113" t="inlineStr">
        <is>
          <t>Regional academic account in a livestock-weighted province — the one setting where EBit 50 VET leads rather than the handheld.</t>
        </is>
      </c>
      <c r="P22" s="113" t="inlineStr">
        <is>
          <t>EBit 50 VET (bovine/swine reproduction) + SonoEye P3 VET</t>
        </is>
      </c>
      <c r="Q22" s="57" t="inlineStr">
        <is>
          <t>P3</t>
        </is>
      </c>
      <c r="R22" s="52" t="inlineStr">
        <is>
          <t>MEDIUM — high KOL value, long cycle, and no invoice until a Korean entity holds the QIA veterinary device import licence. No veterinary cart exists (decision D-2) — handheld teaching units only.</t>
        </is>
      </c>
      <c r="S22" s="113" t="inlineStr">
        <is>
          <t>H-Ref</t>
        </is>
      </c>
      <c r="T22" s="113" t="inlineStr">
        <is>
          <t>Carried from CHISON_Market_Development_Target_List_v2 (merged into v6, 6 Aug 2026)</t>
        </is>
      </c>
      <c r="U22" s="56" t="inlineStr">
        <is>
          <t>전남대학교 동물병원 (Chonnam National University): an academic evaluation placement</t>
        </is>
      </c>
      <c r="V22" s="50" t="inlineStr">
        <is>
          <t>Dear 전남대학교 동물병원 (Chonnam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3" ht="165" customHeight="1" s="114">
      <c r="A23" s="113" t="n">
        <v>19</v>
      </c>
      <c r="B23" s="41" t="inlineStr">
        <is>
          <t>전북대학교 동물의료센터 (Jeonbuk National University)</t>
        </is>
      </c>
      <c r="C23" s="113" t="inlineStr">
        <is>
          <t>University teaching hospital</t>
        </is>
      </c>
      <c r="D23" s="42" t="inlineStr">
        <is>
          <t>Not started</t>
        </is>
      </c>
      <c r="E23" s="43" t="n"/>
      <c r="F23" s="44" t="n"/>
      <c r="G23" s="45" t="n"/>
      <c r="H23" s="113" t="inlineStr">
        <is>
          <t>University teaching hospital. 1. Iksan.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3" s="113" t="inlineStr">
        <is>
          <t>1</t>
        </is>
      </c>
      <c r="J23" s="113" t="inlineStr">
        <is>
          <t>Iksan</t>
        </is>
      </c>
      <c r="K23" s="113" t="inlineStr">
        <is>
          <t>NOT CONFIRMED</t>
        </is>
      </c>
      <c r="L23" s="113" t="inlineStr">
        <is>
          <t>NOT CONFIRMED — search the university's 동물병원 page</t>
        </is>
      </c>
      <c r="M23" s="113" t="inlineStr">
        <is>
          <t>NOT CONFIRMED</t>
        </is>
      </c>
      <c r="N23" s="113" t="inlineStr">
        <is>
          <t>D — NOT VERIFIED (name, city and domain carried from the Market Development list; page not opened by us)</t>
        </is>
      </c>
      <c r="O23" s="113" t="inlineStr">
        <is>
          <t>Regional academic account in a livestock-weighted province — the one setting where EBit 50 VET leads rather than the handheld.</t>
        </is>
      </c>
      <c r="P23" s="113" t="inlineStr">
        <is>
          <t>EBit 50 VET (bovine/swine reproduction) + SonoEye P3 VET</t>
        </is>
      </c>
      <c r="Q23" s="57" t="inlineStr">
        <is>
          <t>P3</t>
        </is>
      </c>
      <c r="R23" s="52" t="inlineStr">
        <is>
          <t>MEDIUM — high KOL value, long cycle, and no invoice until a Korean entity holds the QIA veterinary device import licence. No veterinary cart exists (decision D-2) — handheld teaching units only.</t>
        </is>
      </c>
      <c r="S23" s="113" t="inlineStr">
        <is>
          <t>H-Ref</t>
        </is>
      </c>
      <c r="T23" s="113" t="inlineStr">
        <is>
          <t>Carried from CHISON_Market_Development_Target_List_v2 (merged into v6, 6 Aug 2026)</t>
        </is>
      </c>
      <c r="U23" s="56" t="inlineStr">
        <is>
          <t>전북대학교 동물의료센터 (Jeonbuk National University): an academic evaluation placement</t>
        </is>
      </c>
      <c r="V23" s="50" t="inlineStr">
        <is>
          <t>Dear 전북대학교 동물의료센터 (Jeonbuk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4" ht="165" customHeight="1" s="114">
      <c r="A24" s="113" t="n">
        <v>23</v>
      </c>
      <c r="B24" s="41" t="inlineStr">
        <is>
          <t>제주대학교 동물병원 (Jeju National University)</t>
        </is>
      </c>
      <c r="C24" s="113" t="inlineStr">
        <is>
          <t>University teaching hospital</t>
        </is>
      </c>
      <c r="D24" s="42" t="inlineStr">
        <is>
          <t>Not started</t>
        </is>
      </c>
      <c r="E24" s="43" t="n"/>
      <c r="F24" s="44" t="n"/>
      <c r="G24" s="45" t="n"/>
      <c r="H24" s="113" t="inlineStr">
        <is>
          <t>University teaching hospital. 1. Jeju.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4" s="113" t="inlineStr">
        <is>
          <t>1</t>
        </is>
      </c>
      <c r="J24" s="113" t="inlineStr">
        <is>
          <t>Jeju</t>
        </is>
      </c>
      <c r="K24" s="113" t="inlineStr">
        <is>
          <t>NOT CONFIRMED</t>
        </is>
      </c>
      <c r="L24" s="113" t="inlineStr">
        <is>
          <t>NOT CONFIRMED — search the university's 동물병원 page</t>
        </is>
      </c>
      <c r="M24" s="113" t="inlineStr">
        <is>
          <t>NOT CONFIRMED</t>
        </is>
      </c>
      <c r="N24" s="113" t="inlineStr">
        <is>
          <t>D — NOT VERIFIED (name, city and domain carried from the Market Development list; page not opened by us)</t>
        </is>
      </c>
      <c r="O24" s="113" t="inlineStr">
        <is>
          <t>Regional academic account in a livestock-weighted province — the one setting where EBit 50 VET leads rather than the handheld.</t>
        </is>
      </c>
      <c r="P24" s="113" t="inlineStr">
        <is>
          <t>EBit 50 VET (bovine/swine reproduction) + SonoEye P3 VET</t>
        </is>
      </c>
      <c r="Q24" s="57" t="inlineStr">
        <is>
          <t>P3</t>
        </is>
      </c>
      <c r="R24" s="52" t="inlineStr">
        <is>
          <t>MEDIUM — high KOL value, long cycle, and no invoice until a Korean entity holds the QIA veterinary device import licence. No veterinary cart exists (decision D-2) — handheld teaching units only.</t>
        </is>
      </c>
      <c r="S24" s="113" t="inlineStr">
        <is>
          <t>H-Ref</t>
        </is>
      </c>
      <c r="T24" s="113" t="inlineStr">
        <is>
          <t>Carried from CHISON_Market_Development_Target_List_v2 (merged into v6, 6 Aug 2026)</t>
        </is>
      </c>
      <c r="U24" s="56" t="inlineStr">
        <is>
          <t>제주대학교 동물병원 (Jeju National University): an academic evaluation placement</t>
        </is>
      </c>
      <c r="V24" s="50" t="inlineStr">
        <is>
          <t>Dear 제주대학교 동물병원 (Jeju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5" ht="165" customHeight="1" s="114">
      <c r="A25" s="113" t="n">
        <v>26</v>
      </c>
      <c r="B25" s="41" t="inlineStr">
        <is>
          <t>찬샘동물병원 (Chansaem Animal Hospital)</t>
        </is>
      </c>
      <c r="C25" s="113" t="inlineStr">
        <is>
          <t>Regional hospital</t>
        </is>
      </c>
      <c r="D25" s="42" t="inlineStr">
        <is>
          <t>Not started</t>
        </is>
      </c>
      <c r="E25" s="43" t="n"/>
      <c r="F25" s="44" t="n"/>
      <c r="G25" s="45" t="n"/>
      <c r="H25" s="46" t="inlineStr">
        <is>
          <t>Regional hospital. 1. Incheon.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5" s="113" t="inlineStr">
        <is>
          <t>1</t>
        </is>
      </c>
      <c r="J25" s="113" t="inlineStr">
        <is>
          <t>Incheon</t>
        </is>
      </c>
      <c r="K25" s="46" t="inlineStr">
        <is>
          <t>NOT CONFIRMED</t>
        </is>
      </c>
      <c r="L25" s="47" t="inlineStr">
        <is>
          <t>https://www.facebook.com/chansaemvet</t>
        </is>
      </c>
      <c r="M25" s="113" t="inlineStr">
        <is>
          <t>NOT CONFIRMED</t>
        </is>
      </c>
      <c r="N25" s="113" t="inlineStr">
        <is>
          <t>D — NOT VERIFIED (only a social-media page was found; no company site confirmed)</t>
        </is>
      </c>
      <c r="O25" s="113" t="inlineStr">
        <is>
          <t>Long tail. Incheon coverage. Confirm the practice is trading before spending time.</t>
        </is>
      </c>
      <c r="P25" s="113" t="inlineStr">
        <is>
          <t>SonoEye P3 VET</t>
        </is>
      </c>
      <c r="Q25" s="57" t="inlineStr">
        <is>
          <t>P3</t>
        </is>
      </c>
      <c r="R25" s="54" t="inlineStr">
        <is>
          <t>LOW-MEDIUM — long tail, and no invoice until a Korean entity holds the QIA veterinary device import licence. Build the relationship cheaply; do not spend travel budget yet.</t>
        </is>
      </c>
      <c r="S25" s="113" t="inlineStr">
        <is>
          <t>H-GP</t>
        </is>
      </c>
      <c r="T25" s="113" t="inlineStr">
        <is>
          <t>Carried from CHISON_Market_Development_Target_List_v2 (merged into v6, 6 Aug 2026)</t>
        </is>
      </c>
      <c r="U25" s="56" t="inlineStr">
        <is>
          <t>찬샘동물병원 (Chansaem Animal Hospital): an evaluation unit at your practice</t>
        </is>
      </c>
      <c r="V25" s="50" t="inlineStr">
        <is>
          <t>Dear 찬샘동물병원 (Chansaem Animal Hospital) team,
My name is Casper Tan, Senior Regional Sales Manager at AstraMed Healthcare, a subsidiary of CHISON Medical Technologies. I look after CHISON veterinary ultrasound in your market.
Incheon practices sit outside the Seoul referral cluster, so in-house imaging saves a real journey for the client.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6" ht="165" customHeight="1" s="114">
      <c r="A26" s="113" t="n">
        <v>24</v>
      </c>
      <c r="B26" s="41" t="inlineStr">
        <is>
          <t>청담우리동물병원 (Cheongdam Woori Animal Hospital)</t>
        </is>
      </c>
      <c r="C26" s="113" t="inlineStr">
        <is>
          <t>Well-known Gangnam hospital</t>
        </is>
      </c>
      <c r="D26" s="42" t="inlineStr">
        <is>
          <t>Not started</t>
        </is>
      </c>
      <c r="E26" s="43" t="n"/>
      <c r="F26" s="44" t="n"/>
      <c r="G26" s="45" t="n"/>
      <c r="H26" s="113" t="inlineStr">
        <is>
          <t>Well-known Gangnam hospital. 1. Gangnam-gu,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6" s="113" t="inlineStr">
        <is>
          <t>1</t>
        </is>
      </c>
      <c r="J26" s="113" t="inlineStr">
        <is>
          <t>Gangnam-gu, Seoul</t>
        </is>
      </c>
      <c r="K26" s="113" t="inlineStr">
        <is>
          <t>NOT CONFIRMED</t>
        </is>
      </c>
      <c r="L26" s="113" t="inlineStr">
        <is>
          <t>NOT CONFIRMED — search 청담우리동물병원</t>
        </is>
      </c>
      <c r="M26" s="113" t="inlineStr">
        <is>
          <t>NOT CONFIRMED</t>
        </is>
      </c>
      <c r="N26" s="113" t="inlineStr">
        <is>
          <t>D — NOT VERIFIED (name, city and domain carried from the Market Development list; page not opened by us)</t>
        </is>
      </c>
      <c r="O26" s="113" t="inlineStr">
        <is>
          <t>High-visibility Gangnam account. Useful for local reference rather than clinical influence.</t>
        </is>
      </c>
      <c r="P26" s="113" t="inlineStr">
        <is>
          <t>SonoEye P3 VET</t>
        </is>
      </c>
      <c r="Q26" s="57" t="inlineStr">
        <is>
          <t>P3</t>
        </is>
      </c>
      <c r="R26" s="54" t="inlineStr">
        <is>
          <t>LOW-MEDIUM — long tail, and no invoice until a Korean entity holds the QIA veterinary device import licence. Build the relationship cheaply; do not spend travel budget yet.</t>
        </is>
      </c>
      <c r="S26" s="113" t="inlineStr">
        <is>
          <t>H-GP</t>
        </is>
      </c>
      <c r="T26" s="113" t="inlineStr">
        <is>
          <t>Carried from CHISON_Market_Development_Target_List_v2 (merged into v6, 6 Aug 2026)</t>
        </is>
      </c>
      <c r="U26" s="56" t="inlineStr">
        <is>
          <t>청담우리동물병원 (Cheongdam Woori Animal Hospital): an evaluation unit at your hospital</t>
        </is>
      </c>
      <c r="V26" s="50" t="inlineStr">
        <is>
          <t>Dear 청담우리동물병원 (Cheongdam Woori Animal Hospital) team,
My name is Casper Tan, Senior Regional Sales Manager at AstraMed Healthcare, a subsidiary of CHISON Medical Technologies. I look after CHISON veterinary ultrasound in your market.
Gangnam clients expect diagnostics to happen in the room rather than by referral.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7" ht="165" customHeight="1" s="114">
      <c r="A27" s="113" t="n">
        <v>17</v>
      </c>
      <c r="B27" s="41" t="inlineStr">
        <is>
          <t>충남대학교 동물병원 (Chungnam National University)</t>
        </is>
      </c>
      <c r="C27" s="113" t="inlineStr">
        <is>
          <t>University teaching hospital</t>
        </is>
      </c>
      <c r="D27" s="42" t="inlineStr">
        <is>
          <t>Not started</t>
        </is>
      </c>
      <c r="E27" s="43" t="n"/>
      <c r="F27" s="44" t="n"/>
      <c r="G27" s="45" t="n"/>
      <c r="H27" s="113" t="inlineStr">
        <is>
          <t>University teaching hospital. 1. Daejeon.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27" s="113" t="inlineStr">
        <is>
          <t>1</t>
        </is>
      </c>
      <c r="J27" s="113" t="inlineStr">
        <is>
          <t>Daejeon</t>
        </is>
      </c>
      <c r="K27" s="113" t="inlineStr">
        <is>
          <t>NOT CONFIRMED</t>
        </is>
      </c>
      <c r="L27" s="113" t="inlineStr">
        <is>
          <t>NOT CONFIRMED — search the university's 동물병원 page</t>
        </is>
      </c>
      <c r="M27" s="113" t="inlineStr">
        <is>
          <t>NOT CONFIRMED</t>
        </is>
      </c>
      <c r="N27" s="113" t="inlineStr">
        <is>
          <t>D — NOT VERIFIED (name, city and domain carried from the Market Development list; page not opened by us)</t>
        </is>
      </c>
      <c r="O27" s="113" t="inlineStr">
        <is>
          <t>Regional academic account. Lower influence than Seoul, shorter queue, and graduates carry equipment habits into regional practice.</t>
        </is>
      </c>
      <c r="P27" s="113" t="inlineStr">
        <is>
          <t>SonoEye P5 VET teaching units</t>
        </is>
      </c>
      <c r="Q27" s="57" t="inlineStr">
        <is>
          <t>P3</t>
        </is>
      </c>
      <c r="R27" s="52" t="inlineStr">
        <is>
          <t>MEDIUM — high KOL value, long cycle, and no invoice until a Korean entity holds the QIA veterinary device import licence. No veterinary cart exists (decision D-2) — handheld teaching units only.</t>
        </is>
      </c>
      <c r="S27" s="113" t="inlineStr">
        <is>
          <t>H-Ref</t>
        </is>
      </c>
      <c r="T27" s="113" t="inlineStr">
        <is>
          <t>Carried from CHISON_Market_Development_Target_List_v2 (merged into v6, 6 Aug 2026)</t>
        </is>
      </c>
      <c r="U27" s="56" t="inlineStr">
        <is>
          <t>충남대학교 동물병원 (Chungnam National University): an academic evaluation placement</t>
        </is>
      </c>
      <c r="V27" s="50" t="inlineStr">
        <is>
          <t>Dear 충남대학교 동물병원 (Chungnam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8" ht="165" customHeight="1" s="114">
      <c r="A28" s="113" t="n">
        <v>16</v>
      </c>
      <c r="B28" s="41" t="inlineStr">
        <is>
          <t>충북대학교 동물의료센터 (Chungbuk National University)</t>
        </is>
      </c>
      <c r="C28" s="113" t="inlineStr">
        <is>
          <t>University teaching hospital</t>
        </is>
      </c>
      <c r="D28" s="42" t="inlineStr">
        <is>
          <t>Not started</t>
        </is>
      </c>
      <c r="E28" s="43" t="n"/>
      <c r="F28" s="44" t="n"/>
      <c r="G28" s="45" t="n"/>
      <c r="H28" s="113" t="inlineStr">
        <is>
          <t>University teaching hospital. 1. Cheongju.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28" s="113" t="inlineStr">
        <is>
          <t>1</t>
        </is>
      </c>
      <c r="J28" s="113" t="inlineStr">
        <is>
          <t>Cheongju</t>
        </is>
      </c>
      <c r="K28" s="113" t="inlineStr">
        <is>
          <t>NOT CONFIRMED</t>
        </is>
      </c>
      <c r="L28" s="113" t="inlineStr">
        <is>
          <t>NOT CONFIRMED — search the university's 동물병원 page</t>
        </is>
      </c>
      <c r="M28" s="113" t="inlineStr">
        <is>
          <t>NOT CONFIRMED</t>
        </is>
      </c>
      <c r="N28" s="113" t="inlineStr">
        <is>
          <t>D — NOT VERIFIED (name, city and domain carried from the Market Development list; page not opened by us)</t>
        </is>
      </c>
      <c r="O28" s="113" t="inlineStr">
        <is>
          <t>Regional academic account. Lower influence than Seoul, shorter queue, and graduates carry equipment habits into regional practice.</t>
        </is>
      </c>
      <c r="P28" s="113" t="inlineStr">
        <is>
          <t>SonoEye P5 VET teaching units</t>
        </is>
      </c>
      <c r="Q28" s="57" t="inlineStr">
        <is>
          <t>P3</t>
        </is>
      </c>
      <c r="R28" s="52" t="inlineStr">
        <is>
          <t>MEDIUM — high KOL value, long cycle, and no invoice until a Korean entity holds the QIA veterinary device import licence. No veterinary cart exists (decision D-2) — handheld teaching units only.</t>
        </is>
      </c>
      <c r="S28" s="113" t="inlineStr">
        <is>
          <t>H-Ref</t>
        </is>
      </c>
      <c r="T28" s="113" t="inlineStr">
        <is>
          <t>Carried from CHISON_Market_Development_Target_List_v2 (merged into v6, 6 Aug 2026)</t>
        </is>
      </c>
      <c r="U28" s="56" t="inlineStr">
        <is>
          <t>충북대학교 동물의료센터 (Chungbuk National University): an academic evaluation placement</t>
        </is>
      </c>
      <c r="V28" s="50" t="inlineStr">
        <is>
          <t>Dear 충북대학교 동물의료센터 (Chungbuk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9" ht="165" customHeight="1" s="114">
      <c r="A29" s="113" t="n">
        <v>9</v>
      </c>
      <c r="B29" s="41" t="inlineStr">
        <is>
          <t>품 동물의료센터 (Poom Animal Medical Center)</t>
        </is>
      </c>
      <c r="C29" s="113" t="inlineStr">
        <is>
          <t>24-hour medical centre</t>
        </is>
      </c>
      <c r="D29" s="42" t="inlineStr">
        <is>
          <t>Not started</t>
        </is>
      </c>
      <c r="E29" s="43" t="n"/>
      <c r="F29" s="44" t="n"/>
      <c r="G29" s="45" t="n"/>
      <c r="H29" s="46" t="inlineStr">
        <is>
          <t>24-hour medical centre. 1. Seoul.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29" s="113" t="inlineStr">
        <is>
          <t>1</t>
        </is>
      </c>
      <c r="J29" s="113" t="inlineStr">
        <is>
          <t>Seoul</t>
        </is>
      </c>
      <c r="K29" s="46" t="inlineStr">
        <is>
          <t>NOT CONFIRMED — via poomamc.cafe24.com</t>
        </is>
      </c>
      <c r="L29" s="47" t="inlineStr">
        <is>
          <t>https://poomamc.cafe24.com</t>
        </is>
      </c>
      <c r="M29" s="113" t="inlineStr">
        <is>
          <t>Not published — via the centre's site</t>
        </is>
      </c>
      <c r="N29" s="113" t="inlineStr">
        <is>
          <t>C — SITE LIVE, NOT OPENED (domain returned by search with real content; page not opened by us)</t>
        </is>
      </c>
      <c r="O29" s="113" t="inlineStr">
        <is>
          <t>24-hour imaging buyer. Second-wave metro account — work it after the flagship centres respond.</t>
        </is>
      </c>
      <c r="P29" s="113" t="inlineStr">
        <is>
          <t>SonoEye P3 VET</t>
        </is>
      </c>
      <c r="Q29" s="57" t="inlineStr">
        <is>
          <t>P3</t>
        </is>
      </c>
      <c r="R29" s="54" t="inlineStr">
        <is>
          <t>LOW-MEDIUM — long tail, and no invoice until a Korean entity holds the QIA veterinary device import licence. Build the relationship cheaply; do not spend travel budget yet.</t>
        </is>
      </c>
      <c r="S29" s="113" t="inlineStr">
        <is>
          <t>H-Eval</t>
        </is>
      </c>
      <c r="T29" s="113" t="inlineStr">
        <is>
          <t>Carried from CHISON_Market_Development_Target_List_v2 (merged into v6, 6 Aug 2026) · v11 CHECK 27 Sep 2026: poomamc.cafe24.com did not resolve in DNS; the site may have moved or closed, confirm before relying on it.</t>
        </is>
      </c>
      <c r="U29" s="56" t="inlineStr">
        <is>
          <t>품 동물의료센터 (Poom Animal Medical Center): a scanner for the night shift</t>
        </is>
      </c>
      <c r="V29" s="50" t="inlineStr">
        <is>
          <t>Dear 품 동물의료센터 (Poom Animal Medical Center) team,
My name is Casper Tan, Senior Regional Sales Manager at AstraMed Healthcare, a subsidiary of CHISON Medical Technologies. I look after CHISON veterinary ultrasound in your market.
A 24-hour centre needs a scanner that is reachable in seconds on the night shift.
To be simple: a Korean entity must hold the QIA veterinary device import licence before anything ships,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30" ht="165" customHeight="1" s="114">
      <c r="A30" s="113" t="n">
        <v>1</v>
      </c>
      <c r="B30" s="41" t="inlineStr">
        <is>
          <t>해마루 이차진료 동물병원 (Haemaru Referral Animal Hospital)</t>
        </is>
      </c>
      <c r="C30" s="113" t="inlineStr">
        <is>
          <t>Korea's first second-tier referral hospital; has an associated academic programme</t>
        </is>
      </c>
      <c r="D30" s="42" t="inlineStr">
        <is>
          <t>Not started</t>
        </is>
      </c>
      <c r="E30" s="43" t="n"/>
      <c r="F30" s="44" t="n"/>
      <c r="G30" s="45" t="n"/>
      <c r="H30" s="46" t="inlineStr">
        <is>
          <t>Korea's first second-tier referral hospital; has an associated academic programme. 1. Seongnam, Gyeonggi.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 ward fleet.</t>
        </is>
      </c>
      <c r="I30" s="113" t="inlineStr">
        <is>
          <t>1</t>
        </is>
      </c>
      <c r="J30" s="113" t="inlineStr">
        <is>
          <t>Seongnam, Gyeonggi</t>
        </is>
      </c>
      <c r="K30" s="46" t="inlineStr">
        <is>
          <t>NOT CONFIRMED — via haemaru.co.kr</t>
        </is>
      </c>
      <c r="L30" s="47" t="inlineStr">
        <is>
          <t>https://www.haemaru.co.kr</t>
        </is>
      </c>
      <c r="M30" s="113" t="inlineStr">
        <is>
          <t>Not published — via haemaru.co.kr</t>
        </is>
      </c>
      <c r="N30" s="113" t="inlineStr">
        <is>
          <t>C — SITE LIVE, NOT OPENED (domain returned by search with real content; page not opened by us)</t>
        </is>
      </c>
      <c r="O30" s="113" t="inlineStr">
        <is>
          <t>Rank 8 on the Top 10 tab. Korea's first referral hospital and still an academic platform — an evaluation here is read by the whole Korean referral community.</t>
        </is>
      </c>
      <c r="P30" s="113" t="inlineStr">
        <is>
          <t>SonoAir 70 VET + SonoEye P5 VET ward fleet</t>
        </is>
      </c>
      <c r="Q30" s="48" t="inlineStr">
        <is>
          <t>P1 — engage now</t>
        </is>
      </c>
      <c r="R30" s="58" t="inlineStr">
        <is>
          <t>HIGH once the channel exists — real budget and fleet potential, but no invoice until a Korean entity holds the QIA veterinary device import licence. Engage now for relationship and evaluation.</t>
        </is>
      </c>
      <c r="S30" s="113" t="inlineStr">
        <is>
          <t>H-Ref</t>
        </is>
      </c>
      <c r="T30" s="113" t="inlineStr">
        <is>
          <t>Verified site (internal list) + Top 10 rank 8</t>
        </is>
      </c>
      <c r="U30" s="56" t="inlineStr">
        <is>
          <t>해마루 이차진료 동물병원 (Haemaru Referral Animal Hospital): an evaluation placement and a teaching programme</t>
        </is>
      </c>
      <c r="V30" s="50" t="inlineStr">
        <is>
          <t>Dear 해마루 이차진료 동물병원 (Haemaru Referral Animal Hospital) team,
My name is Casper Tan, Senior Regional Sales Manager at AstraMed Healthcare, a subsidiary of CHISON Medical Technologies. I look after CHISON veterinary ultrasound in your market.
Haemaru was the first referral hospital in Korea and is still where a lot of Korean second-opinion imaging is judged.
To be simple: a Korean entity must hold the QIA veterinary device import licence before anything ships, so this note is about the relationship and an evaluation, not an order.
The configuration I would put in front of you is SonoAir 70 VET + SonoEye P5 VET ward fleet.
Would you be open to an evaluation placement, and to a conversation about a joint clinical or teaching programme around it?
Kind regards,
Casper Tan
Senior Regional Sales Manager, AstraMed Healthcare
CHISON veterinary ultrasound (Singapore · Japan · South Korea · Taiwan)
casper@astramed.sg</t>
        </is>
      </c>
    </row>
    <row r="31" ht="14.25" customHeight="1" s="114">
      <c r="E31" s="43" t="n"/>
      <c r="F31" s="44" t="n"/>
      <c r="G31" s="45" t="n"/>
    </row>
    <row r="32" ht="14.25" customHeight="1" s="114">
      <c r="A32" s="10">
        <f>COUNTIF(Q5:Q30,"P1*")</f>
        <v/>
      </c>
      <c r="B32" s="10" t="inlineStr">
        <is>
          <t>P1 — engage now</t>
        </is>
      </c>
      <c r="E32" s="43" t="n"/>
      <c r="F32" s="44" t="n"/>
      <c r="G32" s="45" t="n"/>
    </row>
    <row r="33" ht="14.25" customHeight="1" s="114">
      <c r="A33" s="10">
        <f>COUNTIF(Q5:Q30,"P2*")</f>
        <v/>
      </c>
      <c r="B33" s="9" t="inlineStr">
        <is>
          <t>P2</t>
        </is>
      </c>
      <c r="E33" s="43" t="n"/>
      <c r="F33" s="44" t="n"/>
      <c r="G33" s="45" t="n"/>
    </row>
    <row r="34" ht="14.25" customHeight="1" s="114">
      <c r="A34" s="10">
        <f>COUNTIF(Q5:Q30,"P3*")</f>
        <v/>
      </c>
      <c r="B34" s="9" t="inlineStr">
        <is>
          <t>P3</t>
        </is>
      </c>
      <c r="E34" s="43" t="n"/>
      <c r="F34" s="44" t="n"/>
      <c r="G34" s="45" t="n"/>
    </row>
    <row r="35" ht="14.25" customHeight="1" s="114">
      <c r="E35" s="43" t="n"/>
      <c r="F35" s="44" t="n"/>
      <c r="G35" s="45" t="n"/>
    </row>
    <row r="36" ht="14.25" customHeight="1" s="114">
      <c r="A36" s="10">
        <f>COUNTIF(R5:R30,"HIGH*")</f>
        <v/>
      </c>
      <c r="B36" s="9" t="inlineStr">
        <is>
          <t>Buying potential HIGH</t>
        </is>
      </c>
      <c r="E36" s="43" t="n"/>
      <c r="F36" s="44" t="n"/>
      <c r="G36" s="45" t="n"/>
    </row>
    <row r="37" ht="14.25" customHeight="1" s="114">
      <c r="A37" s="10">
        <f>COUNTIF(R5:R30,"MEDIUM*")</f>
        <v/>
      </c>
      <c r="B37" s="9" t="inlineStr">
        <is>
          <t>Buying potential MEDIUM</t>
        </is>
      </c>
      <c r="E37" s="43" t="n"/>
      <c r="F37" s="44" t="n"/>
      <c r="G37" s="45" t="n"/>
    </row>
    <row r="38" ht="14.25" customHeight="1" s="114">
      <c r="A38" s="10">
        <f>COUNTIF(R5:R30,"LOW*")</f>
        <v/>
      </c>
      <c r="B38" s="9" t="inlineStr">
        <is>
          <t>Buying potential LOW / long tail</t>
        </is>
      </c>
      <c r="E38" s="43" t="n"/>
      <c r="F38" s="44" t="n"/>
      <c r="G38" s="45" t="n"/>
    </row>
    <row r="39" ht="14.25" customHeight="1" s="114">
      <c r="E39" s="43" t="n"/>
      <c r="F39" s="44" t="n"/>
      <c r="G39" s="45" t="n"/>
    </row>
    <row r="40" ht="14.25" customHeight="1" s="114">
      <c r="A40" s="10">
        <f>COUNTA(B5:B30)</f>
        <v/>
      </c>
      <c r="B40" s="10" t="inlineStr">
        <is>
          <t>Total accounts on this tab — every one has a ready-to-send email</t>
        </is>
      </c>
      <c r="E40" s="43" t="n"/>
      <c r="F40" s="44" t="n"/>
      <c r="G40" s="45" t="n"/>
    </row>
  </sheetData>
  <autoFilter ref="A4:V30">
    <sortState ref="A5:V30">
      <sortCondition ref="A5:A30"/>
    </sortState>
  </autoFilter>
  <conditionalFormatting sqref="D5:D30">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30"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30"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24-hour branch hospital (group site). 1 of 5 group sites. Nowon-gu, Seoul. RELEVANCE: multi-site groups make one equipment decision and repeat it, which turns a single scanner sale into a fleet order. They also have a procurement function, so the conversation belongs at head office rather than at a clinic. Lead product: SonoEye P3 VET." r:id="rId1"/>
    <hyperlink xmlns:r="http://schemas.openxmlformats.org/officeDocument/2006/relationships" ref="H6" display="24-hour branch hospital (group site). 1 of 5 group sites. Dongdaemun-gu, Seoul. RELEVANCE: multi-site groups make one equipment decision and repeat it, which turns a single scanner sale into a fleet order. They also have a procurement function, so the conversation belongs at head office rather than at a clinic. Lead product: SonoEye P3 VET." r:id="rId2"/>
    <hyperlink xmlns:r="http://schemas.openxmlformats.org/officeDocument/2006/relationships" ref="H7" display="24-hour branch hospital (group site). 1 of 5 group sites. Seocho-gu, Seoul. RELEVANCE: multi-site groups make one equipment decision and repeat it, which turns a single scanner sale into a fleet order. They also have a procurement function, so the conversation belongs at head office rather than at a clinic. Lead product: SonoEye P3 VET." r:id="rId3"/>
    <hyperlink xmlns:r="http://schemas.openxmlformats.org/officeDocument/2006/relationships" ref="H8" display="24-hour branch hospital (group site). 1 of 5 group sites. Seongbuk-gu, Seoul. RELEVANCE: multi-site groups make one equipment decision and repeat it, which turns a single scanner sale into a fleet order. They also have a procurement function, so the conversation belongs at head office rather than at a clinic. Lead product: SonoEye P3 VET." r:id="rId4"/>
    <hyperlink xmlns:r="http://schemas.openxmlformats.org/officeDocument/2006/relationships" ref="H9" display="24-hour metropolitan hospital group — flagship. 5 Seoul sites. Gangnam-gu, Seoul.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 r:id="rId5"/>
    <hyperlink xmlns:r="http://schemas.openxmlformats.org/officeDocument/2006/relationships" ref="H11" display="University teaching hospital. 1. Gwangjin-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r:id="rId6"/>
    <hyperlink xmlns:r="http://schemas.openxmlformats.org/officeDocument/2006/relationships" ref="H14" display="Branch hospital (group site). 1 of 3 group sites. Gangdong-gu, Seoul. RELEVANCE: multi-site groups make one equipment decision and repeat it, which turns a single scanner sale into a fleet order. They also have a procurement function, so the conversation belongs at head office rather than at a clinic. Lead product: SonoEye P3 VET." r:id="rId7"/>
    <hyperlink xmlns:r="http://schemas.openxmlformats.org/officeDocument/2006/relationships" ref="H15" display="3-site hospital group, Seoul. 3 Seoul sites. Mapo-gu, Seoul. RELEVANCE: multi-site groups make one equipment decision and repeat it, which turns a single scanner sale into a fleet order. They also have a procurement function, so the conversation belongs at head office rather than at a clinic. Lead product: SonoEye P3 VET per site." r:id="rId8"/>
    <hyperlink xmlns:r="http://schemas.openxmlformats.org/officeDocument/2006/relationships" ref="H16" display="Branch hospital (group site). 1 of 3 group sites. Jungnang-gu, Seoul. RELEVANCE: multi-site groups make one equipment decision and repeat it, which turns a single scanner sale into a fleet order. They also have a procurement function, so the conversation belongs at head office rather than at a clinic. Lead product: SonoEye P3 VET." r:id="rId9"/>
    <hyperlink xmlns:r="http://schemas.openxmlformats.org/officeDocument/2006/relationships" ref="H17" display="24-hour medical centre. 1. South Korea. RELEVANCE: emergency work is the fastest-converting handheld use case there is. A FAST scan has to happen in seconds, the vet on shift is usually also the decision-maker, and there is no procurement layer between the demonstration and the decision. Lead product: SonoEye P3 VET." r:id="rId10"/>
    <hyperlink xmlns:r="http://schemas.openxmlformats.org/officeDocument/2006/relationships" ref="H18" display="University-grade 24-hour centre with CT and MRI. 1.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Air 70 VET + SonoEye P5 VET." r:id="rId11"/>
    <hyperlink xmlns:r="http://schemas.openxmlformats.org/officeDocument/2006/relationships" ref="H19" display="Korea's No.1 university teaching hospital. 1. Gwanak-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2"/>
    <hyperlink xmlns:r="http://schemas.openxmlformats.org/officeDocument/2006/relationships" ref="H20" display="AAHA-accredited hospital. 1. Songpa-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13"/>
    <hyperlink xmlns:r="http://schemas.openxmlformats.org/officeDocument/2006/relationships" ref="H21" display="Top-class 24-hour medical centre. 1. Sinchon, Seoul.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14"/>
    <hyperlink xmlns:r="http://schemas.openxmlformats.org/officeDocument/2006/relationships" ref="H25" display="Regional hospital. 1. Inche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15"/>
    <hyperlink xmlns:r="http://schemas.openxmlformats.org/officeDocument/2006/relationships" ref="H29" display="24-hour medical centre. 1. Seoul. RELEVANCE: emergency work is the fastest-converting handheld use case there is. A FAST scan has to happen in seconds, the vet on shift is usually also the decision-maker, and there is no procurement layer between the demonstration and the decision. Lead product: SonoEye P3 VET." r:id="rId16"/>
    <hyperlink xmlns:r="http://schemas.openxmlformats.org/officeDocument/2006/relationships" ref="H30" display="Korea's first second-tier referral hospital; has an associated academic programme. 1. Seongnam, Gyeonggi.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 ward fleet." r:id="rId17"/>
  </hyperlink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V61"/>
  <sheetViews>
    <sheetView zoomScaleNormal="100" workbookViewId="0">
      <pane xSplit="7" ySplit="4" topLeftCell="H5" activePane="bottomRight" state="frozen"/>
      <selection pane="topRight" activeCell="H1" sqref="H1"/>
      <selection pane="bottomLeft" activeCell="A5" sqref="A5"/>
      <selection pane="bottomRight" activeCell="A1" sqref="A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TAIWAN — VETERINARY END-USER AND KOL ACCOUNTS (not dealers)</t>
        </is>
      </c>
    </row>
    <row r="2" ht="30" customHeight="1" s="114">
      <c r="A2" s="17" t="inlineStr">
        <is>
          <t>Chains, university teaching hospitals and the Taipei clinic long tail from the TPVMA roster, NOT distribution targets. No animal-only device registration regime has been identified in Taiwan; the unresolved issue is customs clearance for Chinese-origin goods. Do not quote a landed price or promise delivery.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1</v>
      </c>
      <c r="B5" s="41" t="inlineStr">
        <is>
          <t>全國動物醫院連鎖體系 (National Veterinary Hospital group)</t>
        </is>
      </c>
      <c r="C5" s="113" t="inlineStr">
        <is>
          <t>Largest veterinary chain group in Taiwan</t>
        </is>
      </c>
      <c r="D5" s="42" t="inlineStr">
        <is>
          <t>Not started</t>
        </is>
      </c>
      <c r="E5" s="43" t="n"/>
      <c r="F5" s="44" t="n"/>
      <c r="G5" s="45" t="n"/>
      <c r="H5" s="46" t="inlineStr">
        <is>
          <t>Largest veterinary chain group in Taiwan. 16 branches per the internal list — COUNT NOT CONFIRMED. HQ Taichung; nationwide. RELEVANCE: multi-site groups make one equipment decision and repeat it, which turns a single scanner sale into a fleet order. They also have a procurement function, so the conversation belongs at head office rather than at a clinic. Lead product: SonoEye P3 VET per site + shared EBit 50 VET.</t>
        </is>
      </c>
      <c r="I5" s="113" t="inlineStr">
        <is>
          <t>16 branches per the internal list — COUNT NOT CONFIRMED</t>
        </is>
      </c>
      <c r="J5" s="113" t="inlineStr">
        <is>
          <t>HQ Taichung; nationwide</t>
        </is>
      </c>
      <c r="K5" s="46" t="inlineStr">
        <is>
          <t>NOT CONFIRMED — via vet.com.tw</t>
        </is>
      </c>
      <c r="L5" s="47" t="inlineStr">
        <is>
          <t>https://www.vet.com.tw</t>
        </is>
      </c>
      <c r="M5" s="113" t="inlineStr">
        <is>
          <t>Not published — via vet.com.tw</t>
        </is>
      </c>
      <c r="N5" s="113" t="inlineStr">
        <is>
          <t>B — VERIFIED PARTIAL (domain re-fetched 30 Jul 2026; group structure confirmed, branch count NOT confirmed)</t>
        </is>
      </c>
      <c r="O5" s="113" t="inlineStr">
        <is>
          <t>Rank 5 on the Top 10 tab and the highest unit potential in Taiwan. Cardiology and oncology departments mean real imaging demand. Meet the head office around SUMROC (31 Oct – 1 Nov).</t>
        </is>
      </c>
      <c r="P5" s="113" t="inlineStr">
        <is>
          <t>SonoEye P3 VET per site + shared EBit 50 VET</t>
        </is>
      </c>
      <c r="Q5" s="48" t="inlineStr">
        <is>
          <t>P1 — engage now</t>
        </is>
      </c>
      <c r="R5" s="58" t="inlineStr">
        <is>
          <t>HIGH once the channel exists — real budget and fleet potential, but no invoice until the customs route for Chinese-origin goods is resolved. Engage now for relationship and evaluation.</t>
        </is>
      </c>
      <c r="S5" s="113" t="inlineStr">
        <is>
          <t>H-Fleet</t>
        </is>
      </c>
      <c r="T5" s="113" t="inlineStr">
        <is>
          <t>Verified site — vet.com.tw re-fetched 30 Jul 2026 (branch count still to confirm)</t>
        </is>
      </c>
      <c r="U5" s="56" t="inlineStr">
        <is>
          <t>全國動物醫院連鎖體系 (National Veterinary Hospital group): one handheld standard across your branches</t>
        </is>
      </c>
      <c r="V5" s="50" t="inlineStr">
        <is>
          <t>Dear 全國動物醫院連鎖體系 (National Veterinary Hospital group) team,
My name is Casper Tan, Senior Regional Sales Manager at AstraMed Healthcare, a subsidiary of CHISON Medical Technologies. I look after CHISON veterinary ultrasound in your market.
A chain with its own cardiology and oncology departments buys imaging on clinical argument, and buys it for every branch at once.
To be simple: the import route for the goods is still being confirmed, so this note is about the relationship and an evaluation, not an order.
The configuration I would put in front of you is SonoEye P3 VET per site + shared EBit 50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6" ht="165" customHeight="1" s="114">
      <c r="A6" s="113" t="n">
        <v>2</v>
      </c>
      <c r="B6" s="41" t="inlineStr">
        <is>
          <t>慈愛動物醫院集團 (Ci-Ai Animal Hospital Group)</t>
        </is>
      </c>
      <c r="C6" s="113" t="inlineStr">
        <is>
          <t>Multi-city chain, ISO-certified</t>
        </is>
      </c>
      <c r="D6" s="42" t="inlineStr">
        <is>
          <t>Not started</t>
        </is>
      </c>
      <c r="E6" s="43" t="n"/>
      <c r="F6" s="44" t="n"/>
      <c r="G6" s="45" t="n"/>
      <c r="H6" s="46" t="inlineStr">
        <is>
          <t>Multi-city chain, ISO-certified. Taipei · Taichung · Tainan; 50+ vets per the internal list. Multi-city.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t>
        </is>
      </c>
      <c r="I6" s="113" t="inlineStr">
        <is>
          <t>Taipei · Taichung · Tainan; 50+ vets per the internal list</t>
        </is>
      </c>
      <c r="J6" s="113" t="inlineStr">
        <is>
          <t>Multi-city</t>
        </is>
      </c>
      <c r="K6" s="46" t="inlineStr">
        <is>
          <t>NOT CONFIRMED — via lkah.com.tw</t>
        </is>
      </c>
      <c r="L6" s="47" t="inlineStr">
        <is>
          <t>https://www.lkah.com.tw</t>
        </is>
      </c>
      <c r="M6" s="113" t="inlineStr">
        <is>
          <t>Not published — via lkah.com.tw</t>
        </is>
      </c>
      <c r="N6" s="113" t="inlineStr">
        <is>
          <t>C — SITE LIVE, NOT OPENED (domain returned by search with real content; page not opened by us)</t>
        </is>
      </c>
      <c r="O6" s="113" t="inlineStr">
        <is>
          <t>Rank 6 on the Top 10 tab. The first veterinary chain in Taiwan and ISO-certified, which means documented equipment standards — an easier standardisation conversation than most.</t>
        </is>
      </c>
      <c r="P6" s="113" t="inlineStr">
        <is>
          <t>SonoEye P3 VET per site + shared SonoAir 70 VET</t>
        </is>
      </c>
      <c r="Q6" s="48" t="inlineStr">
        <is>
          <t>P1 — engage now</t>
        </is>
      </c>
      <c r="R6" s="58" t="inlineStr">
        <is>
          <t>HIGH once the channel exists — real budget and fleet potential, but no invoice until the customs route for Chinese-origin goods is resolved. Engage now for relationship and evaluation.</t>
        </is>
      </c>
      <c r="S6" s="113" t="inlineStr">
        <is>
          <t>H-Fleet</t>
        </is>
      </c>
      <c r="T6" s="113" t="inlineStr">
        <is>
          <t>Verified site (internal list) + Top 10 rank 6</t>
        </is>
      </c>
      <c r="U6" s="56" t="inlineStr">
        <is>
          <t>慈愛動物醫院集團 (Ci-Ai Animal Hospital Group): one documented handheld standard across your sites</t>
        </is>
      </c>
      <c r="V6" s="50" t="inlineStr">
        <is>
          <t>Dear 慈愛動物醫院集團 (Ci-Ai Animal Hospital Group) team,
My name is Casper Tan, Senior Regional Sales Manager at AstraMed Healthcare, a subsidiary of CHISON Medical Technologies. I look after CHISON veterinary ultrasound in your market.
An ISO-certified group already documents its equipment standards, so standardising one scanner across sites is an administrative decision as much as a clinical one.
To be simple: the import route for the goods is still being confirmed, so this note is about the relationship and an evaluation, not an order.
The configuration I would put in front of you is SonoEye P3 VET per site + shared SonoAir 70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7" ht="165" customHeight="1" s="114">
      <c r="A7" s="113" t="n">
        <v>3</v>
      </c>
      <c r="B7" s="41" t="inlineStr">
        <is>
          <t>台大動物醫院 (NTU Veterinary Hospital)</t>
        </is>
      </c>
      <c r="C7" s="113" t="inlineStr">
        <is>
          <t>University teaching hospital and oncology centre</t>
        </is>
      </c>
      <c r="D7" s="42" t="inlineStr">
        <is>
          <t>Not started</t>
        </is>
      </c>
      <c r="E7" s="43" t="n"/>
      <c r="F7" s="44" t="n"/>
      <c r="G7" s="45" t="n"/>
      <c r="H7" s="46" t="inlineStr">
        <is>
          <t>University teaching hospital and oncology centre. 1. Taipei.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VET education fleet (cart tier NOT addressable — decision D-2).</t>
        </is>
      </c>
      <c r="I7" s="113" t="inlineStr">
        <is>
          <t>1</t>
        </is>
      </c>
      <c r="J7" s="113" t="inlineStr">
        <is>
          <t>Taipei</t>
        </is>
      </c>
      <c r="K7" s="46" t="inlineStr">
        <is>
          <t>NOT CONFIRMED — via vh.ntu.edu.tw</t>
        </is>
      </c>
      <c r="L7" s="47" t="inlineStr">
        <is>
          <t>https://www.vh.ntu.edu.tw</t>
        </is>
      </c>
      <c r="M7" s="113" t="inlineStr">
        <is>
          <t>Not published — via vh.ntu.edu.tw</t>
        </is>
      </c>
      <c r="N7" s="113" t="inlineStr">
        <is>
          <t>C — SITE LIVE, NOT OPENED (domain returned by search with real content; page not opened by us)</t>
        </is>
      </c>
      <c r="O7" s="113" t="inlineStr">
        <is>
          <t>Rank 7 on the Top 10 tab. The top referral and academic veterinary site in Taiwan, with a cancer centre. Engage for KOL and evaluation, not for an invoice — the Taiwan import route is unresolved.</t>
        </is>
      </c>
      <c r="P7" s="113" t="inlineStr">
        <is>
          <t>SonoEye VET education fleet (cart tier NOT addressable — decision D-2)</t>
        </is>
      </c>
      <c r="Q7" s="48" t="inlineStr">
        <is>
          <t>P1 — engage now</t>
        </is>
      </c>
      <c r="R7" s="52" t="inlineStr">
        <is>
          <t>MEDIUM — high KOL value, long cycle, and no invoice until the customs route for Chinese-origin goods is resolved. No veterinary cart exists (decision D-2) — handheld teaching units only.</t>
        </is>
      </c>
      <c r="S7" s="113" t="inlineStr">
        <is>
          <t>H-Ref</t>
        </is>
      </c>
      <c r="T7" s="113" t="inlineStr">
        <is>
          <t>Verified site (internal list) + Top 10 rank 7</t>
        </is>
      </c>
      <c r="U7" s="56" t="inlineStr">
        <is>
          <t>台大動物醫院 (NTU Veterinary Hospital): an academic evaluation placement</t>
        </is>
      </c>
      <c r="V7" s="50" t="inlineStr">
        <is>
          <t>Dear 台大動物醫院 (NTU Veterinary Hospital) team,
My name is Casper Tan, Senior Regional Sales Manager at AstraMed Healthcare, a subsidiary of CHISON Medical Technologies. I look after CHISON veterinary ultrasound in your market.
NTU trains most of Taiwan's veterinary clinicians and takes the country's hardest referral cases, so what is in your ultrasound room is seen far beyond it.
To be simple: the import route for the goods is still being confirmed, so this note is about the relationship and an evaluation, not an order.
The configuration I would put in front of you is SonoEye VET education fleet (cart tier NOT addressable, decision D-2).
Would an academic evaluation placement be of interest, units at the hospital for teaching and case work, with no purchase attached?
Kind regards,
Casper Tan
Senior Regional Sales Manager, AstraMed Healthcare
CHISON veterinary ultrasound (Singapore · Japan · South Korea · Taiwan)
casper@astramed.sg</t>
        </is>
      </c>
    </row>
    <row r="8" ht="165" customHeight="1" s="114">
      <c r="A8" s="113" t="n">
        <v>4</v>
      </c>
      <c r="B8" s="41" t="inlineStr">
        <is>
          <t>中興大學獸醫教學醫院 (NCHU Veterinary Teaching Hospital)</t>
        </is>
      </c>
      <c r="C8" s="113" t="inlineStr">
        <is>
          <t>University teaching hospital</t>
        </is>
      </c>
      <c r="D8" s="42" t="inlineStr">
        <is>
          <t>Not started</t>
        </is>
      </c>
      <c r="E8" s="43" t="n"/>
      <c r="F8" s="44" t="n"/>
      <c r="G8" s="45" t="n"/>
      <c r="H8" s="46" t="inlineStr">
        <is>
          <t>University teaching hospital. 1. Taichung.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 EBit 50 VET (large animal).</t>
        </is>
      </c>
      <c r="I8" s="113" t="inlineStr">
        <is>
          <t>1</t>
        </is>
      </c>
      <c r="J8" s="113" t="inlineStr">
        <is>
          <t>Taichung</t>
        </is>
      </c>
      <c r="K8" s="46" t="inlineStr">
        <is>
          <t>NOT CONFIRMED — via vmth.nchu.edu.tw</t>
        </is>
      </c>
      <c r="L8" s="47" t="inlineStr">
        <is>
          <t>https://vmth.nchu.edu.tw</t>
        </is>
      </c>
      <c r="M8" s="113" t="inlineStr">
        <is>
          <t>Not published — via the university site</t>
        </is>
      </c>
      <c r="N8" s="113" t="inlineStr">
        <is>
          <t>C — SITE LIVE, NOT OPENED (domain returned by search with real content; page not opened by us)</t>
        </is>
      </c>
      <c r="O8" s="113" t="inlineStr">
        <is>
          <t>Rank 18 on the bench list. Central Taiwan academic and referral account, and a natural stop on the same trip as the Taichung dealers and the National chain head office.</t>
        </is>
      </c>
      <c r="P8" s="113" t="inlineStr">
        <is>
          <t>SonoEye P5 VET teaching units + EBit 50 VET (large animal)</t>
        </is>
      </c>
      <c r="Q8" s="51" t="inlineStr">
        <is>
          <t>P2</t>
        </is>
      </c>
      <c r="R8" s="52" t="inlineStr">
        <is>
          <t>MEDIUM — high KOL value, long cycle, and no invoice until the customs route for Chinese-origin goods is resolved. No veterinary cart exists (decision D-2) — handheld teaching units only.</t>
        </is>
      </c>
      <c r="S8" s="113" t="inlineStr">
        <is>
          <t>H-Ref</t>
        </is>
      </c>
      <c r="T8" s="113" t="inlineStr">
        <is>
          <t>Carried from CHISON_Market_Development_Target_List_v2 (merged into v6, 6 Aug 2026) + Bench 11-20 rank 18</t>
        </is>
      </c>
      <c r="U8" s="56" t="inlineStr">
        <is>
          <t>中興大學獸醫教學醫院 (NCHU Veterinary Teaching Hospital): an academic evaluation placement</t>
        </is>
      </c>
      <c r="V8" s="50" t="inlineStr">
        <is>
          <t>Dear 中興大學獸醫教學醫院 (NCHU Veterinary Teaching Hospital) team,
My name is Casper Tan, Senior Regional Sales Manager at AstraMed Healthcare, a subsidiary of CHISON Medical Technologies. I look after CHISON veterinary ultrasound in your market.
NCHU covers central Taiwan's referral work and trains the clinicians who staff it.
To be simple: the import route for the goods is still being confirmed, so this note is about the relationship and an evaluation, not an order.
The configuration I would put in front of you is SonoEye P5 VET teaching units + EBit 50 VET (large animal).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9" ht="165" customHeight="1" s="114">
      <c r="A9" s="113" t="n">
        <v>5</v>
      </c>
      <c r="B9" s="41" t="inlineStr">
        <is>
          <t>屏東科技大學動物醫院 (NPUST Veterinary Hospital)</t>
        </is>
      </c>
      <c r="C9" s="113" t="inlineStr">
        <is>
          <t>University teaching hospital — large-animal strength</t>
        </is>
      </c>
      <c r="D9" s="42" t="inlineStr">
        <is>
          <t>Not started</t>
        </is>
      </c>
      <c r="E9" s="43" t="n"/>
      <c r="F9" s="44" t="n"/>
      <c r="G9" s="45" t="n"/>
      <c r="H9" s="113" t="inlineStr">
        <is>
          <t>University teaching hospital — large-animal strength. 1. Pingtung.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9" s="113" t="inlineStr">
        <is>
          <t>1</t>
        </is>
      </c>
      <c r="J9" s="113" t="inlineStr">
        <is>
          <t>Pingtung</t>
        </is>
      </c>
      <c r="K9" s="113" t="inlineStr">
        <is>
          <t>NOT CONFIRMED</t>
        </is>
      </c>
      <c r="L9" s="113" t="inlineStr">
        <is>
          <t>NOT CONFIRMED — search 屏科大動物醫院</t>
        </is>
      </c>
      <c r="M9" s="113" t="inlineStr">
        <is>
          <t>NOT CONFIRMED</t>
        </is>
      </c>
      <c r="N9" s="113" t="inlineStr">
        <is>
          <t>D — NOT VERIFIED (name, city and domain carried from the Market Development list; page not opened by us)</t>
        </is>
      </c>
      <c r="O9" s="113" t="inlineStr">
        <is>
          <t>Southern Taiwan academic account with genuine large-animal and production-animal work — the one Taiwanese site where EBit 50 VET leads.</t>
        </is>
      </c>
      <c r="P9" s="113" t="inlineStr">
        <is>
          <t>EBit 50 VET (bovine/swine reproduction) + SonoEye P3 VET</t>
        </is>
      </c>
      <c r="Q9" s="57" t="inlineStr">
        <is>
          <t>P3</t>
        </is>
      </c>
      <c r="R9" s="52" t="inlineStr">
        <is>
          <t>MEDIUM — high KOL value, long cycle, and no invoice until the customs route for Chinese-origin goods is resolved. No veterinary cart exists (decision D-2) — handheld teaching units only.</t>
        </is>
      </c>
      <c r="S9" s="113" t="inlineStr">
        <is>
          <t>H-Ref</t>
        </is>
      </c>
      <c r="T9" s="113" t="inlineStr">
        <is>
          <t>Carried from CHISON_Market_Development_Target_List_v2 (merged into v6, 6 Aug 2026)</t>
        </is>
      </c>
      <c r="U9" s="56" t="inlineStr">
        <is>
          <t>屏東科技大學動物醫院 (NPUST Veterinary Hospital): an academic evaluation placement</t>
        </is>
      </c>
      <c r="V9" s="50" t="inlineStr">
        <is>
          <t>Dear 屏東科技大學動物醫院 (NPUST Veterinary Hospital) team,
My name is Casper Tan, Senior Regional Sales Manager at AstraMed Healthcare, a subsidiary of CHISON Medical Technologies. I look after CHISON veterinary ultrasound in your market.
Your production-animal caseload needs a reproduction scanner built for field conditions, not a small-animal machine taken outside.
To be simple: the import route for the goods is still being confirmed,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0" ht="165" customHeight="1" s="114">
      <c r="A10" s="113" t="n">
        <v>6</v>
      </c>
      <c r="B10" s="41" t="inlineStr">
        <is>
          <t>嘉義大學動物醫院 (NCYU Veterinary Hospital)</t>
        </is>
      </c>
      <c r="C10" s="113" t="inlineStr">
        <is>
          <t>University teaching hospital</t>
        </is>
      </c>
      <c r="D10" s="42" t="inlineStr">
        <is>
          <t>Not started</t>
        </is>
      </c>
      <c r="E10" s="43" t="n"/>
      <c r="F10" s="44" t="n"/>
      <c r="G10" s="45" t="n"/>
      <c r="H10" s="113" t="inlineStr">
        <is>
          <t>University teaching hospital. 1. Chiayi.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0" s="113" t="inlineStr">
        <is>
          <t>1</t>
        </is>
      </c>
      <c r="J10" s="113" t="inlineStr">
        <is>
          <t>Chiayi</t>
        </is>
      </c>
      <c r="K10" s="113" t="inlineStr">
        <is>
          <t>NOT CONFIRMED</t>
        </is>
      </c>
      <c r="L10" s="113" t="inlineStr">
        <is>
          <t>NOT CONFIRMED — search 嘉大動物醫院</t>
        </is>
      </c>
      <c r="M10" s="113" t="inlineStr">
        <is>
          <t>NOT CONFIRMED</t>
        </is>
      </c>
      <c r="N10" s="113" t="inlineStr">
        <is>
          <t>D — NOT VERIFIED (name, city and domain carried from the Market Development list; page not opened by us)</t>
        </is>
      </c>
      <c r="O10" s="113" t="inlineStr">
        <is>
          <t>Regional teaching hospital, south-central Taiwan. Modest influence, short queue.</t>
        </is>
      </c>
      <c r="P10" s="113" t="inlineStr">
        <is>
          <t>SonoEye P5 VET teaching units</t>
        </is>
      </c>
      <c r="Q10" s="57" t="inlineStr">
        <is>
          <t>P3</t>
        </is>
      </c>
      <c r="R10" s="52" t="inlineStr">
        <is>
          <t>MEDIUM — high KOL value, long cycle, and no invoice until the customs route for Chinese-origin goods is resolved. No veterinary cart exists (decision D-2) — handheld teaching units only.</t>
        </is>
      </c>
      <c r="S10" s="113" t="inlineStr">
        <is>
          <t>H-Ref</t>
        </is>
      </c>
      <c r="T10" s="113" t="inlineStr">
        <is>
          <t>Carried from CHISON_Market_Development_Target_List_v2 (merged into v6, 6 Aug 2026)</t>
        </is>
      </c>
      <c r="U10" s="56" t="inlineStr">
        <is>
          <t>嘉義大學動物醫院 (NCYU Veterinary Hospital): an academic evaluation placement</t>
        </is>
      </c>
      <c r="V10" s="50" t="inlineStr">
        <is>
          <t>Dear 嘉義大學動物醫院 (NCYU Veterinary Hospital) team,
My name is Casper Tan, Senior Regional Sales Manager at AstraMed Healthcare, a subsidiary of CHISON Medical Technologies. I look after CHISON veterinary ultrasound in your market.
Students learn on whatever scanner is in the teaching hospital and specify it once they are in practice.
To be simple: the import route for the goods is still being confirmed,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1" ht="165" customHeight="1" s="114">
      <c r="A11" s="113" t="n">
        <v>7</v>
      </c>
      <c r="B11" s="41" t="inlineStr">
        <is>
          <t>全民連鎖動物醫院 (Formosa Vet Center)</t>
        </is>
      </c>
      <c r="C11" s="113" t="inlineStr">
        <is>
          <t>Chain with 24-hour emergency</t>
        </is>
      </c>
      <c r="D11" s="42" t="inlineStr">
        <is>
          <t>Not started</t>
        </is>
      </c>
      <c r="E11" s="43" t="n"/>
      <c r="F11" s="44" t="n"/>
      <c r="G11" s="45" t="n"/>
      <c r="H11" s="46" t="inlineStr">
        <is>
          <t>Chain with 24-hour emergency. Multiple — count NOT confirmed. Datong, Taipei. RELEVANCE: multi-site groups make one equipment decision and repeat it, which turns a single scanner sale into a fleet order. They also have a procurement function, so the conversation belongs at head office rather than at a clinic. Lead product: SonoEye P3 VET per site.</t>
        </is>
      </c>
      <c r="I11" s="113" t="inlineStr">
        <is>
          <t>Multiple — count NOT confirmed</t>
        </is>
      </c>
      <c r="J11" s="113" t="inlineStr">
        <is>
          <t>Datong, Taipei</t>
        </is>
      </c>
      <c r="K11" s="46" t="inlineStr">
        <is>
          <t>NOT CONFIRMED — via formosavetcenter.com</t>
        </is>
      </c>
      <c r="L11" s="47" t="inlineStr">
        <is>
          <t>https://www.formosavetcenter.com</t>
        </is>
      </c>
      <c r="M11" s="113" t="inlineStr">
        <is>
          <t>Not published — via the group site</t>
        </is>
      </c>
      <c r="N11" s="113" t="inlineStr">
        <is>
          <t>C — SITE LIVE, NOT OPENED (domain returned by search with real content; page not opened by us)</t>
        </is>
      </c>
      <c r="O11" s="113" t="inlineStr">
        <is>
          <t>Taipei chain with emergency cover. Smaller than the National group but a faster decision.</t>
        </is>
      </c>
      <c r="P11" s="113" t="inlineStr">
        <is>
          <t>SonoEye P3 VET per site</t>
        </is>
      </c>
      <c r="Q11" s="57" t="inlineStr">
        <is>
          <t>P3</t>
        </is>
      </c>
      <c r="R11" s="54" t="inlineStr">
        <is>
          <t>LOW-MEDIUM — long tail, and no invoice until the customs route for Chinese-origin goods is resolved. Build the relationship cheaply; do not spend travel budget yet.</t>
        </is>
      </c>
      <c r="S11" s="113" t="inlineStr">
        <is>
          <t>H-Fleet</t>
        </is>
      </c>
      <c r="T11" s="113" t="inlineStr">
        <is>
          <t>Carried from CHISON_Market_Development_Target_List_v2 (merged into v6, 6 Aug 2026)</t>
        </is>
      </c>
      <c r="U11" s="56" t="inlineStr">
        <is>
          <t>全民連鎖動物醫院 (Formosa Vet Center): one handheld standard across your branches</t>
        </is>
      </c>
      <c r="V11" s="50" t="inlineStr">
        <is>
          <t>Dear 全民連鎖動物醫院 (Formosa Vet Center) team,
My name is Casper Tan, Senior Regional Sales Manager at AstraMed Healthcare, a subsidiary of CHISON Medical Technologies. I look after CHISON veterinary ultrasound in your market.
A chain with emergency cover needs a scanner that is at the cage side in seconds, in every branch.
To be simple: the import route for the goods is still being confirmed,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2" ht="165" customHeight="1" s="114">
      <c r="A12" s="113" t="n">
        <v>8</v>
      </c>
      <c r="B12" s="41" t="inlineStr">
        <is>
          <t>太僕動物醫院 (Tai Pu Animal Hospital)</t>
        </is>
      </c>
      <c r="C12" s="113" t="inlineStr">
        <is>
          <t>24-hour hospital</t>
        </is>
      </c>
      <c r="D12" s="42" t="inlineStr">
        <is>
          <t>Not started</t>
        </is>
      </c>
      <c r="E12" s="43" t="n"/>
      <c r="F12" s="44" t="n"/>
      <c r="G12" s="45" t="n"/>
      <c r="H12" s="113" t="inlineStr">
        <is>
          <t>24-hour hospital. 1. Taipei.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2" s="113" t="inlineStr">
        <is>
          <t>1</t>
        </is>
      </c>
      <c r="J12" s="113" t="inlineStr">
        <is>
          <t>Taipei</t>
        </is>
      </c>
      <c r="K12" s="113" t="inlineStr">
        <is>
          <t>NOT CONFIRMED</t>
        </is>
      </c>
      <c r="L12" s="113" t="inlineStr">
        <is>
          <t>NOT CONFIRMED — search 太僕動物醫院</t>
        </is>
      </c>
      <c r="M12" s="113" t="inlineStr">
        <is>
          <t>NOT CONFIRMED</t>
        </is>
      </c>
      <c r="N12" s="113" t="inlineStr">
        <is>
          <t>D — NOT VERIFIED (name, city and domain carried from the Market Development list; page not opened by us)</t>
        </is>
      </c>
      <c r="O12" s="113" t="inlineStr">
        <is>
          <t>Known Taipei 24-hour site and therefore an imaging buyer. Confirm before spending time.</t>
        </is>
      </c>
      <c r="P12" s="113" t="inlineStr">
        <is>
          <t>SonoEye P3 VET</t>
        </is>
      </c>
      <c r="Q12" s="57" t="inlineStr">
        <is>
          <t>P3</t>
        </is>
      </c>
      <c r="R12" s="54" t="inlineStr">
        <is>
          <t>LOW-MEDIUM — long tail, and no invoice until the customs route for Chinese-origin goods is resolved. Build the relationship cheaply; do not spend travel budget yet.</t>
        </is>
      </c>
      <c r="S12" s="113" t="inlineStr">
        <is>
          <t>H-Eval</t>
        </is>
      </c>
      <c r="T12" s="113" t="inlineStr">
        <is>
          <t>Carried from CHISON_Market_Development_Target_List_v2 (merged into v6, 6 Aug 2026)</t>
        </is>
      </c>
      <c r="U12" s="56" t="inlineStr">
        <is>
          <t>太僕動物醫院 (Tai Pu Animal Hospital): a FAST scanner for the night shift</t>
        </is>
      </c>
      <c r="V12" s="50" t="inlineStr">
        <is>
          <t>Dear 太僕動物醫院 (Tai Pu Animal Hospital) team,
My name is Casper Tan, Senior Regional Sales Manager at AstraMed Healthcare, a subsidiary of CHISON Medical Technologies. I look after CHISON veterinary ultrasound in your market.
On a night shift the scanner that gets used is the one already in your hand.
To be simple: the import route for the goods is still being confirmed,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3" ht="165" customHeight="1" s="114">
      <c r="A13" s="113" t="n">
        <v>9</v>
      </c>
      <c r="B13" s="41" t="inlineStr">
        <is>
          <t>亞幸動物醫院 (Ya Xing Animal Hospital)</t>
        </is>
      </c>
      <c r="C13" s="113" t="inlineStr">
        <is>
          <t>Referral-level hospital</t>
        </is>
      </c>
      <c r="D13" s="42" t="inlineStr">
        <is>
          <t>Not started</t>
        </is>
      </c>
      <c r="E13" s="43" t="n"/>
      <c r="F13" s="44" t="n"/>
      <c r="G13" s="45" t="n"/>
      <c r="H13" s="113" t="inlineStr">
        <is>
          <t>Referral-level hospital. 1. Taichung.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t>
        </is>
      </c>
      <c r="I13" s="113" t="inlineStr">
        <is>
          <t>1</t>
        </is>
      </c>
      <c r="J13" s="113" t="inlineStr">
        <is>
          <t>Taichung</t>
        </is>
      </c>
      <c r="K13" s="113" t="inlineStr">
        <is>
          <t>NOT CONFIRMED</t>
        </is>
      </c>
      <c r="L13" s="113" t="inlineStr">
        <is>
          <t>NOT CONFIRMED — search 亞幸動物醫院</t>
        </is>
      </c>
      <c r="M13" s="113" t="inlineStr">
        <is>
          <t>NOT CONFIRMED</t>
        </is>
      </c>
      <c r="N13" s="113" t="inlineStr">
        <is>
          <t>D — NOT VERIFIED (name, city and domain carried from the Market Development list; page not opened by us)</t>
        </is>
      </c>
      <c r="O13" s="113" t="inlineStr">
        <is>
          <t>Central Taiwan referral candidate. Unqualified — confirm the practice and its caseload.</t>
        </is>
      </c>
      <c r="P13" s="113" t="inlineStr">
        <is>
          <t>SonoEye P3 VET</t>
        </is>
      </c>
      <c r="Q13" s="57" t="inlineStr">
        <is>
          <t>P3</t>
        </is>
      </c>
      <c r="R13" s="54" t="inlineStr">
        <is>
          <t>LOW-MEDIUM — long tail, and no invoice until the customs route for Chinese-origin goods is resolved. Build the relationship cheaply; do not spend travel budget yet.</t>
        </is>
      </c>
      <c r="S13" s="113" t="inlineStr">
        <is>
          <t>H-Ref</t>
        </is>
      </c>
      <c r="T13" s="113" t="inlineStr">
        <is>
          <t>Carried from CHISON_Market_Development_Target_List_v2 (merged into v6, 6 Aug 2026)</t>
        </is>
      </c>
      <c r="U13" s="56" t="inlineStr">
        <is>
          <t>亞幸動物醫院 (Ya Xing Animal Hospital): an evaluation unit at your hospital</t>
        </is>
      </c>
      <c r="V13" s="50" t="inlineStr">
        <is>
          <t>Dear 亞幸動物醫院 (Ya Xing Animal Hospital) team,
My name is Casper Tan, Senior Regional Sales Manager at AstraMed Healthcare, a subsidiary of CHISON Medical Technologies. I look after CHISON veterinary ultrasound in your market.
Central Taiwan referral work is growing faster than the imaging capacity available to it.
To be simple: the import route for the goods is still being confirmed,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4" ht="165" customHeight="1" s="114">
      <c r="A14" s="113" t="n">
        <v>10</v>
      </c>
      <c r="B14" s="41" t="inlineStr">
        <is>
          <t>豆皮動物醫院 (Peace Vet)</t>
        </is>
      </c>
      <c r="C14" s="113" t="inlineStr">
        <is>
          <t>Clinic with cardiac and abdominal ultrasound</t>
        </is>
      </c>
      <c r="D14" s="42" t="inlineStr">
        <is>
          <t>Not started</t>
        </is>
      </c>
      <c r="E14" s="43" t="n"/>
      <c r="F14" s="44" t="n"/>
      <c r="G14" s="45" t="n"/>
      <c r="H14" s="46" t="inlineStr">
        <is>
          <t>Clinic with cardiac and abdominal ultrasound. 1. Yonghe, New Taipei.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SonoAir 70 VET (cardiac) + SonoEye P5 VET.</t>
        </is>
      </c>
      <c r="I14" s="113" t="inlineStr">
        <is>
          <t>1</t>
        </is>
      </c>
      <c r="J14" s="113" t="inlineStr">
        <is>
          <t>Yonghe, New Taipei</t>
        </is>
      </c>
      <c r="K14" s="46" t="inlineStr">
        <is>
          <t>NOT CONFIRMED — via peace-vet.com</t>
        </is>
      </c>
      <c r="L14" s="47" t="inlineStr">
        <is>
          <t>https://www.peace-vet.com</t>
        </is>
      </c>
      <c r="M14" s="113" t="inlineStr">
        <is>
          <t>Not published — via peace-vet.com</t>
        </is>
      </c>
      <c r="N14" s="113" t="inlineStr">
        <is>
          <t>C — SITE LIVE, NOT OPENED (domain returned by search with real content; page not opened by us)</t>
        </is>
      </c>
      <c r="O14" s="113" t="inlineStr">
        <is>
          <t>Cardiology-forward clinic — already scanning, so this is a replacement or second-unit conversation judged purely on image quality.</t>
        </is>
      </c>
      <c r="P14" s="113" t="inlineStr">
        <is>
          <t>SonoAir 70 VET (cardiac) + SonoEye P5 VET</t>
        </is>
      </c>
      <c r="Q14" s="57" t="inlineStr">
        <is>
          <t>P3</t>
        </is>
      </c>
      <c r="R14" s="54" t="inlineStr">
        <is>
          <t>LOW-MEDIUM — long tail, and no invoice until the customs route for Chinese-origin goods is resolved. Build the relationship cheaply; do not spend travel budget yet.</t>
        </is>
      </c>
      <c r="S14" s="113" t="inlineStr">
        <is>
          <t>H-Eval</t>
        </is>
      </c>
      <c r="T14" s="113" t="inlineStr">
        <is>
          <t>Carried from CHISON_Market_Development_Target_List_v2 (merged into v6, 6 Aug 2026)</t>
        </is>
      </c>
      <c r="U14" s="56" t="inlineStr">
        <is>
          <t>豆皮動物醫院 (Peace Vet): a side-by-side image comparison</t>
        </is>
      </c>
      <c r="V14" s="50" t="inlineStr">
        <is>
          <t>Dear 豆皮動物醫院 (Peace Vet) team,
My name is Casper Tan, Senior Regional Sales Manager at AstraMed Healthcare, a subsidiary of CHISON Medical Technologies. I look after CHISON veterinary ultrasound in your market.
You already scan hearts, so the only thing worth discussing is whether our images are better than what you use now.
To be simple: the import route for the goods is still being confirmed, so this note is about the relationship and an evaluation, not an order.
The configuration I would put in front of you is SonoAir 70 VET (cardiac)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5" ht="165" customHeight="1" s="114">
      <c r="A15" s="113" t="n">
        <v>11</v>
      </c>
      <c r="B15" s="41" t="inlineStr">
        <is>
          <t>天母家畜醫院 (Tianmu Animal Hospital)</t>
        </is>
      </c>
      <c r="C15" s="113" t="inlineStr">
        <is>
          <t>Independent clinic — TPVMA-registered</t>
        </is>
      </c>
      <c r="D15" s="42" t="inlineStr">
        <is>
          <t>Not started</t>
        </is>
      </c>
      <c r="E15" s="43" t="n"/>
      <c r="F15" s="44" t="n"/>
      <c r="G15" s="45" t="n"/>
      <c r="H15"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5" s="113" t="inlineStr">
        <is>
          <t>1</t>
        </is>
      </c>
      <c r="J15" s="113" t="inlineStr">
        <is>
          <t>Shilin, Taipei</t>
        </is>
      </c>
      <c r="K15" s="113" t="inlineStr">
        <is>
          <t>02-2874-6381</t>
        </is>
      </c>
      <c r="L15" s="113" t="inlineStr">
        <is>
          <t>NOT CONFIRMED — TPVMA directory listing</t>
        </is>
      </c>
      <c r="M15" s="113" t="inlineStr">
        <is>
          <t>NOT CONFIRMED</t>
        </is>
      </c>
      <c r="N15" s="113" t="inlineStr">
        <is>
          <t>C — DIRECTORY (Taipei Veterinary Medical Association roster). Phone as published in the directory; no website or email confirmed, entity not opened by us.</t>
        </is>
      </c>
      <c r="O15" s="113" t="inlineStr">
        <is>
          <t>Taipei long tail from the TPVMA roster. One clinic, one decision-maker, first-scanner conversation. Work these in district batches rather than one at a time.</t>
        </is>
      </c>
      <c r="P15" s="113" t="inlineStr">
        <is>
          <t>SonoEye P3 VET (first scanner)</t>
        </is>
      </c>
      <c r="Q15" s="57" t="inlineStr">
        <is>
          <t>P3</t>
        </is>
      </c>
      <c r="R15" s="54" t="inlineStr">
        <is>
          <t>LOW-MEDIUM — long tail, and no invoice until the customs route for Chinese-origin goods is resolved. Build the relationship cheaply; do not spend travel budget yet.</t>
        </is>
      </c>
      <c r="S15" s="113" t="inlineStr">
        <is>
          <t>H-GP</t>
        </is>
      </c>
      <c r="T15" s="113" t="inlineStr">
        <is>
          <t>Carried from CHISON_Market_Development_Target_List_v2 (merged into v6, 6 Aug 2026) — TPVMA directory</t>
        </is>
      </c>
      <c r="U15" s="56" t="inlineStr">
        <is>
          <t>天母家畜醫院 (Tianmu Animal Hospital): a first scanner, demonstrated at your clinic</t>
        </is>
      </c>
      <c r="V15" s="50" t="inlineStr">
        <is>
          <t>Dear 天母家畜醫院 (Tianmu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6" ht="165" customHeight="1" s="114">
      <c r="A16" s="113" t="n">
        <v>12</v>
      </c>
      <c r="B16" s="41" t="inlineStr">
        <is>
          <t>大眾家畜醫院 (Dazhong Animal Hospital)</t>
        </is>
      </c>
      <c r="C16" s="113" t="inlineStr">
        <is>
          <t>Independent clinic — TPVMA-registered</t>
        </is>
      </c>
      <c r="D16" s="42" t="inlineStr">
        <is>
          <t>Not started</t>
        </is>
      </c>
      <c r="E16" s="43" t="n"/>
      <c r="F16" s="44" t="n"/>
      <c r="G16" s="45" t="n"/>
      <c r="H16"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6" s="113" t="inlineStr">
        <is>
          <t>1</t>
        </is>
      </c>
      <c r="J16" s="113" t="inlineStr">
        <is>
          <t>Datong, Taipei</t>
        </is>
      </c>
      <c r="K16" s="113" t="inlineStr">
        <is>
          <t>02-2586-1518</t>
        </is>
      </c>
      <c r="L16" s="113" t="inlineStr">
        <is>
          <t>NOT CONFIRMED — TPVMA directory listing</t>
        </is>
      </c>
      <c r="M16" s="113" t="inlineStr">
        <is>
          <t>NOT CONFIRMED</t>
        </is>
      </c>
      <c r="N16" s="113" t="inlineStr">
        <is>
          <t>C — DIRECTORY (Taipei Veterinary Medical Association roster). Phone as published in the directory; no website or email confirmed, entity not opened by us.</t>
        </is>
      </c>
      <c r="O16" s="113" t="inlineStr">
        <is>
          <t>Taipei long tail from the TPVMA roster. One clinic, one decision-maker, first-scanner conversation. Work these in district batches rather than one at a time.</t>
        </is>
      </c>
      <c r="P16" s="113" t="inlineStr">
        <is>
          <t>SonoEye P3 VET (first scanner)</t>
        </is>
      </c>
      <c r="Q16" s="57" t="inlineStr">
        <is>
          <t>P3</t>
        </is>
      </c>
      <c r="R16" s="54" t="inlineStr">
        <is>
          <t>LOW-MEDIUM — long tail, and no invoice until the customs route for Chinese-origin goods is resolved. Build the relationship cheaply; do not spend travel budget yet.</t>
        </is>
      </c>
      <c r="S16" s="113" t="inlineStr">
        <is>
          <t>H-GP</t>
        </is>
      </c>
      <c r="T16" s="113" t="inlineStr">
        <is>
          <t>Carried from CHISON_Market_Development_Target_List_v2 (merged into v6, 6 Aug 2026) — TPVMA directory</t>
        </is>
      </c>
      <c r="U16" s="56" t="inlineStr">
        <is>
          <t>大眾家畜醫院 (Dazhong Animal Hospital): a first scanner, demonstrated at your clinic</t>
        </is>
      </c>
      <c r="V16" s="50" t="inlineStr">
        <is>
          <t>Dear 大眾家畜醫院 (Dazhong Animal Hospital) team,
My name is Casper Tan, Senior Regional Sales Manager at AstraMed Healthcare, a subsidiary of CHISON Medical Technologies. I look after CHISON veterinary ultrasound in your market.
A first scanner changes what you can decide in the room, and Datong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7" ht="165" customHeight="1" s="114">
      <c r="A17" s="113" t="n">
        <v>13</v>
      </c>
      <c r="B17" s="41" t="inlineStr">
        <is>
          <t>展望動物醫院 (Zhanwang Animal Hospital)</t>
        </is>
      </c>
      <c r="C17" s="113" t="inlineStr">
        <is>
          <t>Independent clinic — TPVMA-registered</t>
        </is>
      </c>
      <c r="D17" s="42" t="inlineStr">
        <is>
          <t>Not started</t>
        </is>
      </c>
      <c r="E17" s="43" t="n"/>
      <c r="F17" s="44" t="n"/>
      <c r="G17" s="45" t="n"/>
      <c r="H17"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7" s="113" t="inlineStr">
        <is>
          <t>1</t>
        </is>
      </c>
      <c r="J17" s="113" t="inlineStr">
        <is>
          <t>Wanhua, Taipei</t>
        </is>
      </c>
      <c r="K17" s="113" t="inlineStr">
        <is>
          <t>02-2388-0122</t>
        </is>
      </c>
      <c r="L17" s="113" t="inlineStr">
        <is>
          <t>NOT CONFIRMED — TPVMA directory listing</t>
        </is>
      </c>
      <c r="M17" s="113" t="inlineStr">
        <is>
          <t>NOT CONFIRMED</t>
        </is>
      </c>
      <c r="N17" s="113" t="inlineStr">
        <is>
          <t>C — DIRECTORY (Taipei Veterinary Medical Association roster). Phone as published in the directory; no website or email confirmed, entity not opened by us.</t>
        </is>
      </c>
      <c r="O17" s="113" t="inlineStr">
        <is>
          <t>Taipei long tail from the TPVMA roster. One clinic, one decision-maker, first-scanner conversation. Work these in district batches rather than one at a time.</t>
        </is>
      </c>
      <c r="P17" s="113" t="inlineStr">
        <is>
          <t>SonoEye P3 VET (first scanner)</t>
        </is>
      </c>
      <c r="Q17" s="57" t="inlineStr">
        <is>
          <t>P3</t>
        </is>
      </c>
      <c r="R17" s="54" t="inlineStr">
        <is>
          <t>LOW-MEDIUM — long tail, and no invoice until the customs route for Chinese-origin goods is resolved. Build the relationship cheaply; do not spend travel budget yet.</t>
        </is>
      </c>
      <c r="S17" s="113" t="inlineStr">
        <is>
          <t>H-GP</t>
        </is>
      </c>
      <c r="T17" s="113" t="inlineStr">
        <is>
          <t>Carried from CHISON_Market_Development_Target_List_v2 (merged into v6, 6 Aug 2026) — TPVMA directory</t>
        </is>
      </c>
      <c r="U17" s="56" t="inlineStr">
        <is>
          <t>展望動物醫院 (Zhanwang Animal Hospital): a first scanner, demonstrated at your clinic</t>
        </is>
      </c>
      <c r="V17" s="50" t="inlineStr">
        <is>
          <t>Dear 展望動物醫院 (Zhanwang Animal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8" ht="165" customHeight="1" s="114">
      <c r="A18" s="113" t="n">
        <v>14</v>
      </c>
      <c r="B18" s="41" t="inlineStr">
        <is>
          <t>西湖動物醫院 (Xihu Animal Hospital)</t>
        </is>
      </c>
      <c r="C18" s="113" t="inlineStr">
        <is>
          <t>Independent clinic — TPVMA-registered</t>
        </is>
      </c>
      <c r="D18" s="42" t="inlineStr">
        <is>
          <t>Not started</t>
        </is>
      </c>
      <c r="E18" s="43" t="n"/>
      <c r="F18" s="44" t="n"/>
      <c r="G18" s="45" t="n"/>
      <c r="H18"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8" s="113" t="inlineStr">
        <is>
          <t>1</t>
        </is>
      </c>
      <c r="J18" s="113" t="inlineStr">
        <is>
          <t>Neihu, Taipei</t>
        </is>
      </c>
      <c r="K18" s="113" t="inlineStr">
        <is>
          <t>02-2799-0700</t>
        </is>
      </c>
      <c r="L18" s="113" t="inlineStr">
        <is>
          <t>NOT CONFIRMED — TPVMA directory listing</t>
        </is>
      </c>
      <c r="M18" s="113" t="inlineStr">
        <is>
          <t>NOT CONFIRMED</t>
        </is>
      </c>
      <c r="N18" s="113" t="inlineStr">
        <is>
          <t>C — DIRECTORY (Taipei Veterinary Medical Association roster). Phone as published in the directory; no website or email confirmed, entity not opened by us.</t>
        </is>
      </c>
      <c r="O18" s="113" t="inlineStr">
        <is>
          <t>Taipei long tail from the TPVMA roster. One clinic, one decision-maker, first-scanner conversation. Work these in district batches rather than one at a time.</t>
        </is>
      </c>
      <c r="P18" s="113" t="inlineStr">
        <is>
          <t>SonoEye P3 VET (first scanner)</t>
        </is>
      </c>
      <c r="Q18" s="57" t="inlineStr">
        <is>
          <t>P3</t>
        </is>
      </c>
      <c r="R18" s="54" t="inlineStr">
        <is>
          <t>LOW-MEDIUM — long tail, and no invoice until the customs route for Chinese-origin goods is resolved. Build the relationship cheaply; do not spend travel budget yet.</t>
        </is>
      </c>
      <c r="S18" s="113" t="inlineStr">
        <is>
          <t>H-GP</t>
        </is>
      </c>
      <c r="T18" s="113" t="inlineStr">
        <is>
          <t>Carried from CHISON_Market_Development_Target_List_v2 (merged into v6, 6 Aug 2026) — TPVMA directory</t>
        </is>
      </c>
      <c r="U18" s="56" t="inlineStr">
        <is>
          <t>西湖動物醫院 (Xihu Animal Hospital): a first scanner, demonstrated at your clinic</t>
        </is>
      </c>
      <c r="V18" s="50" t="inlineStr">
        <is>
          <t>Dear 西湖動物醫院 (Xihu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9" ht="165" customHeight="1" s="114">
      <c r="A19" s="113" t="n">
        <v>15</v>
      </c>
      <c r="B19" s="41" t="inlineStr">
        <is>
          <t>信達犬貓專科醫院 (Xinda Dog &amp; Cat Specialty Hospital)</t>
        </is>
      </c>
      <c r="C19" s="113" t="inlineStr">
        <is>
          <t>Independent clinic — TPVMA-registered</t>
        </is>
      </c>
      <c r="D19" s="42" t="inlineStr">
        <is>
          <t>Not started</t>
        </is>
      </c>
      <c r="E19" s="43" t="n"/>
      <c r="F19" s="44" t="n"/>
      <c r="G19" s="45" t="n"/>
      <c r="H19"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P5 VET (high-frequency linear and micro-convex).</t>
        </is>
      </c>
      <c r="I19" s="113" t="inlineStr">
        <is>
          <t>1</t>
        </is>
      </c>
      <c r="J19" s="113" t="inlineStr">
        <is>
          <t>Shilin, Taipei</t>
        </is>
      </c>
      <c r="K19" s="113" t="inlineStr">
        <is>
          <t>02-2881-2150</t>
        </is>
      </c>
      <c r="L19" s="113" t="inlineStr">
        <is>
          <t>NOT CONFIRMED — TPVMA directory listing</t>
        </is>
      </c>
      <c r="M19" s="113" t="inlineStr">
        <is>
          <t>NOT CONFIRMED</t>
        </is>
      </c>
      <c r="N19" s="113" t="inlineStr">
        <is>
          <t>C — DIRECTORY (Taipei Veterinary Medical Association roster). Phone as published in the directory; no website or email confirmed, entity not opened by us.</t>
        </is>
      </c>
      <c r="O19" s="113" t="inlineStr">
        <is>
          <t>Feline-focused practice — small patients, so high-frequency linear imaging matters more than depth.</t>
        </is>
      </c>
      <c r="P19" s="113" t="inlineStr">
        <is>
          <t>SonoEye P5 VET (high-frequency linear and micro-convex)</t>
        </is>
      </c>
      <c r="Q19" s="57" t="inlineStr">
        <is>
          <t>P3</t>
        </is>
      </c>
      <c r="R19" s="54" t="inlineStr">
        <is>
          <t>LOW-MEDIUM — long tail, and no invoice until the customs route for Chinese-origin goods is resolved. Build the relationship cheaply; do not spend travel budget yet.</t>
        </is>
      </c>
      <c r="S19" s="113" t="inlineStr">
        <is>
          <t>H-GP</t>
        </is>
      </c>
      <c r="T19" s="113" t="inlineStr">
        <is>
          <t>Carried from CHISON_Market_Development_Target_List_v2 (merged into v6, 6 Aug 2026) — TPVMA directory</t>
        </is>
      </c>
      <c r="U19" s="56" t="inlineStr">
        <is>
          <t>信達犬貓專科醫院 (Xinda Dog &amp; Cat Specialty Hospital): a high-frequency demonstration, no cost</t>
        </is>
      </c>
      <c r="V19" s="50" t="inlineStr">
        <is>
          <t>Dear 信達犬貓專科醫院 (Xinda Dog &amp; Cat Specialty Hospital) team,
My name is Casper Tan, Senior Regional Sales Manager at AstraMed Healthcare, a subsidiary of CHISON Medical Technologies. I look after CHISON veterinary ultrasound in your market.
Cats are small patients, and most of the diagnostic value sits in the first few centimetres, which is a resolution question, not a power question.
To be simple: the import route for the goods is still being confirmed, so this note is about the relationship and an evaluation, not an order.
The configuration I would put in front of you is SonoEye P5 VET (high-frequency linear and micro-convex).
Would a short demonstration at your clinic be welcome, no cost and no obligation?
Kind regards,
Casper Tan
Senior Regional Sales Manager, AstraMed Healthcare
CHISON veterinary ultrasound (Singapore · Japan · South Korea · Taiwan)
casper@astramed.sg</t>
        </is>
      </c>
    </row>
    <row r="20" ht="165" customHeight="1" s="114">
      <c r="A20" s="113" t="n">
        <v>16</v>
      </c>
      <c r="B20" s="41" t="inlineStr">
        <is>
          <t>翊心動物醫院 (Yixin Animal Hospital)</t>
        </is>
      </c>
      <c r="C20" s="113" t="inlineStr">
        <is>
          <t>Independent clinic — TPVMA-registered</t>
        </is>
      </c>
      <c r="D20" s="42" t="inlineStr">
        <is>
          <t>Not started</t>
        </is>
      </c>
      <c r="E20" s="43" t="n"/>
      <c r="F20" s="44" t="n"/>
      <c r="G20" s="45" t="n"/>
      <c r="H20"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0" s="113" t="inlineStr">
        <is>
          <t>1</t>
        </is>
      </c>
      <c r="J20" s="113" t="inlineStr">
        <is>
          <t>Wanhua, Taipei</t>
        </is>
      </c>
      <c r="K20" s="113" t="inlineStr">
        <is>
          <t>02-2305-5518</t>
        </is>
      </c>
      <c r="L20" s="113" t="inlineStr">
        <is>
          <t>NOT CONFIRMED — TPVMA directory listing</t>
        </is>
      </c>
      <c r="M20" s="113" t="inlineStr">
        <is>
          <t>NOT CONFIRMED</t>
        </is>
      </c>
      <c r="N20" s="113" t="inlineStr">
        <is>
          <t>C — DIRECTORY (Taipei Veterinary Medical Association roster). Phone as published in the directory; no website or email confirmed, entity not opened by us.</t>
        </is>
      </c>
      <c r="O20" s="113" t="inlineStr">
        <is>
          <t>Taipei long tail from the TPVMA roster. One clinic, one decision-maker, first-scanner conversation. Work these in district batches rather than one at a time.</t>
        </is>
      </c>
      <c r="P20" s="113" t="inlineStr">
        <is>
          <t>SonoEye P3 VET (first scanner)</t>
        </is>
      </c>
      <c r="Q20" s="57" t="inlineStr">
        <is>
          <t>P3</t>
        </is>
      </c>
      <c r="R20" s="54" t="inlineStr">
        <is>
          <t>LOW-MEDIUM — long tail, and no invoice until the customs route for Chinese-origin goods is resolved. Build the relationship cheaply; do not spend travel budget yet.</t>
        </is>
      </c>
      <c r="S20" s="113" t="inlineStr">
        <is>
          <t>H-GP</t>
        </is>
      </c>
      <c r="T20" s="113" t="inlineStr">
        <is>
          <t>Carried from CHISON_Market_Development_Target_List_v2 (merged into v6, 6 Aug 2026) — TPVMA directory</t>
        </is>
      </c>
      <c r="U20" s="56" t="inlineStr">
        <is>
          <t>翊心動物醫院 (Yixin Animal Hospital): a first scanner, demonstrated at your clinic</t>
        </is>
      </c>
      <c r="V20" s="50" t="inlineStr">
        <is>
          <t>Dear 翊心動物醫院 (Yixin Animal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1" ht="165" customHeight="1" s="114">
      <c r="A21" s="113" t="n">
        <v>17</v>
      </c>
      <c r="B21" s="41" t="inlineStr">
        <is>
          <t>中心動物醫院 (Zhongxin Animal Hospital)</t>
        </is>
      </c>
      <c r="C21" s="113" t="inlineStr">
        <is>
          <t>Independent clinic — TPVMA-registered</t>
        </is>
      </c>
      <c r="D21" s="42" t="inlineStr">
        <is>
          <t>Not started</t>
        </is>
      </c>
      <c r="E21" s="43" t="n"/>
      <c r="F21" s="44" t="n"/>
      <c r="G21" s="45" t="n"/>
      <c r="H21"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1" s="113" t="inlineStr">
        <is>
          <t>1</t>
        </is>
      </c>
      <c r="J21" s="113" t="inlineStr">
        <is>
          <t>Da'an, Taipei</t>
        </is>
      </c>
      <c r="K21" s="113" t="inlineStr">
        <is>
          <t>02-2741-0443</t>
        </is>
      </c>
      <c r="L21" s="113" t="inlineStr">
        <is>
          <t>NOT CONFIRMED — TPVMA directory listing</t>
        </is>
      </c>
      <c r="M21" s="113" t="inlineStr">
        <is>
          <t>NOT CONFIRMED</t>
        </is>
      </c>
      <c r="N21" s="113" t="inlineStr">
        <is>
          <t>C — DIRECTORY (Taipei Veterinary Medical Association roster). Phone as published in the directory; no website or email confirmed, entity not opened by us.</t>
        </is>
      </c>
      <c r="O21" s="113" t="inlineStr">
        <is>
          <t>Taipei long tail from the TPVMA roster. One clinic, one decision-maker, first-scanner conversation. Work these in district batches rather than one at a time.</t>
        </is>
      </c>
      <c r="P21" s="113" t="inlineStr">
        <is>
          <t>SonoEye P3 VET (first scanner)</t>
        </is>
      </c>
      <c r="Q21" s="57" t="inlineStr">
        <is>
          <t>P3</t>
        </is>
      </c>
      <c r="R21" s="54" t="inlineStr">
        <is>
          <t>LOW-MEDIUM — long tail, and no invoice until the customs route for Chinese-origin goods is resolved. Build the relationship cheaply; do not spend travel budget yet.</t>
        </is>
      </c>
      <c r="S21" s="113" t="inlineStr">
        <is>
          <t>H-GP</t>
        </is>
      </c>
      <c r="T21" s="113" t="inlineStr">
        <is>
          <t>Carried from CHISON_Market_Development_Target_List_v2 (merged into v6, 6 Aug 2026) — TPVMA directory</t>
        </is>
      </c>
      <c r="U21" s="56" t="inlineStr">
        <is>
          <t>中心動物醫院 (Zhongxin Animal Hospital): a first scanner, demonstrated at your clinic</t>
        </is>
      </c>
      <c r="V21" s="50" t="inlineStr">
        <is>
          <t>Dear 中心動物醫院 (Zhongxin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2" ht="165" customHeight="1" s="114">
      <c r="A22" s="113" t="n">
        <v>18</v>
      </c>
      <c r="B22" s="41" t="inlineStr">
        <is>
          <t>凡賽爾賽鴿寵物鳥醫院 (Versailles Racing Pigeon &amp; Pet Bird Hospital)</t>
        </is>
      </c>
      <c r="C22" s="113" t="inlineStr">
        <is>
          <t>Independent clinic — TPVMA-registered</t>
        </is>
      </c>
      <c r="D22" s="42" t="inlineStr">
        <is>
          <t>Not started</t>
        </is>
      </c>
      <c r="E22" s="43" t="n"/>
      <c r="F22" s="44" t="n"/>
      <c r="G22" s="45" t="n"/>
      <c r="H22"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P5 VET (high-frequency linear and micro-convex).</t>
        </is>
      </c>
      <c r="I22" s="113" t="inlineStr">
        <is>
          <t>1</t>
        </is>
      </c>
      <c r="J22" s="113" t="inlineStr">
        <is>
          <t>Datong, Taipei</t>
        </is>
      </c>
      <c r="K22" s="113" t="inlineStr">
        <is>
          <t>02-2586-9933</t>
        </is>
      </c>
      <c r="L22" s="113" t="inlineStr">
        <is>
          <t>NOT CONFIRMED — TPVMA directory listing</t>
        </is>
      </c>
      <c r="M22" s="113" t="inlineStr">
        <is>
          <t>NOT CONFIRMED</t>
        </is>
      </c>
      <c r="N22" s="113" t="inlineStr">
        <is>
          <t>C — DIRECTORY (Taipei Veterinary Medical Association roster). Phone as published in the directory; no website or email confirmed, entity not opened by us.</t>
        </is>
      </c>
      <c r="O22" s="113" t="inlineStr">
        <is>
          <t>Avian and exotic practice — high-frequency imaging is a technical sale here, never a price-led one.</t>
        </is>
      </c>
      <c r="P22" s="113" t="inlineStr">
        <is>
          <t>SonoEye P5 VET (high-frequency linear and micro-convex)</t>
        </is>
      </c>
      <c r="Q22" s="57" t="inlineStr">
        <is>
          <t>P3</t>
        </is>
      </c>
      <c r="R22" s="54" t="inlineStr">
        <is>
          <t>LOW-MEDIUM — long tail, and no invoice until the customs route for Chinese-origin goods is resolved. Build the relationship cheaply; do not spend travel budget yet.</t>
        </is>
      </c>
      <c r="S22" s="113" t="inlineStr">
        <is>
          <t>H-Exotic</t>
        </is>
      </c>
      <c r="T22" s="113" t="inlineStr">
        <is>
          <t>Carried from CHISON_Market_Development_Target_List_v2 (merged into v6, 6 Aug 2026) — TPVMA directory</t>
        </is>
      </c>
      <c r="U22" s="56" t="inlineStr">
        <is>
          <t>凡賽爾賽鴿寵物鳥醫院 (Versailles Racing Pigeon &amp; Pet Bird Hospital): a high-frequency demonstration, no cost</t>
        </is>
      </c>
      <c r="V22" s="50" t="inlineStr">
        <is>
          <t>Dear 凡賽爾賽鴿寵物鳥醫院 (Versailles Racing Pigeon &amp; Pet Bird Hospital) team,
My name is Casper Tan, Senior Regional Sales Manager at AstraMed Healthcare, a subsidiary of CHISON Medical Technologies. I look after CHISON veterinary ultrasound in your market.
Avian and exotic patients need resolution at a few centimetres, which is a different instrument from a general abdominal scanner.
To be simple: the import route for the goods is still being confirmed, so this note is about the relationship and an evaluation, not an order.
The configuration I would put in front of you is SonoEye P5 VET (high-frequency linear and micro-convex).
Would a short demonstration at your clinic be welcome, no cost and no obligation?
Kind regards,
Casper Tan
Senior Regional Sales Manager, AstraMed Healthcare
CHISON veterinary ultrasound (Singapore · Japan · South Korea · Taiwan)
casper@astramed.sg</t>
        </is>
      </c>
    </row>
    <row r="23" ht="165" customHeight="1" s="114">
      <c r="A23" s="113" t="n">
        <v>19</v>
      </c>
      <c r="B23" s="41" t="inlineStr">
        <is>
          <t>安安動物醫院 (An An Animal Hospital)</t>
        </is>
      </c>
      <c r="C23" s="113" t="inlineStr">
        <is>
          <t>Independent clinic — TPVMA-registered</t>
        </is>
      </c>
      <c r="D23" s="42" t="inlineStr">
        <is>
          <t>Not started</t>
        </is>
      </c>
      <c r="E23" s="43" t="n"/>
      <c r="F23" s="44" t="n"/>
      <c r="G23" s="45" t="n"/>
      <c r="H23" s="113" t="inlineStr">
        <is>
          <t>Independent clinic — TPVMA-registered. 1. Xinyi,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3" s="113" t="inlineStr">
        <is>
          <t>1</t>
        </is>
      </c>
      <c r="J23" s="113" t="inlineStr">
        <is>
          <t>Xinyi, Taipei</t>
        </is>
      </c>
      <c r="K23" s="113" t="inlineStr">
        <is>
          <t>02-2728-1315</t>
        </is>
      </c>
      <c r="L23" s="113" t="inlineStr">
        <is>
          <t>NOT CONFIRMED — TPVMA directory listing</t>
        </is>
      </c>
      <c r="M23" s="113" t="inlineStr">
        <is>
          <t>NOT CONFIRMED</t>
        </is>
      </c>
      <c r="N23" s="113" t="inlineStr">
        <is>
          <t>C — DIRECTORY (Taipei Veterinary Medical Association roster). Phone as published in the directory; no website or email confirmed, entity not opened by us.</t>
        </is>
      </c>
      <c r="O23" s="113" t="inlineStr">
        <is>
          <t>Taipei long tail from the TPVMA roster. One clinic, one decision-maker, first-scanner conversation. Work these in district batches rather than one at a time.</t>
        </is>
      </c>
      <c r="P23" s="113" t="inlineStr">
        <is>
          <t>SonoEye P3 VET (first scanner)</t>
        </is>
      </c>
      <c r="Q23" s="57" t="inlineStr">
        <is>
          <t>P3</t>
        </is>
      </c>
      <c r="R23" s="54" t="inlineStr">
        <is>
          <t>LOW-MEDIUM — long tail, and no invoice until the customs route for Chinese-origin goods is resolved. Build the relationship cheaply; do not spend travel budget yet.</t>
        </is>
      </c>
      <c r="S23" s="113" t="inlineStr">
        <is>
          <t>H-GP</t>
        </is>
      </c>
      <c r="T23" s="113" t="inlineStr">
        <is>
          <t>Carried from CHISON_Market_Development_Target_List_v2 (merged into v6, 6 Aug 2026) — TPVMA directory</t>
        </is>
      </c>
      <c r="U23" s="56" t="inlineStr">
        <is>
          <t>安安動物醫院 (An An Animal Hospital): a first scanner, demonstrated at your clinic</t>
        </is>
      </c>
      <c r="V23" s="50" t="inlineStr">
        <is>
          <t>Dear 安安動物醫院 (An An Animal Hospital) team,
My name is Casper Tan, Senior Regional Sales Manager at AstraMed Healthcare, a subsidiary of CHISON Medical Technologies. I look after CHISON veterinary ultrasound in your market.
A first scanner changes what you can decide in the room, and Xinyi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4" ht="165" customHeight="1" s="114">
      <c r="A24" s="113" t="n">
        <v>20</v>
      </c>
      <c r="B24" s="41" t="inlineStr">
        <is>
          <t>湖光動物醫院 (Huguang Animal Hospital)</t>
        </is>
      </c>
      <c r="C24" s="113" t="inlineStr">
        <is>
          <t>Independent clinic — TPVMA-registered</t>
        </is>
      </c>
      <c r="D24" s="42" t="inlineStr">
        <is>
          <t>Not started</t>
        </is>
      </c>
      <c r="E24" s="43" t="n"/>
      <c r="F24" s="44" t="n"/>
      <c r="G24" s="45" t="n"/>
      <c r="H24"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4" s="113" t="inlineStr">
        <is>
          <t>1</t>
        </is>
      </c>
      <c r="J24" s="113" t="inlineStr">
        <is>
          <t>Beitou, Taipei</t>
        </is>
      </c>
      <c r="K24" s="113" t="inlineStr">
        <is>
          <t>02-2896-6079</t>
        </is>
      </c>
      <c r="L24" s="113" t="inlineStr">
        <is>
          <t>NOT CONFIRMED — TPVMA directory listing</t>
        </is>
      </c>
      <c r="M24" s="113" t="inlineStr">
        <is>
          <t>NOT CONFIRMED</t>
        </is>
      </c>
      <c r="N24" s="113" t="inlineStr">
        <is>
          <t>C — DIRECTORY (Taipei Veterinary Medical Association roster). Phone as published in the directory; no website or email confirmed, entity not opened by us.</t>
        </is>
      </c>
      <c r="O24" s="113" t="inlineStr">
        <is>
          <t>Taipei long tail from the TPVMA roster. One clinic, one decision-maker, first-scanner conversation. Work these in district batches rather than one at a time.</t>
        </is>
      </c>
      <c r="P24" s="113" t="inlineStr">
        <is>
          <t>SonoEye P3 VET (first scanner)</t>
        </is>
      </c>
      <c r="Q24" s="57" t="inlineStr">
        <is>
          <t>P3</t>
        </is>
      </c>
      <c r="R24" s="54" t="inlineStr">
        <is>
          <t>LOW-MEDIUM — long tail, and no invoice until the customs route for Chinese-origin goods is resolved. Build the relationship cheaply; do not spend travel budget yet.</t>
        </is>
      </c>
      <c r="S24" s="113" t="inlineStr">
        <is>
          <t>H-GP</t>
        </is>
      </c>
      <c r="T24" s="113" t="inlineStr">
        <is>
          <t>Carried from CHISON_Market_Development_Target_List_v2 (merged into v6, 6 Aug 2026) — TPVMA directory</t>
        </is>
      </c>
      <c r="U24" s="56" t="inlineStr">
        <is>
          <t>湖光動物醫院 (Huguang Animal Hospital): a first scanner, demonstrated at your clinic</t>
        </is>
      </c>
      <c r="V24" s="50" t="inlineStr">
        <is>
          <t>Dear 湖光動物醫院 (Huguang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5" ht="165" customHeight="1" s="114">
      <c r="A25" s="113" t="n">
        <v>21</v>
      </c>
      <c r="B25" s="41" t="inlineStr">
        <is>
          <t>港墘動物醫院 (Gangqian Animal Hospital)</t>
        </is>
      </c>
      <c r="C25" s="113" t="inlineStr">
        <is>
          <t>Independent clinic — TPVMA-registered</t>
        </is>
      </c>
      <c r="D25" s="42" t="inlineStr">
        <is>
          <t>Not started</t>
        </is>
      </c>
      <c r="E25" s="43" t="n"/>
      <c r="F25" s="44" t="n"/>
      <c r="G25" s="45" t="n"/>
      <c r="H25"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5" s="113" t="inlineStr">
        <is>
          <t>1</t>
        </is>
      </c>
      <c r="J25" s="113" t="inlineStr">
        <is>
          <t>Neihu, Taipei</t>
        </is>
      </c>
      <c r="K25" s="113" t="inlineStr">
        <is>
          <t>02-2657-5990</t>
        </is>
      </c>
      <c r="L25" s="113" t="inlineStr">
        <is>
          <t>NOT CONFIRMED — TPVMA directory listing</t>
        </is>
      </c>
      <c r="M25" s="113" t="inlineStr">
        <is>
          <t>NOT CONFIRMED</t>
        </is>
      </c>
      <c r="N25" s="113" t="inlineStr">
        <is>
          <t>C — DIRECTORY (Taipei Veterinary Medical Association roster). Phone as published in the directory; no website or email confirmed, entity not opened by us.</t>
        </is>
      </c>
      <c r="O25" s="113" t="inlineStr">
        <is>
          <t>Taipei long tail from the TPVMA roster. One clinic, one decision-maker, first-scanner conversation. Work these in district batches rather than one at a time.</t>
        </is>
      </c>
      <c r="P25" s="113" t="inlineStr">
        <is>
          <t>SonoEye P3 VET (first scanner)</t>
        </is>
      </c>
      <c r="Q25" s="57" t="inlineStr">
        <is>
          <t>P3</t>
        </is>
      </c>
      <c r="R25" s="54" t="inlineStr">
        <is>
          <t>LOW-MEDIUM — long tail, and no invoice until the customs route for Chinese-origin goods is resolved. Build the relationship cheaply; do not spend travel budget yet.</t>
        </is>
      </c>
      <c r="S25" s="113" t="inlineStr">
        <is>
          <t>H-GP</t>
        </is>
      </c>
      <c r="T25" s="113" t="inlineStr">
        <is>
          <t>Carried from CHISON_Market_Development_Target_List_v2 (merged into v6, 6 Aug 2026) — TPVMA directory</t>
        </is>
      </c>
      <c r="U25" s="56" t="inlineStr">
        <is>
          <t>港墘動物醫院 (Gangqian Animal Hospital): a first scanner, demonstrated at your clinic</t>
        </is>
      </c>
      <c r="V25" s="50" t="inlineStr">
        <is>
          <t>Dear 港墘動物醫院 (Gangqian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6" ht="165" customHeight="1" s="114">
      <c r="A26" s="113" t="n">
        <v>22</v>
      </c>
      <c r="B26" s="41" t="inlineStr">
        <is>
          <t>大同動物醫院 (Datong Animal Hospital)</t>
        </is>
      </c>
      <c r="C26" s="113" t="inlineStr">
        <is>
          <t>Independent clinic — TPVMA-registered</t>
        </is>
      </c>
      <c r="D26" s="42" t="inlineStr">
        <is>
          <t>Not started</t>
        </is>
      </c>
      <c r="E26" s="43" t="n"/>
      <c r="F26" s="44" t="n"/>
      <c r="G26" s="45" t="n"/>
      <c r="H26"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6" s="113" t="inlineStr">
        <is>
          <t>1</t>
        </is>
      </c>
      <c r="J26" s="113" t="inlineStr">
        <is>
          <t>Beitou, Taipei</t>
        </is>
      </c>
      <c r="K26" s="113" t="inlineStr">
        <is>
          <t>02-2895-9607</t>
        </is>
      </c>
      <c r="L26" s="113" t="inlineStr">
        <is>
          <t>NOT CONFIRMED — TPVMA directory listing</t>
        </is>
      </c>
      <c r="M26" s="113" t="inlineStr">
        <is>
          <t>NOT CONFIRMED</t>
        </is>
      </c>
      <c r="N26" s="113" t="inlineStr">
        <is>
          <t>C — DIRECTORY (Taipei Veterinary Medical Association roster). Phone as published in the directory; no website or email confirmed, entity not opened by us.</t>
        </is>
      </c>
      <c r="O26" s="113" t="inlineStr">
        <is>
          <t>Taipei long tail from the TPVMA roster. One clinic, one decision-maker, first-scanner conversation. Work these in district batches rather than one at a time.</t>
        </is>
      </c>
      <c r="P26" s="113" t="inlineStr">
        <is>
          <t>SonoEye P3 VET (first scanner)</t>
        </is>
      </c>
      <c r="Q26" s="57" t="inlineStr">
        <is>
          <t>P3</t>
        </is>
      </c>
      <c r="R26" s="54" t="inlineStr">
        <is>
          <t>LOW-MEDIUM — long tail, and no invoice until the customs route for Chinese-origin goods is resolved. Build the relationship cheaply; do not spend travel budget yet.</t>
        </is>
      </c>
      <c r="S26" s="113" t="inlineStr">
        <is>
          <t>H-GP</t>
        </is>
      </c>
      <c r="T26" s="113" t="inlineStr">
        <is>
          <t>Carried from CHISON_Market_Development_Target_List_v2 (merged into v6, 6 Aug 2026) — TPVMA directory</t>
        </is>
      </c>
      <c r="U26" s="56" t="inlineStr">
        <is>
          <t>大同動物醫院 (Datong Animal Hospital): a first scanner, demonstrated at your clinic</t>
        </is>
      </c>
      <c r="V26" s="50" t="inlineStr">
        <is>
          <t>Dear 大同動物醫院 (Datong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7" ht="165" customHeight="1" s="114">
      <c r="A27" s="113" t="n">
        <v>23</v>
      </c>
      <c r="B27" s="41" t="inlineStr">
        <is>
          <t>士林獸醫院 (Shilin Veterinary Hospital)</t>
        </is>
      </c>
      <c r="C27" s="113" t="inlineStr">
        <is>
          <t>Independent clinic — TPVMA-registered</t>
        </is>
      </c>
      <c r="D27" s="42" t="inlineStr">
        <is>
          <t>Not started</t>
        </is>
      </c>
      <c r="E27" s="43" t="n"/>
      <c r="F27" s="44" t="n"/>
      <c r="G27" s="45" t="n"/>
      <c r="H27"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7" s="113" t="inlineStr">
        <is>
          <t>1</t>
        </is>
      </c>
      <c r="J27" s="113" t="inlineStr">
        <is>
          <t>Shilin, Taipei</t>
        </is>
      </c>
      <c r="K27" s="113" t="inlineStr">
        <is>
          <t>02-2882-2193</t>
        </is>
      </c>
      <c r="L27" s="113" t="inlineStr">
        <is>
          <t>NOT CONFIRMED — TPVMA directory listing</t>
        </is>
      </c>
      <c r="M27" s="113" t="inlineStr">
        <is>
          <t>NOT CONFIRMED</t>
        </is>
      </c>
      <c r="N27" s="113" t="inlineStr">
        <is>
          <t>C — DIRECTORY (Taipei Veterinary Medical Association roster). Phone as published in the directory; no website or email confirmed, entity not opened by us.</t>
        </is>
      </c>
      <c r="O27" s="113" t="inlineStr">
        <is>
          <t>Taipei long tail from the TPVMA roster. One clinic, one decision-maker, first-scanner conversation. Work these in district batches rather than one at a time.</t>
        </is>
      </c>
      <c r="P27" s="113" t="inlineStr">
        <is>
          <t>SonoEye P3 VET (first scanner)</t>
        </is>
      </c>
      <c r="Q27" s="57" t="inlineStr">
        <is>
          <t>P3</t>
        </is>
      </c>
      <c r="R27" s="54" t="inlineStr">
        <is>
          <t>LOW-MEDIUM — long tail, and no invoice until the customs route for Chinese-origin goods is resolved. Build the relationship cheaply; do not spend travel budget yet.</t>
        </is>
      </c>
      <c r="S27" s="113" t="inlineStr">
        <is>
          <t>H-GP</t>
        </is>
      </c>
      <c r="T27" s="113" t="inlineStr">
        <is>
          <t>Carried from CHISON_Market_Development_Target_List_v2 (merged into v6, 6 Aug 2026) — TPVMA directory</t>
        </is>
      </c>
      <c r="U27" s="56" t="inlineStr">
        <is>
          <t>士林獸醫院 (Shilin Veterinary Hospital): a first scanner, demonstrated at your clinic</t>
        </is>
      </c>
      <c r="V27" s="50" t="inlineStr">
        <is>
          <t>Dear 士林獸醫院 (Shilin Veterinary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8" ht="165" customHeight="1" s="114">
      <c r="A28" s="113" t="n">
        <v>24</v>
      </c>
      <c r="B28" s="41" t="inlineStr">
        <is>
          <t>旺旺動物醫院 (Wangwang Animal Hospital)</t>
        </is>
      </c>
      <c r="C28" s="113" t="inlineStr">
        <is>
          <t>Independent clinic — TPVMA-registered</t>
        </is>
      </c>
      <c r="D28" s="42" t="inlineStr">
        <is>
          <t>Not started</t>
        </is>
      </c>
      <c r="E28" s="43" t="n"/>
      <c r="F28" s="44" t="n"/>
      <c r="G28" s="45" t="n"/>
      <c r="H28"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8" s="113" t="inlineStr">
        <is>
          <t>1</t>
        </is>
      </c>
      <c r="J28" s="113" t="inlineStr">
        <is>
          <t>Beitou, Taipei</t>
        </is>
      </c>
      <c r="K28" s="113" t="inlineStr">
        <is>
          <t>02-2820-3693</t>
        </is>
      </c>
      <c r="L28" s="113" t="inlineStr">
        <is>
          <t>NOT CONFIRMED — TPVMA directory listing</t>
        </is>
      </c>
      <c r="M28" s="113" t="inlineStr">
        <is>
          <t>NOT CONFIRMED</t>
        </is>
      </c>
      <c r="N28" s="113" t="inlineStr">
        <is>
          <t>C — DIRECTORY (Taipei Veterinary Medical Association roster). Phone as published in the directory; no website or email confirmed, entity not opened by us.</t>
        </is>
      </c>
      <c r="O28" s="113" t="inlineStr">
        <is>
          <t>Taipei long tail from the TPVMA roster. One clinic, one decision-maker, first-scanner conversation. Work these in district batches rather than one at a time.</t>
        </is>
      </c>
      <c r="P28" s="113" t="inlineStr">
        <is>
          <t>SonoEye P3 VET (first scanner)</t>
        </is>
      </c>
      <c r="Q28" s="57" t="inlineStr">
        <is>
          <t>P3</t>
        </is>
      </c>
      <c r="R28" s="54" t="inlineStr">
        <is>
          <t>LOW-MEDIUM — long tail, and no invoice until the customs route for Chinese-origin goods is resolved. Build the relationship cheaply; do not spend travel budget yet.</t>
        </is>
      </c>
      <c r="S28" s="113" t="inlineStr">
        <is>
          <t>H-GP</t>
        </is>
      </c>
      <c r="T28" s="113" t="inlineStr">
        <is>
          <t>Carried from CHISON_Market_Development_Target_List_v2 (merged into v6, 6 Aug 2026) — TPVMA directory</t>
        </is>
      </c>
      <c r="U28" s="56" t="inlineStr">
        <is>
          <t>旺旺動物醫院 (Wangwang Animal Hospital): a first scanner, demonstrated at your clinic</t>
        </is>
      </c>
      <c r="V28" s="50" t="inlineStr">
        <is>
          <t>Dear 旺旺動物醫院 (Wangwang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9" ht="165" customHeight="1" s="114">
      <c r="A29" s="113" t="n">
        <v>25</v>
      </c>
      <c r="B29" s="41" t="inlineStr">
        <is>
          <t>陽明動物醫院 (Yangming Animal Hospital)</t>
        </is>
      </c>
      <c r="C29" s="113" t="inlineStr">
        <is>
          <t>Independent clinic — TPVMA-registered</t>
        </is>
      </c>
      <c r="D29" s="42" t="inlineStr">
        <is>
          <t>Not started</t>
        </is>
      </c>
      <c r="E29" s="43" t="n"/>
      <c r="F29" s="44" t="n"/>
      <c r="G29" s="45" t="n"/>
      <c r="H29"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9" s="113" t="inlineStr">
        <is>
          <t>1</t>
        </is>
      </c>
      <c r="J29" s="113" t="inlineStr">
        <is>
          <t>Shilin, Taipei</t>
        </is>
      </c>
      <c r="K29" s="113" t="inlineStr">
        <is>
          <t>02-2872-6911</t>
        </is>
      </c>
      <c r="L29" s="113" t="inlineStr">
        <is>
          <t>NOT CONFIRMED — TPVMA directory listing</t>
        </is>
      </c>
      <c r="M29" s="113" t="inlineStr">
        <is>
          <t>NOT CONFIRMED</t>
        </is>
      </c>
      <c r="N29" s="113" t="inlineStr">
        <is>
          <t>C — DIRECTORY (Taipei Veterinary Medical Association roster). Phone as published in the directory; no website or email confirmed, entity not opened by us.</t>
        </is>
      </c>
      <c r="O29" s="113" t="inlineStr">
        <is>
          <t>Taipei long tail from the TPVMA roster. One clinic, one decision-maker, first-scanner conversation. Work these in district batches rather than one at a time.</t>
        </is>
      </c>
      <c r="P29" s="113" t="inlineStr">
        <is>
          <t>SonoEye P3 VET (first scanner)</t>
        </is>
      </c>
      <c r="Q29" s="57" t="inlineStr">
        <is>
          <t>P3</t>
        </is>
      </c>
      <c r="R29" s="54" t="inlineStr">
        <is>
          <t>LOW-MEDIUM — long tail, and no invoice until the customs route for Chinese-origin goods is resolved. Build the relationship cheaply; do not spend travel budget yet.</t>
        </is>
      </c>
      <c r="S29" s="113" t="inlineStr">
        <is>
          <t>H-GP</t>
        </is>
      </c>
      <c r="T29" s="113" t="inlineStr">
        <is>
          <t>Carried from CHISON_Market_Development_Target_List_v2 (merged into v6, 6 Aug 2026) — TPVMA directory</t>
        </is>
      </c>
      <c r="U29" s="56" t="inlineStr">
        <is>
          <t>陽明動物醫院 (Yangming Animal Hospital): a first scanner, demonstrated at your clinic</t>
        </is>
      </c>
      <c r="V29" s="50" t="inlineStr">
        <is>
          <t>Dear 陽明動物醫院 (Yangming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0" ht="165" customHeight="1" s="114">
      <c r="A30" s="113" t="n">
        <v>26</v>
      </c>
      <c r="B30" s="41" t="inlineStr">
        <is>
          <t>來旺動物醫院 (Laiwang Animal Hospital)</t>
        </is>
      </c>
      <c r="C30" s="113" t="inlineStr">
        <is>
          <t>Independent clinic — TPVMA-registered</t>
        </is>
      </c>
      <c r="D30" s="42" t="inlineStr">
        <is>
          <t>Not started</t>
        </is>
      </c>
      <c r="E30" s="43" t="n"/>
      <c r="F30" s="44" t="n"/>
      <c r="G30" s="45" t="n"/>
      <c r="H30" s="113" t="inlineStr">
        <is>
          <t>Independent clinic — TPVMA-registered. 1. Zhongzheng,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0" s="113" t="inlineStr">
        <is>
          <t>1</t>
        </is>
      </c>
      <c r="J30" s="113" t="inlineStr">
        <is>
          <t>Zhongzheng, Taipei</t>
        </is>
      </c>
      <c r="K30" s="113" t="inlineStr">
        <is>
          <t>02-2305-1120</t>
        </is>
      </c>
      <c r="L30" s="113" t="inlineStr">
        <is>
          <t>NOT CONFIRMED — TPVMA directory listing</t>
        </is>
      </c>
      <c r="M30" s="113" t="inlineStr">
        <is>
          <t>NOT CONFIRMED</t>
        </is>
      </c>
      <c r="N30" s="113" t="inlineStr">
        <is>
          <t>C — DIRECTORY (Taipei Veterinary Medical Association roster). Phone as published in the directory; no website or email confirmed, entity not opened by us.</t>
        </is>
      </c>
      <c r="O30" s="113" t="inlineStr">
        <is>
          <t>Taipei long tail from the TPVMA roster. One clinic, one decision-maker, first-scanner conversation. Work these in district batches rather than one at a time.</t>
        </is>
      </c>
      <c r="P30" s="113" t="inlineStr">
        <is>
          <t>SonoEye P3 VET (first scanner)</t>
        </is>
      </c>
      <c r="Q30" s="57" t="inlineStr">
        <is>
          <t>P3</t>
        </is>
      </c>
      <c r="R30" s="54" t="inlineStr">
        <is>
          <t>LOW-MEDIUM — long tail, and no invoice until the customs route for Chinese-origin goods is resolved. Build the relationship cheaply; do not spend travel budget yet.</t>
        </is>
      </c>
      <c r="S30" s="113" t="inlineStr">
        <is>
          <t>H-GP</t>
        </is>
      </c>
      <c r="T30" s="113" t="inlineStr">
        <is>
          <t>Carried from CHISON_Market_Development_Target_List_v2 (merged into v6, 6 Aug 2026) — TPVMA directory</t>
        </is>
      </c>
      <c r="U30" s="56" t="inlineStr">
        <is>
          <t>來旺動物醫院 (Laiwang Animal Hospital): a first scanner, demonstrated at your clinic</t>
        </is>
      </c>
      <c r="V30" s="50" t="inlineStr">
        <is>
          <t>Dear 來旺動物醫院 (Laiwang Animal Hospital) team,
My name is Casper Tan, Senior Regional Sales Manager at AstraMed Healthcare, a subsidiary of CHISON Medical Technologies. I look after CHISON veterinary ultrasound in your market.
A first scanner changes what you can decide in the room, and Zhongzheng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1" ht="165" customHeight="1" s="114">
      <c r="A31" s="113" t="n">
        <v>27</v>
      </c>
      <c r="B31" s="41" t="inlineStr">
        <is>
          <t>維拉動物醫院 (Weila Animal Hospital)</t>
        </is>
      </c>
      <c r="C31" s="113" t="inlineStr">
        <is>
          <t>Independent clinic — TPVMA-registered</t>
        </is>
      </c>
      <c r="D31" s="42" t="inlineStr">
        <is>
          <t>Not started</t>
        </is>
      </c>
      <c r="E31" s="43" t="n"/>
      <c r="F31" s="44" t="n"/>
      <c r="G31" s="45" t="n"/>
      <c r="H31" s="113" t="inlineStr">
        <is>
          <t>Independent clinic — TPVMA-registered. 1. Wenshan,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1" s="113" t="inlineStr">
        <is>
          <t>1</t>
        </is>
      </c>
      <c r="J31" s="113" t="inlineStr">
        <is>
          <t>Wenshan, Taipei</t>
        </is>
      </c>
      <c r="K31" s="113" t="inlineStr">
        <is>
          <t>02-2933-3872</t>
        </is>
      </c>
      <c r="L31" s="113" t="inlineStr">
        <is>
          <t>NOT CONFIRMED — TPVMA directory listing</t>
        </is>
      </c>
      <c r="M31" s="113" t="inlineStr">
        <is>
          <t>NOT CONFIRMED</t>
        </is>
      </c>
      <c r="N31" s="113" t="inlineStr">
        <is>
          <t>C — DIRECTORY (Taipei Veterinary Medical Association roster). Phone as published in the directory; no website or email confirmed, entity not opened by us.</t>
        </is>
      </c>
      <c r="O31" s="113" t="inlineStr">
        <is>
          <t>Taipei long tail from the TPVMA roster. One clinic, one decision-maker, first-scanner conversation. Work these in district batches rather than one at a time.</t>
        </is>
      </c>
      <c r="P31" s="113" t="inlineStr">
        <is>
          <t>SonoEye P3 VET (first scanner)</t>
        </is>
      </c>
      <c r="Q31" s="57" t="inlineStr">
        <is>
          <t>P3</t>
        </is>
      </c>
      <c r="R31" s="54" t="inlineStr">
        <is>
          <t>LOW-MEDIUM — long tail, and no invoice until the customs route for Chinese-origin goods is resolved. Build the relationship cheaply; do not spend travel budget yet.</t>
        </is>
      </c>
      <c r="S31" s="113" t="inlineStr">
        <is>
          <t>H-GP</t>
        </is>
      </c>
      <c r="T31" s="113" t="inlineStr">
        <is>
          <t>Carried from CHISON_Market_Development_Target_List_v2 (merged into v6, 6 Aug 2026) — TPVMA directory</t>
        </is>
      </c>
      <c r="U31" s="56" t="inlineStr">
        <is>
          <t>維拉動物醫院 (Weila Animal Hospital): a first scanner, demonstrated at your clinic</t>
        </is>
      </c>
      <c r="V31" s="50" t="inlineStr">
        <is>
          <t>Dear 維拉動物醫院 (Weila Animal Hospital) team,
My name is Casper Tan, Senior Regional Sales Manager at AstraMed Healthcare, a subsidiary of CHISON Medical Technologies. I look after CHISON veterinary ultrasound in your market.
A first scanner changes what you can decide in the room, and Wenshan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2" ht="165" customHeight="1" s="114">
      <c r="A32" s="113" t="n">
        <v>28</v>
      </c>
      <c r="B32" s="41" t="inlineStr">
        <is>
          <t>戴瑩乾動物醫院 (Dai Ying-Chien Animal Hospital)</t>
        </is>
      </c>
      <c r="C32" s="113" t="inlineStr">
        <is>
          <t>Independent clinic — TPVMA-registered</t>
        </is>
      </c>
      <c r="D32" s="42" t="inlineStr">
        <is>
          <t>Not started</t>
        </is>
      </c>
      <c r="E32" s="43" t="n"/>
      <c r="F32" s="44" t="n"/>
      <c r="G32" s="45" t="n"/>
      <c r="H32"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2" s="113" t="inlineStr">
        <is>
          <t>1</t>
        </is>
      </c>
      <c r="J32" s="113" t="inlineStr">
        <is>
          <t>Da'an, Taipei</t>
        </is>
      </c>
      <c r="K32" s="113" t="inlineStr">
        <is>
          <t>02-2731-0809</t>
        </is>
      </c>
      <c r="L32" s="113" t="inlineStr">
        <is>
          <t>NOT CONFIRMED — TPVMA directory listing</t>
        </is>
      </c>
      <c r="M32" s="113" t="inlineStr">
        <is>
          <t>NOT CONFIRMED</t>
        </is>
      </c>
      <c r="N32" s="113" t="inlineStr">
        <is>
          <t>C — DIRECTORY (Taipei Veterinary Medical Association roster). Phone as published in the directory; no website or email confirmed, entity not opened by us.</t>
        </is>
      </c>
      <c r="O32" s="113" t="inlineStr">
        <is>
          <t>Taipei long tail from the TPVMA roster. One clinic, one decision-maker, first-scanner conversation. Work these in district batches rather than one at a time.</t>
        </is>
      </c>
      <c r="P32" s="113" t="inlineStr">
        <is>
          <t>SonoEye P3 VET (first scanner)</t>
        </is>
      </c>
      <c r="Q32" s="57" t="inlineStr">
        <is>
          <t>P3</t>
        </is>
      </c>
      <c r="R32" s="54" t="inlineStr">
        <is>
          <t>LOW-MEDIUM — long tail, and no invoice until the customs route for Chinese-origin goods is resolved. Build the relationship cheaply; do not spend travel budget yet.</t>
        </is>
      </c>
      <c r="S32" s="113" t="inlineStr">
        <is>
          <t>H-GP</t>
        </is>
      </c>
      <c r="T32" s="113" t="inlineStr">
        <is>
          <t>Carried from CHISON_Market_Development_Target_List_v2 (merged into v6, 6 Aug 2026) — TPVMA directory</t>
        </is>
      </c>
      <c r="U32" s="56" t="inlineStr">
        <is>
          <t>戴瑩乾動物醫院 (Dai Ying-Chien Animal Hospital): a first scanner, demonstrated at your clinic</t>
        </is>
      </c>
      <c r="V32" s="50" t="inlineStr">
        <is>
          <t>Dear 戴瑩乾動物醫院 (Dai Ying-Chien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3" ht="165" customHeight="1" s="114">
      <c r="A33" s="113" t="n">
        <v>29</v>
      </c>
      <c r="B33" s="41" t="inlineStr">
        <is>
          <t>大晶動物醫院 (Dajing Animal Hospital)</t>
        </is>
      </c>
      <c r="C33" s="113" t="inlineStr">
        <is>
          <t>Independent clinic — TPVMA-registered</t>
        </is>
      </c>
      <c r="D33" s="42" t="inlineStr">
        <is>
          <t>Not started</t>
        </is>
      </c>
      <c r="E33" s="43" t="n"/>
      <c r="F33" s="44" t="n"/>
      <c r="G33" s="45" t="n"/>
      <c r="H33"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3" s="113" t="inlineStr">
        <is>
          <t>1</t>
        </is>
      </c>
      <c r="J33" s="113" t="inlineStr">
        <is>
          <t>Zhongshan, Taipei</t>
        </is>
      </c>
      <c r="K33" s="113" t="inlineStr">
        <is>
          <t>02-2597-0625</t>
        </is>
      </c>
      <c r="L33" s="113" t="inlineStr">
        <is>
          <t>NOT CONFIRMED — TPVMA directory listing</t>
        </is>
      </c>
      <c r="M33" s="113" t="inlineStr">
        <is>
          <t>NOT CONFIRMED</t>
        </is>
      </c>
      <c r="N33" s="113" t="inlineStr">
        <is>
          <t>C — DIRECTORY (Taipei Veterinary Medical Association roster). Phone as published in the directory; no website or email confirmed, entity not opened by us.</t>
        </is>
      </c>
      <c r="O33" s="113" t="inlineStr">
        <is>
          <t>Taipei long tail from the TPVMA roster. One clinic, one decision-maker, first-scanner conversation. Work these in district batches rather than one at a time.</t>
        </is>
      </c>
      <c r="P33" s="113" t="inlineStr">
        <is>
          <t>SonoEye P3 VET (first scanner)</t>
        </is>
      </c>
      <c r="Q33" s="57" t="inlineStr">
        <is>
          <t>P3</t>
        </is>
      </c>
      <c r="R33" s="54" t="inlineStr">
        <is>
          <t>LOW-MEDIUM — long tail, and no invoice until the customs route for Chinese-origin goods is resolved. Build the relationship cheaply; do not spend travel budget yet.</t>
        </is>
      </c>
      <c r="S33" s="113" t="inlineStr">
        <is>
          <t>H-GP</t>
        </is>
      </c>
      <c r="T33" s="113" t="inlineStr">
        <is>
          <t>Carried from CHISON_Market_Development_Target_List_v2 (merged into v6, 6 Aug 2026) — TPVMA directory</t>
        </is>
      </c>
      <c r="U33" s="56" t="inlineStr">
        <is>
          <t>大晶動物醫院 (Dajing Animal Hospital): a first scanner, demonstrated at your clinic</t>
        </is>
      </c>
      <c r="V33" s="50" t="inlineStr">
        <is>
          <t>Dear 大晶動物醫院 (Dajing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4" ht="165" customHeight="1" s="114">
      <c r="A34" s="113" t="n">
        <v>30</v>
      </c>
      <c r="B34" s="41" t="inlineStr">
        <is>
          <t>龍江獸醫院 (Longjiang Veterinary Hospital)</t>
        </is>
      </c>
      <c r="C34" s="113" t="inlineStr">
        <is>
          <t>Independent clinic — TPVMA-registered</t>
        </is>
      </c>
      <c r="D34" s="42" t="inlineStr">
        <is>
          <t>Not started</t>
        </is>
      </c>
      <c r="E34" s="43" t="n"/>
      <c r="F34" s="44" t="n"/>
      <c r="G34" s="45" t="n"/>
      <c r="H34"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4" s="113" t="inlineStr">
        <is>
          <t>1</t>
        </is>
      </c>
      <c r="J34" s="113" t="inlineStr">
        <is>
          <t>Zhongshan, Taipei</t>
        </is>
      </c>
      <c r="K34" s="113" t="inlineStr">
        <is>
          <t>02-2772-2223</t>
        </is>
      </c>
      <c r="L34" s="113" t="inlineStr">
        <is>
          <t>NOT CONFIRMED — TPVMA directory listing</t>
        </is>
      </c>
      <c r="M34" s="113" t="inlineStr">
        <is>
          <t>NOT CONFIRMED</t>
        </is>
      </c>
      <c r="N34" s="113" t="inlineStr">
        <is>
          <t>C — DIRECTORY (Taipei Veterinary Medical Association roster). Phone as published in the directory; no website or email confirmed, entity not opened by us.</t>
        </is>
      </c>
      <c r="O34" s="113" t="inlineStr">
        <is>
          <t>Taipei long tail from the TPVMA roster. One clinic, one decision-maker, first-scanner conversation. Work these in district batches rather than one at a time.</t>
        </is>
      </c>
      <c r="P34" s="113" t="inlineStr">
        <is>
          <t>SonoEye P3 VET (first scanner)</t>
        </is>
      </c>
      <c r="Q34" s="57" t="inlineStr">
        <is>
          <t>P3</t>
        </is>
      </c>
      <c r="R34" s="54" t="inlineStr">
        <is>
          <t>LOW-MEDIUM — long tail, and no invoice until the customs route for Chinese-origin goods is resolved. Build the relationship cheaply; do not spend travel budget yet.</t>
        </is>
      </c>
      <c r="S34" s="113" t="inlineStr">
        <is>
          <t>H-GP</t>
        </is>
      </c>
      <c r="T34" s="113" t="inlineStr">
        <is>
          <t>Carried from CHISON_Market_Development_Target_List_v2 (merged into v6, 6 Aug 2026) — TPVMA directory</t>
        </is>
      </c>
      <c r="U34" s="56" t="inlineStr">
        <is>
          <t>龍江獸醫院 (Longjiang Veterinary Hospital): a first scanner, demonstrated at your clinic</t>
        </is>
      </c>
      <c r="V34" s="50" t="inlineStr">
        <is>
          <t>Dear 龍江獸醫院 (Longjiang Veterinary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5" ht="165" customHeight="1" s="114">
      <c r="A35" s="113" t="n">
        <v>31</v>
      </c>
      <c r="B35" s="41" t="inlineStr">
        <is>
          <t>忠誠獸醫院 (Zhongcheng Veterinary Hospital)</t>
        </is>
      </c>
      <c r="C35" s="113" t="inlineStr">
        <is>
          <t>Independent clinic — TPVMA-registered</t>
        </is>
      </c>
      <c r="D35" s="42" t="inlineStr">
        <is>
          <t>Not started</t>
        </is>
      </c>
      <c r="E35" s="43" t="n"/>
      <c r="F35" s="44" t="n"/>
      <c r="G35" s="45" t="n"/>
      <c r="H35"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5" s="113" t="inlineStr">
        <is>
          <t>1</t>
        </is>
      </c>
      <c r="J35" s="113" t="inlineStr">
        <is>
          <t>Shilin, Taipei</t>
        </is>
      </c>
      <c r="K35" s="113" t="inlineStr">
        <is>
          <t>02-2835-1390</t>
        </is>
      </c>
      <c r="L35" s="113" t="inlineStr">
        <is>
          <t>NOT CONFIRMED — TPVMA directory listing</t>
        </is>
      </c>
      <c r="M35" s="113" t="inlineStr">
        <is>
          <t>NOT CONFIRMED</t>
        </is>
      </c>
      <c r="N35" s="113" t="inlineStr">
        <is>
          <t>C — DIRECTORY (Taipei Veterinary Medical Association roster). Phone as published in the directory; no website or email confirmed, entity not opened by us.</t>
        </is>
      </c>
      <c r="O35" s="113" t="inlineStr">
        <is>
          <t>Taipei long tail from the TPVMA roster. One clinic, one decision-maker, first-scanner conversation. Work these in district batches rather than one at a time.</t>
        </is>
      </c>
      <c r="P35" s="113" t="inlineStr">
        <is>
          <t>SonoEye P3 VET (first scanner)</t>
        </is>
      </c>
      <c r="Q35" s="57" t="inlineStr">
        <is>
          <t>P3</t>
        </is>
      </c>
      <c r="R35" s="54" t="inlineStr">
        <is>
          <t>LOW-MEDIUM — long tail, and no invoice until the customs route for Chinese-origin goods is resolved. Build the relationship cheaply; do not spend travel budget yet.</t>
        </is>
      </c>
      <c r="S35" s="113" t="inlineStr">
        <is>
          <t>H-GP</t>
        </is>
      </c>
      <c r="T35" s="113" t="inlineStr">
        <is>
          <t>Carried from CHISON_Market_Development_Target_List_v2 (merged into v6, 6 Aug 2026) — TPVMA directory</t>
        </is>
      </c>
      <c r="U35" s="56" t="inlineStr">
        <is>
          <t>忠誠獸醫院 (Zhongcheng Veterinary Hospital): a first scanner, demonstrated at your clinic</t>
        </is>
      </c>
      <c r="V35" s="50" t="inlineStr">
        <is>
          <t>Dear 忠誠獸醫院 (Zhongcheng Veterinary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6" ht="165" customHeight="1" s="114">
      <c r="A36" s="113" t="n">
        <v>32</v>
      </c>
      <c r="B36" s="41" t="inlineStr">
        <is>
          <t>保全獸醫院 (Baoquan Veterinary Hospital)</t>
        </is>
      </c>
      <c r="C36" s="113" t="inlineStr">
        <is>
          <t>Independent clinic — TPVMA-registered</t>
        </is>
      </c>
      <c r="D36" s="42" t="inlineStr">
        <is>
          <t>Not started</t>
        </is>
      </c>
      <c r="E36" s="43" t="n"/>
      <c r="F36" s="44" t="n"/>
      <c r="G36" s="45" t="n"/>
      <c r="H36"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6" s="113" t="inlineStr">
        <is>
          <t>1</t>
        </is>
      </c>
      <c r="J36" s="113" t="inlineStr">
        <is>
          <t>Wanhua, Taipei</t>
        </is>
      </c>
      <c r="K36" s="113" t="inlineStr">
        <is>
          <t>02-2302-4375</t>
        </is>
      </c>
      <c r="L36" s="113" t="inlineStr">
        <is>
          <t>NOT CONFIRMED — TPVMA directory listing</t>
        </is>
      </c>
      <c r="M36" s="113" t="inlineStr">
        <is>
          <t>NOT CONFIRMED</t>
        </is>
      </c>
      <c r="N36" s="113" t="inlineStr">
        <is>
          <t>C — DIRECTORY (Taipei Veterinary Medical Association roster). Phone as published in the directory; no website or email confirmed, entity not opened by us.</t>
        </is>
      </c>
      <c r="O36" s="113" t="inlineStr">
        <is>
          <t>Taipei long tail from the TPVMA roster. One clinic, one decision-maker, first-scanner conversation. Work these in district batches rather than one at a time.</t>
        </is>
      </c>
      <c r="P36" s="113" t="inlineStr">
        <is>
          <t>SonoEye P3 VET (first scanner)</t>
        </is>
      </c>
      <c r="Q36" s="57" t="inlineStr">
        <is>
          <t>P3</t>
        </is>
      </c>
      <c r="R36" s="54" t="inlineStr">
        <is>
          <t>LOW-MEDIUM — long tail, and no invoice until the customs route for Chinese-origin goods is resolved. Build the relationship cheaply; do not spend travel budget yet.</t>
        </is>
      </c>
      <c r="S36" s="113" t="inlineStr">
        <is>
          <t>H-GP</t>
        </is>
      </c>
      <c r="T36" s="113" t="inlineStr">
        <is>
          <t>Carried from CHISON_Market_Development_Target_List_v2 (merged into v6, 6 Aug 2026) — TPVMA directory</t>
        </is>
      </c>
      <c r="U36" s="56" t="inlineStr">
        <is>
          <t>保全獸醫院 (Baoquan Veterinary Hospital): a first scanner, demonstrated at your clinic</t>
        </is>
      </c>
      <c r="V36" s="50" t="inlineStr">
        <is>
          <t>Dear 保全獸醫院 (Baoquan Veterinary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7" ht="165" customHeight="1" s="114">
      <c r="A37" s="113" t="n">
        <v>33</v>
      </c>
      <c r="B37" s="41" t="inlineStr">
        <is>
          <t>楊動物醫院 (Yang Animal Hospital)</t>
        </is>
      </c>
      <c r="C37" s="113" t="inlineStr">
        <is>
          <t>Independent clinic — TPVMA-registered</t>
        </is>
      </c>
      <c r="D37" s="42" t="inlineStr">
        <is>
          <t>Not started</t>
        </is>
      </c>
      <c r="E37" s="43" t="n"/>
      <c r="F37" s="44" t="n"/>
      <c r="G37" s="45" t="n"/>
      <c r="H37"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7" s="113" t="inlineStr">
        <is>
          <t>1</t>
        </is>
      </c>
      <c r="J37" s="113" t="inlineStr">
        <is>
          <t>Shilin, Taipei</t>
        </is>
      </c>
      <c r="K37" s="113" t="inlineStr">
        <is>
          <t>02-2871-7261</t>
        </is>
      </c>
      <c r="L37" s="113" t="inlineStr">
        <is>
          <t>NOT CONFIRMED — TPVMA directory listing</t>
        </is>
      </c>
      <c r="M37" s="113" t="inlineStr">
        <is>
          <t>NOT CONFIRMED</t>
        </is>
      </c>
      <c r="N37" s="113" t="inlineStr">
        <is>
          <t>C — DIRECTORY (Taipei Veterinary Medical Association roster). Phone as published in the directory; no website or email confirmed, entity not opened by us.</t>
        </is>
      </c>
      <c r="O37" s="113" t="inlineStr">
        <is>
          <t>Taipei long tail from the TPVMA roster. One clinic, one decision-maker, first-scanner conversation. Work these in district batches rather than one at a time.</t>
        </is>
      </c>
      <c r="P37" s="113" t="inlineStr">
        <is>
          <t>SonoEye P3 VET (first scanner)</t>
        </is>
      </c>
      <c r="Q37" s="57" t="inlineStr">
        <is>
          <t>P3</t>
        </is>
      </c>
      <c r="R37" s="54" t="inlineStr">
        <is>
          <t>LOW-MEDIUM — long tail, and no invoice until the customs route for Chinese-origin goods is resolved. Build the relationship cheaply; do not spend travel budget yet.</t>
        </is>
      </c>
      <c r="S37" s="113" t="inlineStr">
        <is>
          <t>H-GP</t>
        </is>
      </c>
      <c r="T37" s="113" t="inlineStr">
        <is>
          <t>Carried from CHISON_Market_Development_Target_List_v2 (merged into v6, 6 Aug 2026) — TPVMA directory</t>
        </is>
      </c>
      <c r="U37" s="56" t="inlineStr">
        <is>
          <t>楊動物醫院 (Yang Animal Hospital): a first scanner, demonstrated at your clinic</t>
        </is>
      </c>
      <c r="V37" s="50" t="inlineStr">
        <is>
          <t>Dear 楊動物醫院 (Yang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8" ht="165" customHeight="1" s="114">
      <c r="A38" s="113" t="n">
        <v>34</v>
      </c>
      <c r="B38" s="41" t="inlineStr">
        <is>
          <t>日健動物綜合醫院 (Rijian General Animal Hospital)</t>
        </is>
      </c>
      <c r="C38" s="113" t="inlineStr">
        <is>
          <t>Independent clinic — TPVMA-registered</t>
        </is>
      </c>
      <c r="D38" s="42" t="inlineStr">
        <is>
          <t>Not started</t>
        </is>
      </c>
      <c r="E38" s="43" t="n"/>
      <c r="F38" s="44" t="n"/>
      <c r="G38" s="45" t="n"/>
      <c r="H38" s="113" t="inlineStr">
        <is>
          <t>Independent clinic — TPVMA-registered. 1. Songshan,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8" s="113" t="inlineStr">
        <is>
          <t>1</t>
        </is>
      </c>
      <c r="J38" s="113" t="inlineStr">
        <is>
          <t>Songshan, Taipei</t>
        </is>
      </c>
      <c r="K38" s="113" t="inlineStr">
        <is>
          <t>02-2570-7508</t>
        </is>
      </c>
      <c r="L38" s="113" t="inlineStr">
        <is>
          <t>NOT CONFIRMED — TPVMA directory listing</t>
        </is>
      </c>
      <c r="M38" s="113" t="inlineStr">
        <is>
          <t>NOT CONFIRMED</t>
        </is>
      </c>
      <c r="N38" s="113" t="inlineStr">
        <is>
          <t>C — DIRECTORY (Taipei Veterinary Medical Association roster). Phone as published in the directory; no website or email confirmed, entity not opened by us.</t>
        </is>
      </c>
      <c r="O38" s="113" t="inlineStr">
        <is>
          <t>Taipei long tail from the TPVMA roster. One clinic, one decision-maker, first-scanner conversation. Work these in district batches rather than one at a time.</t>
        </is>
      </c>
      <c r="P38" s="113" t="inlineStr">
        <is>
          <t>SonoEye P3 VET (first scanner)</t>
        </is>
      </c>
      <c r="Q38" s="57" t="inlineStr">
        <is>
          <t>P3</t>
        </is>
      </c>
      <c r="R38" s="54" t="inlineStr">
        <is>
          <t>LOW-MEDIUM — long tail, and no invoice until the customs route for Chinese-origin goods is resolved. Build the relationship cheaply; do not spend travel budget yet.</t>
        </is>
      </c>
      <c r="S38" s="113" t="inlineStr">
        <is>
          <t>H-GP</t>
        </is>
      </c>
      <c r="T38" s="113" t="inlineStr">
        <is>
          <t>Carried from CHISON_Market_Development_Target_List_v2 (merged into v6, 6 Aug 2026) — TPVMA directory</t>
        </is>
      </c>
      <c r="U38" s="56" t="inlineStr">
        <is>
          <t>日健動物綜合醫院 (Rijian General Animal Hospital): a first scanner, demonstrated at your clinic</t>
        </is>
      </c>
      <c r="V38" s="50" t="inlineStr">
        <is>
          <t>Dear 日健動物綜合醫院 (Rijian General Animal Hospital) team,
My name is Casper Tan, Senior Regional Sales Manager at AstraMed Healthcare, a subsidiary of CHISON Medical Technologies. I look after CHISON veterinary ultrasound in your market.
A first scanner changes what you can decide in the room, and Songshan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9" ht="165" customHeight="1" s="114">
      <c r="A39" s="113" t="n">
        <v>35</v>
      </c>
      <c r="B39" s="41" t="inlineStr">
        <is>
          <t>內湖動物醫院 (Neihu Animal Hospital)</t>
        </is>
      </c>
      <c r="C39" s="113" t="inlineStr">
        <is>
          <t>Independent clinic — TPVMA-registered</t>
        </is>
      </c>
      <c r="D39" s="42" t="inlineStr">
        <is>
          <t>Not started</t>
        </is>
      </c>
      <c r="E39" s="43" t="n"/>
      <c r="F39" s="44" t="n"/>
      <c r="G39" s="45" t="n"/>
      <c r="H39"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9" s="113" t="inlineStr">
        <is>
          <t>1</t>
        </is>
      </c>
      <c r="J39" s="113" t="inlineStr">
        <is>
          <t>Neihu, Taipei</t>
        </is>
      </c>
      <c r="K39" s="113" t="inlineStr">
        <is>
          <t>02-2799-2011</t>
        </is>
      </c>
      <c r="L39" s="113" t="inlineStr">
        <is>
          <t>NOT CONFIRMED — TPVMA directory listing</t>
        </is>
      </c>
      <c r="M39" s="113" t="inlineStr">
        <is>
          <t>NOT CONFIRMED</t>
        </is>
      </c>
      <c r="N39" s="113" t="inlineStr">
        <is>
          <t>C — DIRECTORY (Taipei Veterinary Medical Association roster). Phone as published in the directory; no website or email confirmed, entity not opened by us.</t>
        </is>
      </c>
      <c r="O39" s="113" t="inlineStr">
        <is>
          <t>Taipei long tail from the TPVMA roster. One clinic, one decision-maker, first-scanner conversation. Work these in district batches rather than one at a time.</t>
        </is>
      </c>
      <c r="P39" s="113" t="inlineStr">
        <is>
          <t>SonoEye P3 VET (first scanner)</t>
        </is>
      </c>
      <c r="Q39" s="57" t="inlineStr">
        <is>
          <t>P3</t>
        </is>
      </c>
      <c r="R39" s="54" t="inlineStr">
        <is>
          <t>LOW-MEDIUM — long tail, and no invoice until the customs route for Chinese-origin goods is resolved. Build the relationship cheaply; do not spend travel budget yet.</t>
        </is>
      </c>
      <c r="S39" s="113" t="inlineStr">
        <is>
          <t>H-GP</t>
        </is>
      </c>
      <c r="T39" s="113" t="inlineStr">
        <is>
          <t>Carried from CHISON_Market_Development_Target_List_v2 (merged into v6, 6 Aug 2026) — TPVMA directory</t>
        </is>
      </c>
      <c r="U39" s="56" t="inlineStr">
        <is>
          <t>內湖動物醫院 (Neihu Animal Hospital): a first scanner, demonstrated at your clinic</t>
        </is>
      </c>
      <c r="V39" s="50" t="inlineStr">
        <is>
          <t>Dear 內湖動物醫院 (Neihu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0" ht="165" customHeight="1" s="114">
      <c r="A40" s="113" t="n">
        <v>36</v>
      </c>
      <c r="B40" s="41" t="inlineStr">
        <is>
          <t>東湖動物醫院 (Donghu Animal Hospital)</t>
        </is>
      </c>
      <c r="C40" s="113" t="inlineStr">
        <is>
          <t>Independent clinic — TPVMA-registered</t>
        </is>
      </c>
      <c r="D40" s="42" t="inlineStr">
        <is>
          <t>Not started</t>
        </is>
      </c>
      <c r="E40" s="43" t="n"/>
      <c r="F40" s="44" t="n"/>
      <c r="G40" s="45" t="n"/>
      <c r="H40"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0" s="113" t="inlineStr">
        <is>
          <t>1</t>
        </is>
      </c>
      <c r="J40" s="113" t="inlineStr">
        <is>
          <t>Neihu, Taipei</t>
        </is>
      </c>
      <c r="K40" s="113" t="inlineStr">
        <is>
          <t>02-2634-6622</t>
        </is>
      </c>
      <c r="L40" s="113" t="inlineStr">
        <is>
          <t>NOT CONFIRMED — TPVMA directory listing</t>
        </is>
      </c>
      <c r="M40" s="113" t="inlineStr">
        <is>
          <t>NOT CONFIRMED</t>
        </is>
      </c>
      <c r="N40" s="113" t="inlineStr">
        <is>
          <t>C — DIRECTORY (Taipei Veterinary Medical Association roster). Phone as published in the directory; no website or email confirmed, entity not opened by us.</t>
        </is>
      </c>
      <c r="O40" s="113" t="inlineStr">
        <is>
          <t>Taipei long tail from the TPVMA roster. One clinic, one decision-maker, first-scanner conversation. Work these in district batches rather than one at a time.</t>
        </is>
      </c>
      <c r="P40" s="113" t="inlineStr">
        <is>
          <t>SonoEye P3 VET (first scanner)</t>
        </is>
      </c>
      <c r="Q40" s="57" t="inlineStr">
        <is>
          <t>P3</t>
        </is>
      </c>
      <c r="R40" s="54" t="inlineStr">
        <is>
          <t>LOW-MEDIUM — long tail, and no invoice until the customs route for Chinese-origin goods is resolved. Build the relationship cheaply; do not spend travel budget yet.</t>
        </is>
      </c>
      <c r="S40" s="113" t="inlineStr">
        <is>
          <t>H-GP</t>
        </is>
      </c>
      <c r="T40" s="113" t="inlineStr">
        <is>
          <t>Carried from CHISON_Market_Development_Target_List_v2 (merged into v6, 6 Aug 2026) — TPVMA directory</t>
        </is>
      </c>
      <c r="U40" s="56" t="inlineStr">
        <is>
          <t>東湖動物醫院 (Donghu Animal Hospital): a first scanner, demonstrated at your clinic</t>
        </is>
      </c>
      <c r="V40" s="50" t="inlineStr">
        <is>
          <t>Dear 東湖動物醫院 (Donghu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1" ht="165" customHeight="1" s="114">
      <c r="A41" s="113" t="n">
        <v>37</v>
      </c>
      <c r="B41" s="41" t="inlineStr">
        <is>
          <t>仁慈動物醫院 (Renci Animal Hospital)</t>
        </is>
      </c>
      <c r="C41" s="113" t="inlineStr">
        <is>
          <t>Independent clinic — TPVMA-registered</t>
        </is>
      </c>
      <c r="D41" s="42" t="inlineStr">
        <is>
          <t>Not started</t>
        </is>
      </c>
      <c r="E41" s="43" t="n"/>
      <c r="F41" s="44" t="n"/>
      <c r="G41" s="45" t="n"/>
      <c r="H41"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1" s="113" t="inlineStr">
        <is>
          <t>1</t>
        </is>
      </c>
      <c r="J41" s="113" t="inlineStr">
        <is>
          <t>Zhongshan, Taipei</t>
        </is>
      </c>
      <c r="K41" s="113" t="inlineStr">
        <is>
          <t>02-2533-6983</t>
        </is>
      </c>
      <c r="L41" s="113" t="inlineStr">
        <is>
          <t>NOT CONFIRMED — TPVMA directory listing</t>
        </is>
      </c>
      <c r="M41" s="113" t="inlineStr">
        <is>
          <t>NOT CONFIRMED</t>
        </is>
      </c>
      <c r="N41" s="113" t="inlineStr">
        <is>
          <t>C — DIRECTORY (Taipei Veterinary Medical Association roster). Phone as published in the directory; no website or email confirmed, entity not opened by us.</t>
        </is>
      </c>
      <c r="O41" s="113" t="inlineStr">
        <is>
          <t>Taipei long tail from the TPVMA roster. One clinic, one decision-maker, first-scanner conversation. Work these in district batches rather than one at a time.</t>
        </is>
      </c>
      <c r="P41" s="113" t="inlineStr">
        <is>
          <t>SonoEye P3 VET (first scanner)</t>
        </is>
      </c>
      <c r="Q41" s="57" t="inlineStr">
        <is>
          <t>P3</t>
        </is>
      </c>
      <c r="R41" s="54" t="inlineStr">
        <is>
          <t>LOW-MEDIUM — long tail, and no invoice until the customs route for Chinese-origin goods is resolved. Build the relationship cheaply; do not spend travel budget yet.</t>
        </is>
      </c>
      <c r="S41" s="113" t="inlineStr">
        <is>
          <t>H-GP</t>
        </is>
      </c>
      <c r="T41" s="113" t="inlineStr">
        <is>
          <t>Carried from CHISON_Market_Development_Target_List_v2 (merged into v6, 6 Aug 2026) — TPVMA directory</t>
        </is>
      </c>
      <c r="U41" s="56" t="inlineStr">
        <is>
          <t>仁慈動物醫院 (Renci Animal Hospital): a first scanner, demonstrated at your clinic</t>
        </is>
      </c>
      <c r="V41" s="50" t="inlineStr">
        <is>
          <t>Dear 仁慈動物醫院 (Renci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2" ht="165" customHeight="1" s="114">
      <c r="A42" s="113" t="n">
        <v>38</v>
      </c>
      <c r="B42" s="41" t="inlineStr">
        <is>
          <t>富康動物醫院 (Fukang Animal Hospital)</t>
        </is>
      </c>
      <c r="C42" s="113" t="inlineStr">
        <is>
          <t>Independent clinic — TPVMA-registered</t>
        </is>
      </c>
      <c r="D42" s="42" t="inlineStr">
        <is>
          <t>Not started</t>
        </is>
      </c>
      <c r="E42" s="43" t="n"/>
      <c r="F42" s="44" t="n"/>
      <c r="G42" s="45" t="n"/>
      <c r="H42"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2" s="113" t="inlineStr">
        <is>
          <t>1</t>
        </is>
      </c>
      <c r="J42" s="113" t="inlineStr">
        <is>
          <t>Da'an, Taipei</t>
        </is>
      </c>
      <c r="K42" s="113" t="inlineStr">
        <is>
          <t>02-2702-0135</t>
        </is>
      </c>
      <c r="L42" s="113" t="inlineStr">
        <is>
          <t>NOT CONFIRMED — TPVMA directory listing</t>
        </is>
      </c>
      <c r="M42" s="113" t="inlineStr">
        <is>
          <t>NOT CONFIRMED</t>
        </is>
      </c>
      <c r="N42" s="113" t="inlineStr">
        <is>
          <t>C — DIRECTORY (Taipei Veterinary Medical Association roster). Phone as published in the directory; no website or email confirmed, entity not opened by us.</t>
        </is>
      </c>
      <c r="O42" s="113" t="inlineStr">
        <is>
          <t>Taipei long tail from the TPVMA roster. One clinic, one decision-maker, first-scanner conversation. Work these in district batches rather than one at a time.</t>
        </is>
      </c>
      <c r="P42" s="113" t="inlineStr">
        <is>
          <t>SonoEye P3 VET (first scanner)</t>
        </is>
      </c>
      <c r="Q42" s="57" t="inlineStr">
        <is>
          <t>P3</t>
        </is>
      </c>
      <c r="R42" s="54" t="inlineStr">
        <is>
          <t>LOW-MEDIUM — long tail, and no invoice until the customs route for Chinese-origin goods is resolved. Build the relationship cheaply; do not spend travel budget yet.</t>
        </is>
      </c>
      <c r="S42" s="113" t="inlineStr">
        <is>
          <t>H-GP</t>
        </is>
      </c>
      <c r="T42" s="113" t="inlineStr">
        <is>
          <t>Carried from CHISON_Market_Development_Target_List_v2 (merged into v6, 6 Aug 2026) — TPVMA directory</t>
        </is>
      </c>
      <c r="U42" s="56" t="inlineStr">
        <is>
          <t>富康動物醫院 (Fukang Animal Hospital): a first scanner, demonstrated at your clinic</t>
        </is>
      </c>
      <c r="V42" s="50" t="inlineStr">
        <is>
          <t>Dear 富康動物醫院 (Fukang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3" ht="165" customHeight="1" s="114">
      <c r="A43" s="113" t="n">
        <v>39</v>
      </c>
      <c r="B43" s="41" t="inlineStr">
        <is>
          <t>全安動物醫院 (Quan An Animal Hospital)</t>
        </is>
      </c>
      <c r="C43" s="113" t="inlineStr">
        <is>
          <t>Independent clinic — TPVMA-registered</t>
        </is>
      </c>
      <c r="D43" s="42" t="inlineStr">
        <is>
          <t>Not started</t>
        </is>
      </c>
      <c r="E43" s="43" t="n"/>
      <c r="F43" s="44" t="n"/>
      <c r="G43" s="45" t="n"/>
      <c r="H43"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3" s="113" t="inlineStr">
        <is>
          <t>1</t>
        </is>
      </c>
      <c r="J43" s="113" t="inlineStr">
        <is>
          <t>Neihu, Taipei</t>
        </is>
      </c>
      <c r="K43" s="113" t="inlineStr">
        <is>
          <t>02-2633-6995</t>
        </is>
      </c>
      <c r="L43" s="113" t="inlineStr">
        <is>
          <t>NOT CONFIRMED — TPVMA directory listing</t>
        </is>
      </c>
      <c r="M43" s="113" t="inlineStr">
        <is>
          <t>NOT CONFIRMED</t>
        </is>
      </c>
      <c r="N43" s="113" t="inlineStr">
        <is>
          <t>C — DIRECTORY (Taipei Veterinary Medical Association roster). Phone as published in the directory; no website or email confirmed, entity not opened by us.</t>
        </is>
      </c>
      <c r="O43" s="113" t="inlineStr">
        <is>
          <t>Taipei long tail from the TPVMA roster. One clinic, one decision-maker, first-scanner conversation. Work these in district batches rather than one at a time.</t>
        </is>
      </c>
      <c r="P43" s="113" t="inlineStr">
        <is>
          <t>SonoEye P3 VET (first scanner)</t>
        </is>
      </c>
      <c r="Q43" s="57" t="inlineStr">
        <is>
          <t>P3</t>
        </is>
      </c>
      <c r="R43" s="54" t="inlineStr">
        <is>
          <t>LOW-MEDIUM — long tail, and no invoice until the customs route for Chinese-origin goods is resolved. Build the relationship cheaply; do not spend travel budget yet.</t>
        </is>
      </c>
      <c r="S43" s="113" t="inlineStr">
        <is>
          <t>H-GP</t>
        </is>
      </c>
      <c r="T43" s="113" t="inlineStr">
        <is>
          <t>Carried from CHISON_Market_Development_Target_List_v2 (merged into v6, 6 Aug 2026) — TPVMA directory</t>
        </is>
      </c>
      <c r="U43" s="56" t="inlineStr">
        <is>
          <t>全安動物醫院 (Quan An Animal Hospital): a first scanner, demonstrated at your clinic</t>
        </is>
      </c>
      <c r="V43" s="50" t="inlineStr">
        <is>
          <t>Dear 全安動物醫院 (Quan An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4" ht="165" customHeight="1" s="114">
      <c r="A44" s="113" t="n">
        <v>40</v>
      </c>
      <c r="B44" s="41" t="inlineStr">
        <is>
          <t>正安動物醫院 (Zheng An Animal Hospital)</t>
        </is>
      </c>
      <c r="C44" s="113" t="inlineStr">
        <is>
          <t>Independent clinic — TPVMA-registered</t>
        </is>
      </c>
      <c r="D44" s="42" t="inlineStr">
        <is>
          <t>Not started</t>
        </is>
      </c>
      <c r="E44" s="43" t="n"/>
      <c r="F44" s="44" t="n"/>
      <c r="G44" s="45" t="n"/>
      <c r="H44"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4" s="113" t="inlineStr">
        <is>
          <t>1</t>
        </is>
      </c>
      <c r="J44" s="113" t="inlineStr">
        <is>
          <t>Datong, Taipei</t>
        </is>
      </c>
      <c r="K44" s="113" t="inlineStr">
        <is>
          <t>02-2557-1757</t>
        </is>
      </c>
      <c r="L44" s="113" t="inlineStr">
        <is>
          <t>NOT CONFIRMED — TPVMA directory listing</t>
        </is>
      </c>
      <c r="M44" s="113" t="inlineStr">
        <is>
          <t>NOT CONFIRMED</t>
        </is>
      </c>
      <c r="N44" s="113" t="inlineStr">
        <is>
          <t>C — DIRECTORY (Taipei Veterinary Medical Association roster). Phone as published in the directory; no website or email confirmed, entity not opened by us.</t>
        </is>
      </c>
      <c r="O44" s="113" t="inlineStr">
        <is>
          <t>Taipei long tail from the TPVMA roster. One clinic, one decision-maker, first-scanner conversation. Work these in district batches rather than one at a time.</t>
        </is>
      </c>
      <c r="P44" s="113" t="inlineStr">
        <is>
          <t>SonoEye P3 VET (first scanner)</t>
        </is>
      </c>
      <c r="Q44" s="57" t="inlineStr">
        <is>
          <t>P3</t>
        </is>
      </c>
      <c r="R44" s="54" t="inlineStr">
        <is>
          <t>LOW-MEDIUM — long tail, and no invoice until the customs route for Chinese-origin goods is resolved. Build the relationship cheaply; do not spend travel budget yet.</t>
        </is>
      </c>
      <c r="S44" s="113" t="inlineStr">
        <is>
          <t>H-GP</t>
        </is>
      </c>
      <c r="T44" s="113" t="inlineStr">
        <is>
          <t>Carried from CHISON_Market_Development_Target_List_v2 (merged into v6, 6 Aug 2026) — TPVMA directory</t>
        </is>
      </c>
      <c r="U44" s="56" t="inlineStr">
        <is>
          <t>正安動物醫院 (Zheng An Animal Hospital): a first scanner, demonstrated at your clinic</t>
        </is>
      </c>
      <c r="V44" s="50" t="inlineStr">
        <is>
          <t>Dear 正安動物醫院 (Zheng An Animal Hospital) team,
My name is Casper Tan, Senior Regional Sales Manager at AstraMed Healthcare, a subsidiary of CHISON Medical Technologies. I look after CHISON veterinary ultrasound in your market.
A first scanner changes what you can decide in the room, and Datong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5" ht="165" customHeight="1" s="114">
      <c r="A45" s="113" t="n">
        <v>41</v>
      </c>
      <c r="B45" s="41" t="inlineStr">
        <is>
          <t>美加璦動物醫院 (Meijiaai Animal Hospital)</t>
        </is>
      </c>
      <c r="C45" s="113" t="inlineStr">
        <is>
          <t>Independent clinic — TPVMA-registered</t>
        </is>
      </c>
      <c r="D45" s="42" t="inlineStr">
        <is>
          <t>Not started</t>
        </is>
      </c>
      <c r="E45" s="43" t="n"/>
      <c r="F45" s="44" t="n"/>
      <c r="G45" s="45" t="n"/>
      <c r="H45"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5" s="113" t="inlineStr">
        <is>
          <t>1</t>
        </is>
      </c>
      <c r="J45" s="113" t="inlineStr">
        <is>
          <t>Zhongshan, Taipei</t>
        </is>
      </c>
      <c r="K45" s="113" t="inlineStr">
        <is>
          <t>02-2505-4989</t>
        </is>
      </c>
      <c r="L45" s="113" t="inlineStr">
        <is>
          <t>NOT CONFIRMED — TPVMA directory listing</t>
        </is>
      </c>
      <c r="M45" s="113" t="inlineStr">
        <is>
          <t>NOT CONFIRMED</t>
        </is>
      </c>
      <c r="N45" s="113" t="inlineStr">
        <is>
          <t>C — DIRECTORY (Taipei Veterinary Medical Association roster). Phone as published in the directory; no website or email confirmed, entity not opened by us.</t>
        </is>
      </c>
      <c r="O45" s="113" t="inlineStr">
        <is>
          <t>Taipei long tail from the TPVMA roster. One clinic, one decision-maker, first-scanner conversation. Work these in district batches rather than one at a time.</t>
        </is>
      </c>
      <c r="P45" s="113" t="inlineStr">
        <is>
          <t>SonoEye P3 VET (first scanner)</t>
        </is>
      </c>
      <c r="Q45" s="57" t="inlineStr">
        <is>
          <t>P3</t>
        </is>
      </c>
      <c r="R45" s="54" t="inlineStr">
        <is>
          <t>LOW-MEDIUM — long tail, and no invoice until the customs route for Chinese-origin goods is resolved. Build the relationship cheaply; do not spend travel budget yet.</t>
        </is>
      </c>
      <c r="S45" s="113" t="inlineStr">
        <is>
          <t>H-GP</t>
        </is>
      </c>
      <c r="T45" s="113" t="inlineStr">
        <is>
          <t>Carried from CHISON_Market_Development_Target_List_v2 (merged into v6, 6 Aug 2026) — TPVMA directory</t>
        </is>
      </c>
      <c r="U45" s="56" t="inlineStr">
        <is>
          <t>美加璦動物醫院 (Meijiaai Animal Hospital): a first scanner, demonstrated at your clinic</t>
        </is>
      </c>
      <c r="V45" s="50" t="inlineStr">
        <is>
          <t>Dear 美加璦動物醫院 (Meijiaai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6" ht="165" customHeight="1" s="114">
      <c r="A46" s="113" t="n">
        <v>42</v>
      </c>
      <c r="B46" s="41" t="inlineStr">
        <is>
          <t>上群動物醫院 (Shangqun Animal Hospital)</t>
        </is>
      </c>
      <c r="C46" s="113" t="inlineStr">
        <is>
          <t>Independent clinic — TPVMA-registered</t>
        </is>
      </c>
      <c r="D46" s="42" t="inlineStr">
        <is>
          <t>Not started</t>
        </is>
      </c>
      <c r="E46" s="43" t="n"/>
      <c r="F46" s="44" t="n"/>
      <c r="G46" s="45" t="n"/>
      <c r="H46"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6" s="113" t="inlineStr">
        <is>
          <t>1</t>
        </is>
      </c>
      <c r="J46" s="113" t="inlineStr">
        <is>
          <t>Zhongshan, Taipei</t>
        </is>
      </c>
      <c r="K46" s="113" t="inlineStr">
        <is>
          <t>02-2775-3007</t>
        </is>
      </c>
      <c r="L46" s="113" t="inlineStr">
        <is>
          <t>NOT CONFIRMED — TPVMA directory listing</t>
        </is>
      </c>
      <c r="M46" s="113" t="inlineStr">
        <is>
          <t>NOT CONFIRMED</t>
        </is>
      </c>
      <c r="N46" s="113" t="inlineStr">
        <is>
          <t>C — DIRECTORY (Taipei Veterinary Medical Association roster). Phone as published in the directory; no website or email confirmed, entity not opened by us.</t>
        </is>
      </c>
      <c r="O46" s="113" t="inlineStr">
        <is>
          <t>Taipei long tail from the TPVMA roster. One clinic, one decision-maker, first-scanner conversation. Work these in district batches rather than one at a time.</t>
        </is>
      </c>
      <c r="P46" s="113" t="inlineStr">
        <is>
          <t>SonoEye P3 VET (first scanner)</t>
        </is>
      </c>
      <c r="Q46" s="57" t="inlineStr">
        <is>
          <t>P3</t>
        </is>
      </c>
      <c r="R46" s="54" t="inlineStr">
        <is>
          <t>LOW-MEDIUM — long tail, and no invoice until the customs route for Chinese-origin goods is resolved. Build the relationship cheaply; do not spend travel budget yet.</t>
        </is>
      </c>
      <c r="S46" s="113" t="inlineStr">
        <is>
          <t>H-GP</t>
        </is>
      </c>
      <c r="T46" s="113" t="inlineStr">
        <is>
          <t>Carried from CHISON_Market_Development_Target_List_v2 (merged into v6, 6 Aug 2026) — TPVMA directory</t>
        </is>
      </c>
      <c r="U46" s="56" t="inlineStr">
        <is>
          <t>上群動物醫院 (Shangqun Animal Hospital): a first scanner, demonstrated at your clinic</t>
        </is>
      </c>
      <c r="V46" s="50" t="inlineStr">
        <is>
          <t>Dear 上群動物醫院 (Shangqun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7" ht="165" customHeight="1" s="114">
      <c r="A47" s="113" t="n">
        <v>43</v>
      </c>
      <c r="B47" s="41" t="inlineStr">
        <is>
          <t>見安獸醫院 (Jian An Veterinary Hospital)</t>
        </is>
      </c>
      <c r="C47" s="113" t="inlineStr">
        <is>
          <t>Independent clinic — TPVMA-registered</t>
        </is>
      </c>
      <c r="D47" s="42" t="inlineStr">
        <is>
          <t>Not started</t>
        </is>
      </c>
      <c r="E47" s="43" t="n"/>
      <c r="F47" s="44" t="n"/>
      <c r="G47" s="45" t="n"/>
      <c r="H47"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7" s="113" t="inlineStr">
        <is>
          <t>1</t>
        </is>
      </c>
      <c r="J47" s="113" t="inlineStr">
        <is>
          <t>Da'an, Taipei</t>
        </is>
      </c>
      <c r="K47" s="113" t="inlineStr">
        <is>
          <t>02-2707-0989</t>
        </is>
      </c>
      <c r="L47" s="113" t="inlineStr">
        <is>
          <t>NOT CONFIRMED — TPVMA directory listing</t>
        </is>
      </c>
      <c r="M47" s="113" t="inlineStr">
        <is>
          <t>NOT CONFIRMED</t>
        </is>
      </c>
      <c r="N47" s="113" t="inlineStr">
        <is>
          <t>C — DIRECTORY (Taipei Veterinary Medical Association roster). Phone as published in the directory; no website or email confirmed, entity not opened by us.</t>
        </is>
      </c>
      <c r="O47" s="113" t="inlineStr">
        <is>
          <t>Taipei long tail from the TPVMA roster. One clinic, one decision-maker, first-scanner conversation. Work these in district batches rather than one at a time.</t>
        </is>
      </c>
      <c r="P47" s="113" t="inlineStr">
        <is>
          <t>SonoEye P3 VET (first scanner)</t>
        </is>
      </c>
      <c r="Q47" s="57" t="inlineStr">
        <is>
          <t>P3</t>
        </is>
      </c>
      <c r="R47" s="54" t="inlineStr">
        <is>
          <t>LOW-MEDIUM — long tail, and no invoice until the customs route for Chinese-origin goods is resolved. Build the relationship cheaply; do not spend travel budget yet.</t>
        </is>
      </c>
      <c r="S47" s="113" t="inlineStr">
        <is>
          <t>H-GP</t>
        </is>
      </c>
      <c r="T47" s="113" t="inlineStr">
        <is>
          <t>Carried from CHISON_Market_Development_Target_List_v2 (merged into v6, 6 Aug 2026) — TPVMA directory</t>
        </is>
      </c>
      <c r="U47" s="56" t="inlineStr">
        <is>
          <t>見安獸醫院 (Jian An Veterinary Hospital): a first scanner, demonstrated at your clinic</t>
        </is>
      </c>
      <c r="V47" s="50" t="inlineStr">
        <is>
          <t>Dear 見安獸醫院 (Jian An Veterinary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8" ht="165" customHeight="1" s="114">
      <c r="A48" s="113" t="n">
        <v>44</v>
      </c>
      <c r="B48" s="41" t="inlineStr">
        <is>
          <t>唯安動物醫院 (Wei An Animal Hospital)</t>
        </is>
      </c>
      <c r="C48" s="113" t="inlineStr">
        <is>
          <t>Independent clinic — TPVMA-registered</t>
        </is>
      </c>
      <c r="D48" s="42" t="inlineStr">
        <is>
          <t>Not started</t>
        </is>
      </c>
      <c r="E48" s="43" t="n"/>
      <c r="F48" s="44" t="n"/>
      <c r="G48" s="45" t="n"/>
      <c r="H48"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8" s="113" t="inlineStr">
        <is>
          <t>1</t>
        </is>
      </c>
      <c r="J48" s="113" t="inlineStr">
        <is>
          <t>Shilin, Taipei</t>
        </is>
      </c>
      <c r="K48" s="113" t="inlineStr">
        <is>
          <t>02-2885-1695</t>
        </is>
      </c>
      <c r="L48" s="113" t="inlineStr">
        <is>
          <t>NOT CONFIRMED — TPVMA directory listing</t>
        </is>
      </c>
      <c r="M48" s="113" t="inlineStr">
        <is>
          <t>NOT CONFIRMED</t>
        </is>
      </c>
      <c r="N48" s="113" t="inlineStr">
        <is>
          <t>C — DIRECTORY (Taipei Veterinary Medical Association roster). Phone as published in the directory; no website or email confirmed, entity not opened by us.</t>
        </is>
      </c>
      <c r="O48" s="113" t="inlineStr">
        <is>
          <t>Taipei long tail from the TPVMA roster. One clinic, one decision-maker, first-scanner conversation. Work these in district batches rather than one at a time.</t>
        </is>
      </c>
      <c r="P48" s="113" t="inlineStr">
        <is>
          <t>SonoEye P3 VET (first scanner)</t>
        </is>
      </c>
      <c r="Q48" s="57" t="inlineStr">
        <is>
          <t>P3</t>
        </is>
      </c>
      <c r="R48" s="54" t="inlineStr">
        <is>
          <t>LOW-MEDIUM — long tail, and no invoice until the customs route for Chinese-origin goods is resolved. Build the relationship cheaply; do not spend travel budget yet.</t>
        </is>
      </c>
      <c r="S48" s="113" t="inlineStr">
        <is>
          <t>H-GP</t>
        </is>
      </c>
      <c r="T48" s="113" t="inlineStr">
        <is>
          <t>Carried from CHISON_Market_Development_Target_List_v2 (merged into v6, 6 Aug 2026) — TPVMA directory</t>
        </is>
      </c>
      <c r="U48" s="56" t="inlineStr">
        <is>
          <t>唯安動物醫院 (Wei An Animal Hospital): a first scanner, demonstrated at your clinic</t>
        </is>
      </c>
      <c r="V48" s="50" t="inlineStr">
        <is>
          <t>Dear 唯安動物醫院 (Wei An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9" ht="165" customHeight="1" s="114">
      <c r="A49" s="113" t="n">
        <v>45</v>
      </c>
      <c r="B49" s="41" t="inlineStr">
        <is>
          <t>廣慈動物醫院 (Guangci Animal Hospital)</t>
        </is>
      </c>
      <c r="C49" s="113" t="inlineStr">
        <is>
          <t>Independent clinic — TPVMA-registered</t>
        </is>
      </c>
      <c r="D49" s="42" t="inlineStr">
        <is>
          <t>Not started</t>
        </is>
      </c>
      <c r="E49" s="43" t="n"/>
      <c r="F49" s="44" t="n"/>
      <c r="G49" s="45" t="n"/>
      <c r="H49"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9" s="113" t="inlineStr">
        <is>
          <t>1</t>
        </is>
      </c>
      <c r="J49" s="113" t="inlineStr">
        <is>
          <t>Zhongshan, Taipei</t>
        </is>
      </c>
      <c r="K49" s="113" t="inlineStr">
        <is>
          <t>02-2504-4236</t>
        </is>
      </c>
      <c r="L49" s="113" t="inlineStr">
        <is>
          <t>NOT CONFIRMED — TPVMA directory listing</t>
        </is>
      </c>
      <c r="M49" s="113" t="inlineStr">
        <is>
          <t>NOT CONFIRMED</t>
        </is>
      </c>
      <c r="N49" s="113" t="inlineStr">
        <is>
          <t>C — DIRECTORY (Taipei Veterinary Medical Association roster). Phone as published in the directory; no website or email confirmed, entity not opened by us.</t>
        </is>
      </c>
      <c r="O49" s="113" t="inlineStr">
        <is>
          <t>Taipei long tail from the TPVMA roster. One clinic, one decision-maker, first-scanner conversation. Work these in district batches rather than one at a time.</t>
        </is>
      </c>
      <c r="P49" s="113" t="inlineStr">
        <is>
          <t>SonoEye P3 VET (first scanner)</t>
        </is>
      </c>
      <c r="Q49" s="57" t="inlineStr">
        <is>
          <t>P3</t>
        </is>
      </c>
      <c r="R49" s="54" t="inlineStr">
        <is>
          <t>LOW-MEDIUM — long tail, and no invoice until the customs route for Chinese-origin goods is resolved. Build the relationship cheaply; do not spend travel budget yet.</t>
        </is>
      </c>
      <c r="S49" s="113" t="inlineStr">
        <is>
          <t>H-GP</t>
        </is>
      </c>
      <c r="T49" s="113" t="inlineStr">
        <is>
          <t>Carried from CHISON_Market_Development_Target_List_v2 (merged into v6, 6 Aug 2026) — TPVMA directory</t>
        </is>
      </c>
      <c r="U49" s="56" t="inlineStr">
        <is>
          <t>廣慈動物醫院 (Guangci Animal Hospital): a first scanner, demonstrated at your clinic</t>
        </is>
      </c>
      <c r="V49" s="50" t="inlineStr">
        <is>
          <t>Dear 廣慈動物醫院 (Guangci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0" ht="165" customHeight="1" s="114">
      <c r="A50" s="113" t="n">
        <v>46</v>
      </c>
      <c r="B50" s="41" t="inlineStr">
        <is>
          <t>五洲動物醫院 (Wuzhou Animal Hospital)</t>
        </is>
      </c>
      <c r="C50" s="113" t="inlineStr">
        <is>
          <t>Independent clinic — TPVMA-registered</t>
        </is>
      </c>
      <c r="D50" s="42" t="inlineStr">
        <is>
          <t>Not started</t>
        </is>
      </c>
      <c r="E50" s="43" t="n"/>
      <c r="F50" s="44" t="n"/>
      <c r="G50" s="45" t="n"/>
      <c r="H50"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50" s="113" t="inlineStr">
        <is>
          <t>1</t>
        </is>
      </c>
      <c r="J50" s="113" t="inlineStr">
        <is>
          <t>Da'an, Taipei</t>
        </is>
      </c>
      <c r="K50" s="113" t="inlineStr">
        <is>
          <t>02-2707-9477</t>
        </is>
      </c>
      <c r="L50" s="113" t="inlineStr">
        <is>
          <t>NOT CONFIRMED — TPVMA directory listing</t>
        </is>
      </c>
      <c r="M50" s="113" t="inlineStr">
        <is>
          <t>NOT CONFIRMED</t>
        </is>
      </c>
      <c r="N50" s="113" t="inlineStr">
        <is>
          <t>C — DIRECTORY (Taipei Veterinary Medical Association roster). Phone as published in the directory; no website or email confirmed, entity not opened by us.</t>
        </is>
      </c>
      <c r="O50" s="113" t="inlineStr">
        <is>
          <t>Taipei long tail from the TPVMA roster. One clinic, one decision-maker, first-scanner conversation. Work these in district batches rather than one at a time.</t>
        </is>
      </c>
      <c r="P50" s="113" t="inlineStr">
        <is>
          <t>SonoEye P3 VET (first scanner)</t>
        </is>
      </c>
      <c r="Q50" s="57" t="inlineStr">
        <is>
          <t>P3</t>
        </is>
      </c>
      <c r="R50" s="54" t="inlineStr">
        <is>
          <t>LOW-MEDIUM — long tail, and no invoice until the customs route for Chinese-origin goods is resolved. Build the relationship cheaply; do not spend travel budget yet.</t>
        </is>
      </c>
      <c r="S50" s="113" t="inlineStr">
        <is>
          <t>H-GP</t>
        </is>
      </c>
      <c r="T50" s="113" t="inlineStr">
        <is>
          <t>Carried from CHISON_Market_Development_Target_List_v2 (merged into v6, 6 Aug 2026) — TPVMA directory</t>
        </is>
      </c>
      <c r="U50" s="56" t="inlineStr">
        <is>
          <t>五洲動物醫院 (Wuzhou Animal Hospital): a first scanner, demonstrated at your clinic</t>
        </is>
      </c>
      <c r="V50" s="50" t="inlineStr">
        <is>
          <t>Dear 五洲動物醫院 (Wuzhou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1" ht="165" customHeight="1" s="114">
      <c r="A51" s="113" t="n">
        <v>47</v>
      </c>
      <c r="B51" s="41" t="inlineStr">
        <is>
          <t>陽光動物醫院 (Yangguang Animal Hospital)</t>
        </is>
      </c>
      <c r="C51" s="113" t="inlineStr">
        <is>
          <t>Independent clinic — TPVMA-registered</t>
        </is>
      </c>
      <c r="D51" s="42" t="inlineStr">
        <is>
          <t>Not started</t>
        </is>
      </c>
      <c r="E51" s="43" t="n"/>
      <c r="F51" s="44" t="n"/>
      <c r="G51" s="45" t="n"/>
      <c r="H51" s="113" t="inlineStr">
        <is>
          <t>Independent clinic — TPVMA-registered. 1. Xinyi,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51" s="113" t="inlineStr">
        <is>
          <t>1</t>
        </is>
      </c>
      <c r="J51" s="113" t="inlineStr">
        <is>
          <t>Xinyi, Taipei</t>
        </is>
      </c>
      <c r="K51" s="113" t="inlineStr">
        <is>
          <t>02-2727-9922</t>
        </is>
      </c>
      <c r="L51" s="113" t="inlineStr">
        <is>
          <t>NOT CONFIRMED — TPVMA directory listing</t>
        </is>
      </c>
      <c r="M51" s="113" t="inlineStr">
        <is>
          <t>NOT CONFIRMED</t>
        </is>
      </c>
      <c r="N51" s="113" t="inlineStr">
        <is>
          <t>C — DIRECTORY (Taipei Veterinary Medical Association roster). Phone as published in the directory; no website or email confirmed, entity not opened by us.</t>
        </is>
      </c>
      <c r="O51" s="113" t="inlineStr">
        <is>
          <t>Taipei long tail from the TPVMA roster. One clinic, one decision-maker, first-scanner conversation. Work these in district batches rather than one at a time.</t>
        </is>
      </c>
      <c r="P51" s="113" t="inlineStr">
        <is>
          <t>SonoEye P3 VET (first scanner)</t>
        </is>
      </c>
      <c r="Q51" s="57" t="inlineStr">
        <is>
          <t>P3</t>
        </is>
      </c>
      <c r="R51" s="54" t="inlineStr">
        <is>
          <t>LOW-MEDIUM — long tail, and no invoice until the customs route for Chinese-origin goods is resolved. Build the relationship cheaply; do not spend travel budget yet.</t>
        </is>
      </c>
      <c r="S51" s="113" t="inlineStr">
        <is>
          <t>H-GP</t>
        </is>
      </c>
      <c r="T51" s="113" t="inlineStr">
        <is>
          <t>Carried from CHISON_Market_Development_Target_List_v2 (merged into v6, 6 Aug 2026) — TPVMA directory</t>
        </is>
      </c>
      <c r="U51" s="56" t="inlineStr">
        <is>
          <t>陽光動物醫院 (Yangguang Animal Hospital): a first scanner, demonstrated at your clinic</t>
        </is>
      </c>
      <c r="V51" s="50" t="inlineStr">
        <is>
          <t>Dear 陽光動物醫院 (Yangguang Animal Hospital) team,
My name is Casper Tan, Senior Regional Sales Manager at AstraMed Healthcare, a subsidiary of CHISON Medical Technologies. I look after CHISON veterinary ultrasound in your market.
A first scanner changes what you can decide in the room, and Xinyi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2" ht="14.25" customHeight="1" s="114">
      <c r="E52" s="43" t="n"/>
      <c r="F52" s="44" t="n"/>
      <c r="G52" s="45" t="n"/>
    </row>
    <row r="53" ht="14.25" customHeight="1" s="114">
      <c r="A53" s="10">
        <f>COUNTIF(Q5:Q51,"P1*")</f>
        <v/>
      </c>
      <c r="B53" s="10" t="inlineStr">
        <is>
          <t>P1 — engage now</t>
        </is>
      </c>
      <c r="E53" s="43" t="n"/>
      <c r="F53" s="44" t="n"/>
      <c r="G53" s="45" t="n"/>
    </row>
    <row r="54" ht="14.25" customHeight="1" s="114">
      <c r="A54" s="10">
        <f>COUNTIF(Q5:Q51,"P2*")</f>
        <v/>
      </c>
      <c r="B54" s="9" t="inlineStr">
        <is>
          <t>P2</t>
        </is>
      </c>
      <c r="E54" s="43" t="n"/>
      <c r="F54" s="44" t="n"/>
      <c r="G54" s="45" t="n"/>
    </row>
    <row r="55" ht="14.25" customHeight="1" s="114">
      <c r="A55" s="10">
        <f>COUNTIF(Q5:Q51,"P3*")</f>
        <v/>
      </c>
      <c r="B55" s="9" t="inlineStr">
        <is>
          <t>P3</t>
        </is>
      </c>
      <c r="E55" s="43" t="n"/>
      <c r="F55" s="44" t="n"/>
      <c r="G55" s="45" t="n"/>
    </row>
    <row r="56" ht="14.25" customHeight="1" s="114">
      <c r="E56" s="43" t="n"/>
      <c r="F56" s="44" t="n"/>
      <c r="G56" s="45" t="n"/>
    </row>
    <row r="57" ht="14.25" customHeight="1" s="114">
      <c r="A57" s="10">
        <f>COUNTIF(R5:R51,"HIGH*")</f>
        <v/>
      </c>
      <c r="B57" s="9" t="inlineStr">
        <is>
          <t>Buying potential HIGH</t>
        </is>
      </c>
      <c r="E57" s="43" t="n"/>
      <c r="F57" s="44" t="n"/>
      <c r="G57" s="45" t="n"/>
    </row>
    <row r="58" ht="14.25" customHeight="1" s="114">
      <c r="A58" s="10">
        <f>COUNTIF(R5:R51,"MEDIUM*")</f>
        <v/>
      </c>
      <c r="B58" s="9" t="inlineStr">
        <is>
          <t>Buying potential MEDIUM</t>
        </is>
      </c>
      <c r="E58" s="43" t="n"/>
      <c r="F58" s="44" t="n"/>
      <c r="G58" s="45" t="n"/>
    </row>
    <row r="59" ht="14.25" customHeight="1" s="114">
      <c r="A59" s="10">
        <f>COUNTIF(R5:R51,"LOW*")</f>
        <v/>
      </c>
      <c r="B59" s="9" t="inlineStr">
        <is>
          <t>Buying potential LOW / long tail</t>
        </is>
      </c>
      <c r="E59" s="43" t="n"/>
      <c r="F59" s="44" t="n"/>
      <c r="G59" s="45" t="n"/>
    </row>
    <row r="60" ht="14.25" customHeight="1" s="114">
      <c r="E60" s="43" t="n"/>
      <c r="F60" s="44" t="n"/>
      <c r="G60" s="45" t="n"/>
    </row>
    <row r="61" ht="14.25" customHeight="1" s="114">
      <c r="A61" s="10">
        <f>COUNTA(B5:B51)</f>
        <v/>
      </c>
      <c r="B61" s="10" t="inlineStr">
        <is>
          <t>Total accounts on this tab — every one has a ready-to-send email</t>
        </is>
      </c>
      <c r="E61" s="43" t="n"/>
      <c r="F61" s="44" t="n"/>
      <c r="G61" s="45" t="n"/>
    </row>
  </sheetData>
  <autoFilter ref="A4:V51"/>
  <conditionalFormatting sqref="D5:D51">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51"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51"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Largest veterinary chain group in Taiwan. 16 branches per the internal list — COUNT NOT CONFIRMED. HQ Taichung; nationwide. RELEVANCE: multi-site groups make one equipment decision and repeat it, which turns a single scanner sale into a fleet order. They also have a procurement function, so the conversation belongs at head office rather than at a clinic. Lead product: SonoEye P3 VET per site + shared EBit 50 VET." r:id="rId1"/>
    <hyperlink xmlns:r="http://schemas.openxmlformats.org/officeDocument/2006/relationships" ref="H6" display="Multi-city chain, ISO-certified. Taipei · Taichung · Tainan; 50+ vets per the internal list. Multi-city.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 r:id="rId2"/>
    <hyperlink xmlns:r="http://schemas.openxmlformats.org/officeDocument/2006/relationships" ref="H7" display="University teaching hospital and oncology centre. 1. Taipe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VET education fleet (cart tier NOT addressable — decision D-2)." r:id="rId3"/>
    <hyperlink xmlns:r="http://schemas.openxmlformats.org/officeDocument/2006/relationships" ref="H8" display="University teaching hospital. 1. Taich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 EBit 50 VET (large animal)." r:id="rId4"/>
    <hyperlink xmlns:r="http://schemas.openxmlformats.org/officeDocument/2006/relationships" ref="H11" display="Chain with 24-hour emergency. Multiple — count NOT confirmed. Datong, Taipei. RELEVANCE: multi-site groups make one equipment decision and repeat it, which turns a single scanner sale into a fleet order. They also have a procurement function, so the conversation belongs at head office rather than at a clinic. Lead product: SonoEye P3 VET per site." r:id="rId5"/>
    <hyperlink xmlns:r="http://schemas.openxmlformats.org/officeDocument/2006/relationships" ref="H14" display="Clinic with cardiac and abdominal ultrasound. 1. Yonghe, New Taipe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Air 70 VET (cardiac) + SonoEye P5 VET." r:id="rId6"/>
  </hyperlink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25"/>
  <sheetViews>
    <sheetView zoomScaleNormal="100" workbookViewId="0">
      <pane xSplit="3" ySplit="4" topLeftCell="D5" activePane="bottomRight" state="frozen"/>
      <selection pane="topRight" activeCell="D1" sqref="D1"/>
      <selection pane="bottomLeft" activeCell="A5" sqref="A5"/>
      <selection pane="bottomRight" activeCell="A1" sqref="A1"/>
    </sheetView>
  </sheetViews>
  <sheetFormatPr baseColWidth="8" defaultColWidth="8.6640625" defaultRowHeight="14.4"/>
  <cols>
    <col width="4" customWidth="1" style="114" min="1" max="1"/>
    <col width="46" customWidth="1" style="114" min="2" max="2"/>
    <col width="14" customWidth="1" style="114" min="3" max="3"/>
    <col width="40" customWidth="1" style="114" min="4" max="4"/>
    <col width="110" customWidth="1" style="114" min="5" max="5"/>
    <col width="34" customWidth="1" style="114" min="6" max="6"/>
    <col width="30" customWidth="1" style="114" min="7" max="7"/>
    <col width="26" customWidth="1" style="114" min="8" max="8"/>
  </cols>
  <sheetData>
    <row r="1" ht="18" customHeight="1" s="114">
      <c r="A1" s="16" t="inlineStr">
        <is>
          <t>REFERENCE — COMPETITORS AND NON-BUYERS. DO NOT SEND OUTREACH.</t>
        </is>
      </c>
    </row>
    <row r="2" ht="30" customHeight="1" s="114">
      <c r="A2" s="17" t="inlineStr">
        <is>
          <t>Everything on this tab was removed from an outreach tab because it cannot buy CHISON: competitors, brand subsidiaries, competitor distribution channels, one organisation whose operations have wound down, and one research task that is not a company. They are kept because knowing who they are is worth money — they set the competing price, they name the objection you will hear, and in two cases their sub-dealers are the best recruits available. No email is written for any row here, by design.</t>
        </is>
      </c>
    </row>
    <row r="3"/>
    <row r="4" ht="42" customHeight="1" s="114">
      <c r="A4" s="18" t="inlineStr">
        <is>
          <t>#</t>
        </is>
      </c>
      <c r="B4" s="18" t="inlineStr">
        <is>
          <t>Organisation</t>
        </is>
      </c>
      <c r="C4" s="18" t="inlineStr">
        <is>
          <t>Market</t>
        </is>
      </c>
      <c r="D4" s="18" t="inlineStr">
        <is>
          <t>What it is</t>
        </is>
      </c>
      <c r="E4" s="18" t="inlineStr">
        <is>
          <t>Background — and why it matters to you</t>
        </is>
      </c>
      <c r="F4" s="18" t="inlineStr">
        <is>
          <t>Website</t>
        </is>
      </c>
      <c r="G4" s="18" t="inlineStr">
        <is>
          <t>Where it came from</t>
        </is>
      </c>
      <c r="H4" s="18" t="inlineStr">
        <is>
          <t>Status</t>
        </is>
      </c>
    </row>
    <row r="5" ht="120" customHeight="1" s="114">
      <c r="A5" s="113" t="n">
        <v>1</v>
      </c>
      <c r="B5" s="41" t="inlineStr">
        <is>
          <t>湘栄ジャパン株式会社 (Shoei Japan Co., Ltd.)</t>
        </is>
      </c>
      <c r="C5" s="113" t="inlineStr">
        <is>
          <t>Japan</t>
        </is>
      </c>
      <c r="D5" s="113" t="inlineStr">
        <is>
          <t>Competitor channel — carries SonoScape</t>
        </is>
      </c>
      <c r="E5" s="113" t="inlineStr">
        <is>
          <t>Japanese distributor for SonoScape ultrasound, serving animal hospitals, universities, livestock operations and research institutions. WHY IT MATTERS: SonoScape is the closest direct competitor to CHISON in Japan. Not a recruitment target while that holds, but they are the best available source on what SonoScape's Japanese landed price and service model look like — which is the number CHISON has to beat.</t>
        </is>
      </c>
      <c r="F5" s="113" t="inlineStr">
        <is>
          <t>shoeijapan.co.jp</t>
        </is>
      </c>
      <c r="G5" s="113" t="inlineStr">
        <is>
          <t>Removed from Japan Dealers in v7</t>
        </is>
      </c>
      <c r="H5" s="59" t="inlineStr">
        <is>
          <t>DO NOT CONTACT</t>
        </is>
      </c>
    </row>
    <row r="6" ht="120" customHeight="1" s="114">
      <c r="A6" s="113" t="n">
        <v>2</v>
      </c>
      <c r="B6" s="41" t="inlineStr">
        <is>
          <t>富士フイルムVETシステムズ株式会社 (FUJIFILM VET Systems Co., Ltd.)</t>
        </is>
      </c>
      <c r="C6" s="113" t="inlineStr">
        <is>
          <t>Japan</t>
        </is>
      </c>
      <c r="D6" s="113" t="inlineStr">
        <is>
          <t>Competitor — brand subsidiary</t>
        </is>
      </c>
      <c r="E6" s="113" t="inlineStr">
        <is>
          <t>Fujifilm group's Japanese veterinary total-sales company: veterinary X-ray, veterinary ultrasound (ARIETTA 65V, iViz air V), laboratory analysers and reference-lab services, across 13 sales bases and 10 laboratories. WHY IT MATTERS: the dominant integrated veterinary channel in Japan and competitor-owned. Listed so nobody rediscovers them and wastes a meeting. Their sub-dealers, however, are legitimate recruits.</t>
        </is>
      </c>
      <c r="F6" s="113" t="inlineStr">
        <is>
          <t>fujifilm.com/ffvs</t>
        </is>
      </c>
      <c r="G6" s="113" t="inlineStr">
        <is>
          <t>Removed from Japan Dealers in v7</t>
        </is>
      </c>
      <c r="H6" s="59" t="inlineStr">
        <is>
          <t>DO NOT CONTACT</t>
        </is>
      </c>
    </row>
    <row r="7" ht="120" customHeight="1" s="114">
      <c r="A7" s="113" t="n">
        <v>3</v>
      </c>
      <c r="B7" s="41" t="inlineStr">
        <is>
          <t>キヤノンメドテックサプライ株式会社 (Canon Medtech Supply Co., Ltd.)</t>
        </is>
      </c>
      <c r="C7" s="113" t="inlineStr">
        <is>
          <t>Japan</t>
        </is>
      </c>
      <c r="D7" s="113" t="inlineStr">
        <is>
          <t>Competitor — brand subsidiary</t>
        </is>
      </c>
      <c r="E7" s="113" t="inlineStr">
        <is>
          <t>Canon group company selling small-animal X-ray and veterinary ultrasound direct to Japanese animal hospitals. WHY IT MATTERS: competitor-owned, so not a partner — but their sub-dealers are exactly the segment-experienced firms worth recruiting. That is how Medical Space reached this workbook.</t>
        </is>
      </c>
      <c r="F7" s="113" t="inlineStr">
        <is>
          <t>mts.medical.canon/animal</t>
        </is>
      </c>
      <c r="G7" s="113" t="inlineStr">
        <is>
          <t>Removed from Japan Dealers in v7</t>
        </is>
      </c>
      <c r="H7" s="59" t="inlineStr">
        <is>
          <t>DO NOT CONTACT</t>
        </is>
      </c>
    </row>
    <row r="8" ht="120" customHeight="1" s="114">
      <c r="A8" s="113" t="n">
        <v>4</v>
      </c>
      <c r="B8" s="41" t="inlineStr">
        <is>
          <t>本多電子株式会社 (Honda Electronics Co., Ltd.)</t>
        </is>
      </c>
      <c r="C8" s="113" t="inlineStr">
        <is>
          <t>Japan</t>
        </is>
      </c>
      <c r="D8" s="113" t="inlineStr">
        <is>
          <t>Competitor — domestic manufacturer</t>
        </is>
      </c>
      <c r="E8" s="113" t="inlineStr">
        <is>
          <t>Japanese ultrasound manufacturer in Toyohashi, Aichi, with a dedicated veterinary ultrasound imaging line and probe range. WHY IT MATTERS: this is the 'why not buy Japanese, with local service?' objection in corporate form. Expect it on the first call in Japan. Know their probe range and price band before you go.</t>
        </is>
      </c>
      <c r="F8" s="113" t="inlineStr">
        <is>
          <t>honda-el.co.jp/product/medical/category/animal</t>
        </is>
      </c>
      <c r="G8" s="113" t="inlineStr">
        <is>
          <t>Removed from Japan Dealers in v7</t>
        </is>
      </c>
      <c r="H8" s="59" t="inlineStr">
        <is>
          <t>DO NOT CONTACT</t>
        </is>
      </c>
    </row>
    <row r="9" ht="120" customHeight="1" s="114">
      <c r="A9" s="113" t="n">
        <v>5</v>
      </c>
      <c r="B9" s="41" t="inlineStr">
        <is>
          <t>프로벳 (ProVet)</t>
        </is>
      </c>
      <c r="C9" s="113" t="inlineStr">
        <is>
          <t>South Korea</t>
        </is>
      </c>
      <c r="D9" s="113" t="inlineStr">
        <is>
          <t>Competitor channel — official Mindray Animal distributor</t>
        </is>
      </c>
      <c r="E9" s="113" t="inlineStr">
        <is>
          <t>Official Korean distributor of Mindray Animal: Vetus 9 / Vetus 5 / Vetus 5Exp / Vetus E7 veterinary ultrasound, WATO EX-65 Pro Vet and Veta 5/3 anaesthesia, ePM 12M Vet and uMEC 12 Vet monitors, BC-60R Vet and BC-30 Vet haematology, infusion pumps and urinalysis. WHY IT MATTERS: they carry CHISON's nearest price competitor across the whole line. Use them to establish what Mindray Vetus units actually street for in Korea — that number sets the ceiling on CHISON's Korean pricing. v11: published contact TEL 02-323-4881, FAX 02-323-4955, hbhoe@hanmail.net, 경기도 고양시 덕양구 해포길 38-23. Intelligence only.</t>
        </is>
      </c>
      <c r="F9" s="113" t="inlineStr">
        <is>
          <t>https://www.provet.co.kr/</t>
        </is>
      </c>
      <c r="G9" s="113" t="inlineStr">
        <is>
          <t>Removed from Korea Dealers in v7</t>
        </is>
      </c>
      <c r="H9" s="59" t="inlineStr">
        <is>
          <t>DO NOT CONTACT</t>
        </is>
      </c>
    </row>
    <row r="10" ht="120" customHeight="1" s="114">
      <c r="A10" s="113" t="n">
        <v>6</v>
      </c>
      <c r="B10" s="41" t="inlineStr">
        <is>
          <t>힐세리온 (Healcerion Co., Ltd. — SONON)</t>
        </is>
      </c>
      <c r="C10" s="113" t="inlineStr">
        <is>
          <t>South Korea</t>
        </is>
      </c>
      <c r="D10" s="113" t="inlineStr">
        <is>
          <t>Competitor — domestic handheld manufacturer</t>
        </is>
      </c>
      <c r="E10" s="113" t="inlineStr">
        <is>
          <t>Korean manufacturer of the SONON wireless handheld ultrasound family, sold into both human and veterinary use. WHY IT MATTERS: the most directly comparable competitor CHISON has in Korea, and a domestic one — meaning local service and no import friction, the two arguments a Korean buyer will raise. Establish SONON's actual street price before quoting anything into this market.</t>
        </is>
      </c>
      <c r="F10" s="113" t="inlineStr">
        <is>
          <t>healcerion.com</t>
        </is>
      </c>
      <c r="G10" s="113" t="inlineStr">
        <is>
          <t>Removed from Korea Dealers in v7</t>
        </is>
      </c>
      <c r="H10" s="59" t="inlineStr">
        <is>
          <t>DO NOT CONTACT</t>
        </is>
      </c>
    </row>
    <row r="11" ht="120" customHeight="1" s="114">
      <c r="A11" s="113" t="n">
        <v>7</v>
      </c>
      <c r="B11" s="41" t="inlineStr">
        <is>
          <t>삼성메디슨 (Samsung Medison Co., Ltd.)</t>
        </is>
      </c>
      <c r="C11" s="113" t="inlineStr">
        <is>
          <t>South Korea</t>
        </is>
      </c>
      <c r="D11" s="113" t="inlineStr">
        <is>
          <t>Competitor — domestic manufacturer</t>
        </is>
      </c>
      <c r="E11" s="113" t="inlineStr">
        <is>
          <t>Korean ultrasound manufacturer within the Samsung Electronics group. WHY IT MATTERS: the domestic name behind the 'why not buy Korean?' objection, and the ultrasound education partner behind the COVET alliance — which is why COVET is graded a qualified rather than a clean target.</t>
        </is>
      </c>
      <c r="F11" s="47" t="inlineStr">
        <is>
          <t>https://www.samsungmedison.com</t>
        </is>
      </c>
      <c r="G11" s="113" t="inlineStr">
        <is>
          <t>Removed from Korea Dealers in v7</t>
        </is>
      </c>
      <c r="H11" s="59" t="inlineStr">
        <is>
          <t>DO NOT CONTACT</t>
        </is>
      </c>
    </row>
    <row r="12" ht="120" customHeight="1" s="114">
      <c r="A12" s="113" t="n">
        <v>8</v>
      </c>
      <c r="B12" s="113" t="inlineStr">
        <is>
          <t>IDEXX Taiwan (IDEXX Laboratories Taiwan)</t>
        </is>
      </c>
      <c r="C12" s="113" t="inlineStr">
        <is>
          <t>Taiwan</t>
        </is>
      </c>
      <c r="D12" s="113" t="inlineStr">
        <is>
          <t>Reference — global diagnostics corporate, not a recruit</t>
        </is>
      </c>
      <c r="E12" s="113" t="inlineStr">
        <is>
          <t>Direct Taiwanese subsidiary of the global veterinary diagnostics leader: in-clinic analysers (ProCyte One, ProCyte Dx, Coag Dx), reference laboratory services, small-animal, livestock and poultry diagnostics, dairy and water testing and equine health. WHY IT MATTERS: a global corporate will not take on a foreign ultrasound line for one market, so this is not a target. It is listed because they set the price expectation for in-clinic capital equipment in Taiwan, and because their local sub-dealers and service partners are exactly the segment-experienced firms worth recruiting.</t>
        </is>
      </c>
      <c r="F12" s="47" t="inlineStr">
        <is>
          <t>https://www.idexx.com.tw</t>
        </is>
      </c>
      <c r="G12" s="113" t="inlineStr">
        <is>
          <t>Removed from Taiwan Dealers in v7</t>
        </is>
      </c>
      <c r="H12" s="59" t="inlineStr">
        <is>
          <t>DO NOT CONTACT</t>
        </is>
      </c>
    </row>
    <row r="13" ht="120" customHeight="1" s="114">
      <c r="A13" s="113" t="n">
        <v>9</v>
      </c>
      <c r="B13" s="113" t="inlineStr">
        <is>
          <t>EASTECH 華鋒科技股份有限公司 (Esaote Taiwan sole agent)</t>
        </is>
      </c>
      <c r="C13" s="113" t="inlineStr">
        <is>
          <t>Taiwan</t>
        </is>
      </c>
      <c r="D13" s="113" t="inlineStr">
        <is>
          <t>Competitor channel — RECLASSIFIED AUGUST 2026</t>
        </is>
      </c>
      <c r="E13" s="113" t="inlineStr">
        <is>
          <t>Taiwanese medical imaging distributor founded 2006 and the SOLE TAIWAN AGENT for Esaote, selling MRI and ultrasound into teaching hospitals and hospitals of every size. Majority stake acquired by BenQ Medical Technology (明基三豐) in 2020, within the Qisda group. Runs a dedicated 獸醫專區 veterinary section covering handheld, portable AND cart ultrasound (MyLab Panther, FOX, X8, 9VET, SigmaVET, OmegaVET) plus veterinary MRI, an ultrasound training academy and WSAVA CE sessions. WHY IT MATTERS — THIS IS A CORRECTION: the older lists carried EASTECH as an unqualified Tier 3 dealer candidate. Opening eastech-medical.com in August 2026 showed a full competing veterinary ultrasound line across all three tiers, including handheld, backed by a listed electronics group. They are a competitor channel, not a recruitment target. Their veterinary academy is, however, a useful map of who the Taiwanese ultrasound KOLs are.</t>
        </is>
      </c>
      <c r="F13" s="47" t="inlineStr">
        <is>
          <t>https://www.eastech-medical.com</t>
        </is>
      </c>
      <c r="G13" s="113" t="inlineStr">
        <is>
          <t>Removed from Taiwan Dealers in v7</t>
        </is>
      </c>
      <c r="H13" s="59" t="inlineStr">
        <is>
          <t>DO NOT CONTACT</t>
        </is>
      </c>
    </row>
    <row r="14" ht="120" customHeight="1" s="114">
      <c r="A14" s="113" t="n">
        <v>10</v>
      </c>
      <c r="B14" s="41" t="inlineStr">
        <is>
          <t>華碩電腦股份有限公司（動物用手持超音波） (ASUSTeK Computer Inc. — veterinary handheld ultrasound)</t>
        </is>
      </c>
      <c r="C14" s="113" t="inlineStr">
        <is>
          <t>Taiwan</t>
        </is>
      </c>
      <c r="D14" s="113" t="inlineStr">
        <is>
          <t>Competitor — domestic handheld manufacturer</t>
        </is>
      </c>
      <c r="E14" s="113" t="inlineStr">
        <is>
          <t>Taiwanese electronics manufacturer with a veterinary handheld ultrasound product, sold in Taiwan through dealers including Shine Kochi. WHY IT MATTERS: a domestic handheld competitor with an extremely strong local brand. Expect ASUS in every pocket-tier conversation in Taiwan. CHISON's counter is probe range, veterinary presets and clinical depth, not brand.</t>
        </is>
      </c>
      <c r="F14" s="47" t="inlineStr">
        <is>
          <t>https://www.asus.com</t>
        </is>
      </c>
      <c r="G14" s="113" t="inlineStr">
        <is>
          <t>Removed from Taiwan Dealers in v7</t>
        </is>
      </c>
      <c r="H14" s="59" t="inlineStr">
        <is>
          <t>DO NOT CONTACT</t>
        </is>
      </c>
    </row>
    <row r="15" ht="120" customHeight="1" s="114">
      <c r="A15" s="113" t="n">
        <v>11</v>
      </c>
      <c r="B15" s="113" t="inlineStr">
        <is>
          <t>SonoScape（台灣經 力林國際 銷售） (SonoScape — sold in Taiwan via Vet Supply)</t>
        </is>
      </c>
      <c r="C15" s="113" t="inlineStr">
        <is>
          <t>Taiwan</t>
        </is>
      </c>
      <c r="D15" s="113" t="inlineStr">
        <is>
          <t>Competitor — manufacturer, sold via Vet Supply</t>
        </is>
      </c>
      <c r="E15" s="113" t="inlineStr">
        <is>
          <t>Chinese ultrasound manufacturer whose veterinary units reach Taiwan through Vet Supply (力林國際). WHY IT MATTERS: directly relevant to the Vet Supply row on the Taiwan Dealers tab — it tells you which line you would be sitting beside, and it confirms that Chinese-origin veterinary ultrasound does clear into the Taiwanese market through this channel, which is useful evidence for the unresolved customs question.</t>
        </is>
      </c>
      <c r="F15" s="47" t="inlineStr">
        <is>
          <t>https://www.sonoscape.com</t>
        </is>
      </c>
      <c r="G15" s="113" t="inlineStr">
        <is>
          <t>Removed from Taiwan Dealers in v7</t>
        </is>
      </c>
      <c r="H15" s="59" t="inlineStr">
        <is>
          <t>DO NOT CONTACT</t>
        </is>
      </c>
    </row>
    <row r="16" ht="120" customHeight="1" s="114">
      <c r="A16" s="113" t="n">
        <v>12</v>
      </c>
      <c r="B16" s="113" t="inlineStr">
        <is>
          <t>Singapore Turf Club Equine Hospital</t>
        </is>
      </c>
      <c r="C16" s="113" t="inlineStr">
        <is>
          <t>Singapore</t>
        </is>
      </c>
      <c r="D16" s="113" t="inlineStr">
        <is>
          <t>Almost certainly not a buyer — operations wound down</t>
        </is>
      </c>
      <c r="E16" s="113" t="inlineStr">
        <is>
          <t>Equine hospital at the Kranji racecourse, still listed on the May 2024 SVA register. WHY IT MATTERS — CORRECTION: horse racing in Singapore ended on 5 October 2024 after 182 years, and the Kranji site is being returned to the state for redevelopment. An equine hospital attached to a closed racecourse is not a realistic buyer of new imaging equipment. Removed from the outreach tab. If an equine practice survives in some form elsewhere in Singapore, EBit 50 VET with a rectal linear probe remains the right product — but confirm the entity exists before spending any time.</t>
        </is>
      </c>
      <c r="F16" s="113" t="inlineStr">
        <is>
          <t>—</t>
        </is>
      </c>
      <c r="G16" s="113" t="inlineStr">
        <is>
          <t>Removed from Singapore End Users in v7</t>
        </is>
      </c>
      <c r="H16" s="59" t="inlineStr">
        <is>
          <t>DO NOT CONTACT</t>
        </is>
      </c>
    </row>
    <row r="17" ht="120" customHeight="1" s="114">
      <c r="A17" s="113" t="n">
        <v>13</v>
      </c>
      <c r="B17" s="41" t="inlineStr">
        <is>
          <t>부산·대구 24시 동물의료센터 (Busan / Daegu 24-hour centres — TO IDENTIFY)</t>
        </is>
      </c>
      <c r="C17" s="113" t="inlineStr">
        <is>
          <t>—</t>
        </is>
      </c>
      <c r="D17" s="113" t="inlineStr">
        <is>
          <t>—</t>
        </is>
      </c>
      <c r="E17" s="113" t="inlineStr">
        <is>
          <t>This is a task rather than an account: extract the Busan and Daegu 24-hour centres from the animal.go.kr registry, then create real rows. Kept visible so the southern gap is not forgotten.</t>
        </is>
      </c>
      <c r="F17" s="113" t="inlineStr">
        <is>
          <t>Identify via animal.go.kr registry</t>
        </is>
      </c>
      <c r="G17" s="113" t="inlineStr">
        <is>
          <t>Removed from Korea End Users &amp; KOL in v7</t>
        </is>
      </c>
      <c r="H17" s="59" t="inlineStr">
        <is>
          <t>DO NOT CONTACT</t>
        </is>
      </c>
    </row>
    <row r="18" ht="120" customHeight="1" s="114">
      <c r="A18" s="113" t="n">
        <v>14</v>
      </c>
      <c r="B18" s="41" t="inlineStr">
        <is>
          <t>倍可有限公司／蓓果健康照護 (v3 name: 派瑞勒生醫 Petrichor Biomed)</t>
        </is>
      </c>
      <c r="C18" s="113" t="inlineStr">
        <is>
          <t>Taiwan</t>
        </is>
      </c>
      <c r="D18" s="113" t="inlineStr">
        <is>
          <t>Competitor channel — ASUS handheld ultrasound distributor</t>
        </is>
      </c>
      <c r="E18" s="113" t="inlineStr">
        <is>
          <t>Taiwanese distributor of ASUS wireless handheld ultrasound, trading at ptpetrichor.com.tw. ASUS publishes a handheld ultrasound EXPLICITLY FOR VETERINARY CARE (LU800 for Veterinary Care), and ASUS is already on this tab as a Taiwanese domestic handheld competitor. Their distributor therefore competes with CHISON at exactly the tier CHISON leads with in Taiwan — the pocket unit — which is the one wedge we cannot give up. Same treatment as EASTECH. ALSO A NAME CORRECTION: the Market Development list v3 carried this as '派瑞勒生醫 Petrichor Biomed'; the trading entity on the site is 倍可有限公司 / 蓓果健康照護.</t>
        </is>
      </c>
      <c r="F18" s="47" t="inlineStr">
        <is>
          <t>https://ptpetrichor.com.tw</t>
        </is>
      </c>
      <c r="G18" s="113" t="inlineStr">
        <is>
          <t>Removed from consideration in v9 — was Market Development Target List v3, Taiwan Dealers row 5</t>
        </is>
      </c>
      <c r="H18" s="59" t="inlineStr">
        <is>
          <t>DO NOT CONTACT</t>
        </is>
      </c>
    </row>
    <row r="19">
      <c r="A19" s="113" t="n">
        <v>15</v>
      </c>
      <c r="B19" s="41" t="inlineStr">
        <is>
          <t>AJJ</t>
        </is>
      </c>
      <c r="C19" s="113" t="inlineStr">
        <is>
          <t>Singapore / region</t>
        </is>
      </c>
      <c r="D19" s="113" t="inlineStr">
        <is>
          <t>Former CHISON dealer, inactive</t>
        </is>
      </c>
      <c r="E19" s="113" t="inlineStr">
        <is>
          <t>Previously engaged dealer. Decision recorded 20 Sep 2026: will NOT be appointed as a distributor again.</t>
        </is>
      </c>
      <c r="F19" s="47" t="inlineStr">
        <is>
          <t>NOT CONFIRMED</t>
        </is>
      </c>
      <c r="G19" s="113" t="inlineStr">
        <is>
          <t>Decision with Jerry, 20 Sep 2026</t>
        </is>
      </c>
      <c r="H19" s="59" t="inlineStr">
        <is>
          <t>DO NOT APPOINT</t>
        </is>
      </c>
    </row>
    <row r="20" ht="14.25" customHeight="1" s="114">
      <c r="A20" s="113" t="n">
        <v>16</v>
      </c>
      <c r="B20" s="41" t="inlineStr">
        <is>
          <t>Medical Plus (Medicalplus-Vet)</t>
        </is>
      </c>
      <c r="C20" s="113" t="inlineStr">
        <is>
          <t>Singapore / region</t>
        </is>
      </c>
      <c r="D20" s="113" t="inlineStr">
        <is>
          <t>Former CHISON dealer, inactive</t>
        </is>
      </c>
      <c r="E20" s="113" t="inlineStr">
        <is>
          <t>Previously engaged dealer with a veterinary site (medicalplus-vet.com). Decision recorded 20 Sep 2026: will NOT be appointed again.</t>
        </is>
      </c>
      <c r="F20" s="47" t="inlineStr">
        <is>
          <t>http://www.medicalplus-vet.com</t>
        </is>
      </c>
      <c r="G20" s="113" t="inlineStr">
        <is>
          <t>Decision with Jerry, 20 Sep 2026</t>
        </is>
      </c>
      <c r="H20" s="59" t="inlineStr">
        <is>
          <t>DO NOT APPOINT</t>
        </is>
      </c>
    </row>
    <row r="21">
      <c r="A21" s="113" t="n">
        <v>17</v>
      </c>
      <c r="B21" s="41" t="inlineStr">
        <is>
          <t>AMF</t>
        </is>
      </c>
      <c r="C21" s="113" t="inlineStr">
        <is>
          <t>Singapore / region</t>
        </is>
      </c>
      <c r="D21" s="113" t="inlineStr">
        <is>
          <t>Former CHISON dealer, inactive</t>
        </is>
      </c>
      <c r="E21" s="113" t="inlineStr">
        <is>
          <t>Previously engaged dealer. Decision recorded 20 Sep 2026: will NOT be appointed again.</t>
        </is>
      </c>
      <c r="F21" s="47" t="inlineStr">
        <is>
          <t>NOT CONFIRMED</t>
        </is>
      </c>
      <c r="G21" s="113" t="inlineStr">
        <is>
          <t>Decision with Jerry, 20 Sep 2026</t>
        </is>
      </c>
      <c r="H21" s="59" t="inlineStr">
        <is>
          <t>DO NOT APPOINT</t>
        </is>
      </c>
    </row>
    <row r="22">
      <c r="A22" s="113" t="n">
        <v>18</v>
      </c>
      <c r="B22" s="41" t="inlineStr">
        <is>
          <t>Smitch Tech</t>
        </is>
      </c>
      <c r="C22" s="113" t="inlineStr">
        <is>
          <t>Singapore / region</t>
        </is>
      </c>
      <c r="D22" s="113" t="inlineStr">
        <is>
          <t>Former CHISON dealer, inactive</t>
        </is>
      </c>
      <c r="E22" s="113" t="inlineStr">
        <is>
          <t>Previously engaged dealer. Decision recorded 20 Sep 2026: will NOT be appointed again.</t>
        </is>
      </c>
      <c r="F22" s="47" t="inlineStr">
        <is>
          <t>NOT CONFIRMED</t>
        </is>
      </c>
      <c r="G22" s="113" t="inlineStr">
        <is>
          <t>Decision with Jerry, 20 Sep 2026</t>
        </is>
      </c>
      <c r="H22" s="59" t="inlineStr">
        <is>
          <t>DO NOT APPOINT</t>
        </is>
      </c>
    </row>
    <row r="23" ht="22.8" customHeight="1" s="114">
      <c r="A23" s="113" t="n">
        <v>19</v>
      </c>
      <c r="B23" s="41" t="inlineStr">
        <is>
          <t>Siemens Healthineers Singapore (veterinary ultrasound)</t>
        </is>
      </c>
      <c r="C23" s="113" t="inlineStr">
        <is>
          <t>Singapore</t>
        </is>
      </c>
      <c r="D23" s="113" t="inlineStr">
        <is>
          <t>Competitor, brand subsidiary</t>
        </is>
      </c>
      <c r="E23" s="113" t="inlineStr">
        <is>
          <t>Markets ACUSON veterinary ultrasound in Singapore directly. Awareness only.</t>
        </is>
      </c>
      <c r="F23" s="47" t="inlineStr">
        <is>
          <t>https://www.siemens-healthineers.com/en-sg/ultrasound/vet</t>
        </is>
      </c>
      <c r="G23" s="113" t="inlineStr">
        <is>
          <t>Added in v11 research</t>
        </is>
      </c>
      <c r="H23" s="59" t="inlineStr">
        <is>
          <t>DO NOT CONTACT</t>
        </is>
      </c>
    </row>
    <row r="24"/>
    <row r="25">
      <c r="A25" s="10">
        <f>COUNTA(B5:B23)</f>
        <v/>
      </c>
      <c r="B25" s="10" t="inlineStr">
        <is>
          <t>Organisations on this tab, none of them to be emailed or appointed</t>
        </is>
      </c>
    </row>
  </sheetData>
  <autoFilter ref="A4:H18"/>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8" r:id="rId6"/>
  </hyperlink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22"/>
  <sheetViews>
    <sheetView zoomScaleNormal="100" workbookViewId="0">
      <pane xSplit="1" ySplit="4" topLeftCell="M5" activePane="bottomRight" state="frozen"/>
      <selection pane="topRight" activeCell="M1" sqref="M1"/>
      <selection pane="bottomLeft" activeCell="A5" sqref="A5"/>
      <selection pane="bottomRight" activeCell="A1" sqref="A1"/>
    </sheetView>
  </sheetViews>
  <sheetFormatPr baseColWidth="8" defaultColWidth="8.6640625" defaultRowHeight="14.4"/>
  <cols>
    <col width="4" customWidth="1" style="114" min="1" max="1"/>
    <col width="40" customWidth="1" style="114" min="2" max="2"/>
    <col width="34" customWidth="1" style="114" min="3" max="3"/>
    <col width="104" customWidth="1" style="114" min="4" max="4"/>
    <col width="66" customWidth="1" style="114" min="5" max="5"/>
  </cols>
  <sheetData>
    <row r="1" ht="18" customHeight="1" s="114">
      <c r="A1" s="16" t="inlineStr">
        <is>
          <t>WHY THESE CONTACTS — THE RELEVANCE LOGIC BEHIND EVERY ROW</t>
        </is>
      </c>
    </row>
    <row r="2" ht="30" customHeight="1" s="114">
      <c r="A2" s="17" t="inlineStr">
        <is>
          <t>Read this once. It explains what each type of row is doing in the workbook, why it can plausibly buy or distribute CHISON veterinary ultrasound, and what would make it not worth your time. Every claim about regulation is repeated on the Engagement rules tab.</t>
        </is>
      </c>
    </row>
    <row r="3"/>
    <row r="4" ht="33.75" customHeight="1" s="114">
      <c r="A4" s="18" t="inlineStr">
        <is>
          <t>#</t>
        </is>
      </c>
      <c r="B4" s="18" t="inlineStr">
        <is>
          <t>Row type</t>
        </is>
      </c>
      <c r="C4" s="18" t="inlineStr">
        <is>
          <t>Where it appears</t>
        </is>
      </c>
      <c r="D4" s="18" t="inlineStr">
        <is>
          <t>Why it is relevant to CHISON — the buying logic</t>
        </is>
      </c>
      <c r="E4" s="18" t="inlineStr">
        <is>
          <t>What would disqualify it</t>
        </is>
      </c>
    </row>
    <row r="5" ht="132" customHeight="1" s="114">
      <c r="A5" s="113" t="n">
        <v>1</v>
      </c>
      <c r="B5" s="115" t="inlineStr">
        <is>
          <t>The adjacent-imaging dealer — X-ray, CT or DR, but NO ultrasound</t>
        </is>
      </c>
      <c r="C5" s="113" t="inlineStr">
        <is>
          <t>Japan · Korea · Taiwan Dealers (most Tier 1 rows)</t>
        </is>
      </c>
      <c r="D5" s="113" t="inlineStr">
        <is>
          <t>This is the single strongest profile in the workbook and the reason companies like Woorien, Genoray, DRGEM, POSKOM and SOAR are graded Tier 1. They already sell imaging into animal hospitals, so they have the clinical credibility, the demonstration skill and — critically — the service engineers. They have a complete imaging line missing exactly one modality, and it is the modality CHISON makes. Adding ultrasound cannibalises nothing they currently earn from, which means the internal argument writes itself.</t>
        </is>
      </c>
      <c r="E5" s="113" t="inlineStr">
        <is>
          <t>If they turn out to carry ultrasound after all. Every one of these rows says how confident we are; 'Not identified' means we did not find one, not that none exists. Ask on the first call.</t>
        </is>
      </c>
    </row>
    <row r="6" ht="132" customHeight="1" s="114">
      <c r="A6" s="113" t="n">
        <v>2</v>
      </c>
      <c r="B6" s="115" t="inlineStr">
        <is>
          <t>The veterinary trading house or clinic-opening dealer</t>
        </is>
      </c>
      <c r="C6" s="113" t="inlineStr">
        <is>
          <t>Japan Dealers (Arrow Medical, MUNATEX, Tokushima Iryoki, ASCO)</t>
        </is>
      </c>
      <c r="D6" s="113" t="inlineStr">
        <is>
          <t>These firms write the equipment list for a new or refurbished animal hospital. That is the single moment when a vet decides what to buy, and there is no incumbent machine to displace. Arrow Medical alone has been involved in over a thousand clinic projects. A first scanner is a natural line item in an opening package, and the margin is incremental rather than competitive.</t>
        </is>
      </c>
      <c r="E6" s="113" t="inlineStr">
        <is>
          <t>If the opening-support business turns out to be marketing rather than a real service line. Ask how many projects they did last year.</t>
        </is>
      </c>
    </row>
    <row r="7" ht="132" customHeight="1" s="114">
      <c r="A7" s="113" t="n">
        <v>3</v>
      </c>
      <c r="B7" s="115" t="inlineStr">
        <is>
          <t>The animal-drug or animal-health wholesaler</t>
        </is>
      </c>
      <c r="C7" s="113" t="inlineStr">
        <is>
          <t>Japan Dealers (MP Agro, Fines, Morikubo, Agro Japan, Sun Daiko, ZENOAQ) · Korea (WooGene) · Taiwan (Vetnostrum, OpenVet)</t>
        </is>
      </c>
      <c r="D7" s="113" t="inlineStr">
        <is>
          <t>Their representatives are physically inside every clinic on a weekly or monthly drug order. That is the cheapest distribution CHISON could ever buy, and a pocket scanner is the rare capital item a drug rep can literally carry in a bag. Fines and Morikubo name medical equipment in their own corporate descriptions, and ASCO names equipment and machinery — so this is not a stretch for them.</t>
        </is>
      </c>
      <c r="E7" s="113" t="inlineStr">
        <is>
          <t>If they handle only pharmaceuticals and have no device licence or logistics. Confirm before investing; several rows here say 'qualify whether they carry equipment at all'.</t>
        </is>
      </c>
    </row>
    <row r="8" ht="132" customHeight="1" s="114">
      <c r="A8" s="113" t="n">
        <v>4</v>
      </c>
      <c r="B8" s="115" t="inlineStr">
        <is>
          <t>The surgical, orthopaedic or interventional dealer</t>
        </is>
      </c>
      <c r="C8" s="113" t="inlineStr">
        <is>
          <t>Japan (KIRIKAN, MIZUHO) · Korea (Mediray, IMEDICOM, B.Braun) · Taiwan (Shine Kochi)</t>
        </is>
      </c>
      <c r="D8" s="113" t="inlineStr">
        <is>
          <t>The pitch here is peri-operative, not diagnostic: vascular access, nerve block and pre-anaesthetic FAST. That is a different demonstration from an abdominal scan and it lands with a different buyer. These dealers are already trusted on high-value capital equipment, so the credibility problem is solved before you start.</t>
        </is>
      </c>
      <c r="E8" s="113" t="inlineStr">
        <is>
          <t>Nothing structural — this profile rarely disqualifies. The risk is that they see imaging as somebody else's category.</t>
        </is>
      </c>
    </row>
    <row r="9" ht="132" customHeight="1" s="114">
      <c r="A9" s="113" t="n">
        <v>5</v>
      </c>
      <c r="B9" s="115" t="inlineStr">
        <is>
          <t>The diagnostics or point-of-care company</t>
        </is>
      </c>
      <c r="C9" s="113" t="inlineStr">
        <is>
          <t>Korea (BioNote, i-SENS, VETCOM) · Taiwan (GETECH reagents)</t>
        </is>
      </c>
      <c r="D9" s="113" t="inlineStr">
        <is>
          <t>The vet buying an in-house analyser is the vet building in-house diagnostic capability, and ultrasound is the next line in that same budget. These companies also sell on the same sentence CHISON does — the answer at the patient rather than in a laboratory. BioNote is a listed company with a real distribution organisation and no imaging line at all.</t>
        </is>
      </c>
      <c r="E9" s="113" t="inlineStr">
        <is>
          <t>If the diagnostics business is laboratory-send-out rather than in-clinic — then the customer relationship is with the lab, not with the equipment budget.</t>
        </is>
      </c>
    </row>
    <row r="10" ht="132" customHeight="1" s="114">
      <c r="A10" s="113" t="n">
        <v>6</v>
      </c>
      <c r="B10" s="115" t="inlineStr">
        <is>
          <t>The dealer who ALREADY sells ultrasound</t>
        </is>
      </c>
      <c r="C10" s="113" t="inlineStr">
        <is>
          <t>Japan (Medical Space, MTF, Mediark, Kyoritsu) · Korea (VITSHOP) · Taiwan (YUMAX, SOARMED, Vet Supply, Shine Kochi)</t>
        </is>
      </c>
      <c r="D10" s="113" t="inlineStr">
        <is>
          <t>These are graded Tier 2, never Tier 1, and the rule is absolute: pitch the pocket tier, never a competing console. The logic is that GE, Fujifilm, Philips, Mindray, VINNO, ASUS and SonoScape all leave the sub-USD-10k handheld tier thinly served, so a CHISON handheld raises the dealer's attach rate without touching the margin they defend. Every one of these rows carries a warning in the fit note about which brand they hold.</t>
        </is>
      </c>
      <c r="E10" s="113" t="inlineStr">
        <is>
          <t>If their principal contractually blocks a second ultrasound line. Ask early — it saves months.</t>
        </is>
      </c>
    </row>
    <row r="11" ht="132" customHeight="1" s="114">
      <c r="A11" s="113" t="n">
        <v>7</v>
      </c>
      <c r="B11" s="115" t="inlineStr">
        <is>
          <t>The procurement platform or veterinary e-commerce channel</t>
        </is>
      </c>
      <c r="C11" s="113" t="inlineStr">
        <is>
          <t>Taiwan (ivetmall, AHOSS) · Korea (PetDoc, WithVet, Vetsmall, PetOp) · Japan (PETMEDIC PRO)</t>
        </is>
      </c>
      <c r="D11" s="113" t="inlineStr">
        <is>
          <t>Platforms are not distributors — they will not hold stock or service a unit — but they are the cheapest possible market presence for a brand with no local footprint, and they generate the enquiry flow a future exclusive distributor will want to see. ivetmall is restricted to animal hospitals and openly invites new suppliers, which makes it the lowest-barrier entry point in Taiwan.</t>
        </is>
      </c>
      <c r="E11" s="113" t="inlineStr">
        <is>
          <t>Treat any platform as reach, never as a channel appointment. If you are relying on one to service a unit, the plan is wrong.</t>
        </is>
      </c>
    </row>
    <row r="12" ht="132" customHeight="1" s="114">
      <c r="A12" s="113" t="n">
        <v>8</v>
      </c>
      <c r="B12" s="115" t="inlineStr">
        <is>
          <t>The training academy, alliance or education platform</t>
        </is>
      </c>
      <c r="C12" s="113" t="inlineStr">
        <is>
          <t>Korea (AureBIO, COVET, IMDT/VetHonors) · Taiwan (Jen Ho / Murinsen, OpenVet seminars)</t>
        </is>
      </c>
      <c r="D12" s="113" t="inlineStr">
        <is>
          <t>Training academies convert unusually well because every student scans on the machine in the room. AureBIO is the strongest example anywhere in this workbook: their instructor, Prof. Choi Min-cheol of SNU, has published the argument that ultrasound ought to be the best value-for-money device in an animal hospital and in practice is not — CHISON's positioning stated by a Korean KOL before you walk in. Alliances add group purchasing across many independent clinics at once.</t>
        </is>
      </c>
      <c r="E12" s="113" t="inlineStr">
        <is>
          <t>An existing equipment partnership. COVET already runs ultrasound education with Samsung, which is why it is Tier 2 and not Tier 1.</t>
        </is>
      </c>
    </row>
    <row r="13" ht="132" customHeight="1" s="114">
      <c r="A13" s="113" t="n">
        <v>9</v>
      </c>
      <c r="B13" s="115" t="inlineStr">
        <is>
          <t>The MFR row — a manufacturer that sells INTO dealers</t>
        </is>
      </c>
      <c r="C13" s="113" t="inlineStr">
        <is>
          <t>Japan Dealers (Tokyo Menix, Hongo Iwashiya, Dream Sangyo, Cross Medical, Vets Imaging, Hyubes, Meniwan, Fujihira, Fukuda M-E)</t>
        </is>
      </c>
      <c r="D13" s="113" t="inlineStr">
        <is>
          <t>These are NOT distribution appointments and must never be treated as such. They appear on dealers' supplier indexes, which is how they were mistakenly listed as dealer targets in an earlier version. The honest conversation is complementary-line or OEM: Fujihira's large-animal reproduction range sits beside EBit 50 VET, Fukuda M-E's monitors sit in the theatres a handheld is used in. Every one of these rows carries a ready-to-send email framed that way.</t>
        </is>
      </c>
      <c r="E13" s="113" t="inlineStr">
        <is>
          <t>Nothing — they are correctly classified. The mistake to avoid is upgrading one to 'dealer' without evidence of its own clinic sales force.</t>
        </is>
      </c>
    </row>
    <row r="14" ht="132" customHeight="1" s="114">
      <c r="A14" s="113" t="n">
        <v>10</v>
      </c>
      <c r="B14" s="115" t="inlineStr">
        <is>
          <t>The Singapore direct end-user clinic</t>
        </is>
      </c>
      <c r="C14" s="113" t="inlineStr">
        <is>
          <t>Singapore End Users (73 accounts)</t>
        </is>
      </c>
      <c r="D14" s="113" t="inlineStr">
        <is>
          <t>Singapore is the ONLY market in this workbook where a sale can close today: veterinary health products sit outside the Health Products Act device regime, so AstraMed invoices, installs and services the clinic with no dealer in between. Every row therefore has genuine near-term revenue potential. The chains and groups (Mars, Animal Ark, Pet Space) are fleet conversations; the single-site clinics are first-scanner conversations where the CHISON price position does the selling. Contacts come from the SVA register.</t>
        </is>
      </c>
      <c r="E14" s="113" t="inlineStr">
        <is>
          <t>The register edition held is May 2024, so phone numbers may be stale, and a small number of clinics may have closed. Refresh the register — it is listed as a priority action on Channel Resources.</t>
        </is>
      </c>
    </row>
    <row r="15" ht="132" customHeight="1" s="114">
      <c r="A15" s="113" t="n">
        <v>11</v>
      </c>
      <c r="B15" s="115" t="inlineStr">
        <is>
          <t>The multi-site group or corporate chain</t>
        </is>
      </c>
      <c r="C15" s="113" t="inlineStr">
        <is>
          <t>All four end-user tabs (Mars, Pet Space, Animal Ark, JARMeC, VIP, Royal AMC, National Veterinary Hospital, Ci-Ai, AEON Pet)</t>
        </is>
      </c>
      <c r="D15" s="113" t="inlineStr">
        <is>
          <t>One decision, many units. Groups also have a procurement function, which means the conversation belongs at head office and a win is durable rather than personality-dependent. Where two rows belong to one group, the workbook says so explicitly and the email asks which entity should own the conversation, rather than knocking on every door.</t>
        </is>
      </c>
      <c r="E15" s="113" t="inlineStr">
        <is>
          <t>A group that has already standardised on a competitor. Ask what is installed before proposing a fleet.</t>
        </is>
      </c>
    </row>
    <row r="16" ht="132" customHeight="1" s="114">
      <c r="A16" s="113" t="n">
        <v>12</v>
      </c>
      <c r="B16" s="115" t="inlineStr">
        <is>
          <t>The referral, specialty or 24-hour emergency hospital</t>
        </is>
      </c>
      <c r="C16" s="113" t="inlineStr">
        <is>
          <t>All four end-user tabs</t>
        </is>
      </c>
      <c r="D16" s="113" t="inlineStr">
        <is>
          <t>Two distinct arguments. Emergency work is the fastest-converting handheld use case there is — a FAST scan happens in seconds, and the vet on the night shift is usually also the buyer, so there is no procurement layer between the demonstration and the decision. Referral hospitals matter differently: they are judged on image quality, so a good result there is read by every clinic that refers in, and by the distributors you are recruiting, who will ask what reference sites you have.</t>
        </is>
      </c>
      <c r="E16" s="113" t="inlineStr">
        <is>
          <t>Nothing structural. These are the best end-user accounts in the workbook.</t>
        </is>
      </c>
    </row>
    <row r="17" ht="132" customHeight="1" s="114">
      <c r="A17" s="113" t="n">
        <v>13</v>
      </c>
      <c r="B17" s="115" t="inlineStr">
        <is>
          <t>The university veterinary teaching hospital</t>
        </is>
      </c>
      <c r="C17" s="113" t="inlineStr">
        <is>
          <t>Japan · Korea · Taiwan End Users &amp; KOL (24 institutions)</t>
        </is>
      </c>
      <c r="D17" s="113" t="inlineStr">
        <is>
          <t>Residents specify in practice whatever they trained on, so a teaching-room placement buys a decade of habit. Teaching hospitals also produce publishable case material, which is the evidence pack a distributor asks for. The livestock-weighted schools — Rakuno Gakuen, Obihiro, Miyazaki, Kitasato, NPUST, Jeonbuk, Chonnam — are the accounts where EBit 50 VET leads rather than the handheld.</t>
        </is>
      </c>
      <c r="E17" s="113" t="inlineStr">
        <is>
          <t>The purchase cycle is long and partly cart-dependent. Per decision D-2 there is NO veterinary-labelled cart in the CHISON range — twelve veterinary SKUs at USD 5,299 to 21,200 US list, none of them a vet cart. Do not promise one. Lead with handheld teaching units.</t>
        </is>
      </c>
    </row>
    <row r="18" ht="132" customHeight="1" s="114">
      <c r="A18" s="113" t="n">
        <v>14</v>
      </c>
      <c r="B18" s="115" t="inlineStr">
        <is>
          <t>The exotic, avian, aquatic, feline or rehabilitation practice</t>
        </is>
      </c>
      <c r="C18" s="113" t="inlineStr">
        <is>
          <t>Singapore End Users · Taiwan End Users (avian and feline clinics)</t>
        </is>
      </c>
      <c r="D18" s="113" t="inlineStr">
        <is>
          <t>A technical sale, never a price sale. These patients are small with shallow structures, which is a high-frequency linear imaging problem — precisely where a cheap generic handheld visibly fails and the SonoEye P5 wins. Rehabilitation adds repeat scanning of the same patient, which makes utilisation easy to justify.</t>
        </is>
      </c>
      <c r="E18" s="113" t="inlineStr">
        <is>
          <t>Approaching them on price. If the demonstration is not technical, this segment is lost.</t>
        </is>
      </c>
    </row>
    <row r="19" ht="132" customHeight="1" s="114">
      <c r="A19" s="113" t="n">
        <v>15</v>
      </c>
      <c r="B19" s="115" t="inlineStr">
        <is>
          <t>The house-call or mobile practice</t>
        </is>
      </c>
      <c r="C19" s="113" t="inlineStr">
        <is>
          <t>Singapore End Users (The Visiting Vets, Pet Space house-call service)</t>
        </is>
      </c>
      <c r="D19" s="113" t="inlineStr">
        <is>
          <t>The clearest handheld use case that exists. A console physically cannot go into a client's living room; a pocket scanner turns a home visit into a diagnostic appointment. Very short sales cycle because the benefit needs no explanation.</t>
        </is>
      </c>
      <c r="E19" s="113" t="inlineStr">
        <is>
          <t>Nothing. If a mobile practice says no, the objection is price, and that is CHISON's strongest ground.</t>
        </is>
      </c>
    </row>
    <row r="20" ht="132" customHeight="1" s="114">
      <c r="A20" s="113" t="n">
        <v>16</v>
      </c>
      <c r="B20" s="115" t="inlineStr">
        <is>
          <t>The Taipei clinic long tail from the TPVMA roster</t>
        </is>
      </c>
      <c r="C20" s="113" t="inlineStr">
        <is>
          <t>Taiwan End Users &amp; KOL (37 clinics)</t>
        </is>
      </c>
      <c r="D20" s="113" t="inlineStr">
        <is>
          <t>Independent Taipei clinics, one decision-maker each, most likely with no scanner at all — the first-scanner conversation the CHISON handheld range is priced for. Phone numbers come from the Taipei Veterinary Medical Association directory. Work them in district batches with one demonstration unit, not one clinic at a time.</t>
        </is>
      </c>
      <c r="E20" s="113" t="inlineStr">
        <is>
          <t>Contact data is directory-grade (graded C): a phone number and a district, no website or email confirmed. And Taiwan cannot be invoiced until the customs route is resolved — so this is relationship and demonstration work for now.</t>
        </is>
      </c>
    </row>
    <row r="21" ht="132" customHeight="1" s="114">
      <c r="A21" s="113" t="n">
        <v>17</v>
      </c>
      <c r="B21" s="115" t="inlineStr">
        <is>
          <t>The registry, regulator, association or congress</t>
        </is>
      </c>
      <c r="C21" s="113" t="inlineStr">
        <is>
          <t>Channel Resources (25 rows)</t>
        </is>
      </c>
      <c r="D21" s="113" t="inlineStr">
        <is>
          <t>Not accounts and mostly not outreach targets. Registries and regulators are DATA SOURCES and carry no email by design — the QIA licensed-importer list and the data.taipei licensed-seller register are the two highest-yield unworked sources in the workbook, because they tell you who is licensed rather than who merely sells. Associations and congresses carry a sponsorship enquiry, because a hands-on wet lab is the format ultrasound is actually judged in.</t>
        </is>
      </c>
      <c r="E21" s="113" t="inlineStr">
        <is>
          <t>Nothing — but do not confuse a data source with a customer. Sending a sales email to a regulator damages you.</t>
        </is>
      </c>
    </row>
    <row r="22" ht="132" customHeight="1" s="114">
      <c r="A22" s="113" t="n">
        <v>18</v>
      </c>
      <c r="B22" s="115" t="inlineStr">
        <is>
          <t>The competitor, brand subsidiary or wound-down operation</t>
        </is>
      </c>
      <c r="C22" s="113" t="inlineStr">
        <is>
          <t>Reference — Do Not Contact (13 rows)</t>
        </is>
      </c>
      <c r="D22" s="113" t="inlineStr">
        <is>
          <t>These CANNOT buy, which is exactly why they were removed from the outreach tabs in v7. They are kept because they are worth money as intelligence: ProVet tells you what Mindray Vetus street-prices at in Korea, Shoei tells you SonoScape's Japanese landed price, Honda Electronics and Healcerion and Samsung Medison are the 'why not buy domestic?' objection in corporate form, and the sub-dealers of Canon Medtech and IDEXX are among the best recruits available.</t>
        </is>
      </c>
      <c r="E22" s="113" t="inlineStr">
        <is>
          <t>They are already disqualified. The rule is simple: no email, ever, from this tab.</t>
        </is>
      </c>
    </row>
  </sheetData>
  <autoFilter ref="A4:E22"/>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K31"/>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640625" defaultRowHeight="14.4"/>
  <cols>
    <col width="4" customWidth="1" style="114" min="1" max="1"/>
    <col width="40" customWidth="1" style="114" min="2" max="2"/>
    <col width="14" customWidth="1" style="114" min="3" max="3"/>
    <col width="28" customWidth="1" style="114" min="4" max="4"/>
    <col width="60" customWidth="1" style="114" min="5" max="5"/>
    <col width="34" customWidth="1" style="114" min="6" max="8"/>
    <col width="60" customWidth="1" style="114" min="9" max="9"/>
    <col width="46" customWidth="1" style="114" min="10" max="10"/>
    <col width="88" customWidth="1" style="114" min="11" max="11"/>
  </cols>
  <sheetData>
    <row r="1" ht="18" customHeight="1" s="114">
      <c r="A1" s="16" t="inlineStr">
        <is>
          <t>CHANNEL RESOURCES — REGISTRIES, ASSOCIATIONS, CONGRESSES AND RESEARCH TASKS (all markets)</t>
        </is>
      </c>
    </row>
    <row r="2" ht="30" customHeight="1" s="114">
      <c r="A2" s="17" t="inlineStr">
        <is>
          <t>These are not accounts and most are not outreach targets. Registries and regulators are data sources — they carry no email by design. Associations and congresses carry a sponsorship enquiry, because a hands-on session is the format ultrasound is actually judged in. Rows marked 'research task' are open work, kept visible so the gap is not forgotten. Consolidated during the v6 merge from all four source workbooks.</t>
        </is>
      </c>
    </row>
    <row r="3"/>
    <row r="4" ht="31.5" customHeight="1" s="114">
      <c r="A4" s="18" t="inlineStr">
        <is>
          <t>#</t>
        </is>
      </c>
      <c r="B4" s="18" t="inlineStr">
        <is>
          <t>Resource</t>
        </is>
      </c>
      <c r="C4" s="18" t="inlineStr">
        <is>
          <t>Market</t>
        </is>
      </c>
      <c r="D4" s="18" t="inlineStr">
        <is>
          <t>Type</t>
        </is>
      </c>
      <c r="E4" s="18" t="inlineStr">
        <is>
          <t>What it gives you</t>
        </is>
      </c>
      <c r="F4" s="18" t="inlineStr">
        <is>
          <t>URL</t>
        </is>
      </c>
      <c r="G4" s="18" t="inlineStr">
        <is>
          <t>Contact</t>
        </is>
      </c>
      <c r="H4" s="18" t="inlineStr">
        <is>
          <t>CONTACT CONFIDENCE</t>
        </is>
      </c>
      <c r="I4" s="18" t="inlineStr">
        <is>
          <t>How to use it</t>
        </is>
      </c>
      <c r="J4" s="18" t="inlineStr">
        <is>
          <t>Email subject — ready to send</t>
        </is>
      </c>
      <c r="K4" s="18" t="inlineStr">
        <is>
          <t>Email body — ready to send (copy/paste)</t>
        </is>
      </c>
    </row>
    <row r="5" ht="120" customHeight="1" s="114">
      <c r="A5" s="113" t="n">
        <v>1</v>
      </c>
      <c r="B5" s="41" t="inlineStr">
        <is>
          <t>臺北市獸醫師公會 (TPVMA)</t>
        </is>
      </c>
      <c r="C5" s="113" t="inlineStr">
        <is>
          <t>Taiwan</t>
        </is>
      </c>
      <c r="D5" s="113" t="inlineStr">
        <is>
          <t>Professional association + clinic roster</t>
        </is>
      </c>
      <c r="E5" s="113" t="inlineStr">
        <is>
          <t>The full Taipei animal-hospital roster (about 20 pages) with phone numbers — the source of the 37 long-tail Taipei clinics on the Taiwan End Users &amp; KOL tab, and hundreds more.</t>
        </is>
      </c>
      <c r="F5" s="47" t="inlineStr">
        <is>
          <t>https://www.tpvma.org.tw</t>
        </is>
      </c>
      <c r="G5" s="113" t="inlineStr">
        <is>
          <t>02-2339-5679 · tvma@ms31.hinet.net</t>
        </is>
      </c>
      <c r="H5" s="113" t="inlineStr">
        <is>
          <t>C — SITE LIVE, NOT OPENED (phone and email carried from the Market Development list)</t>
        </is>
      </c>
      <c r="I5" s="113" t="inlineStr">
        <is>
          <t>Two uses: bulk-source more clinics, and sponsor continuing-education events where you meet dealers and clinicians in the same room.</t>
        </is>
      </c>
      <c r="J5" s="56" t="inlineStr">
        <is>
          <t>臺北市獸醫師公會 (TPVMA): CHISON veterinary ultrasound, sponsorship and education enquiry</t>
        </is>
      </c>
      <c r="K5" s="50" t="inlineStr">
        <is>
          <t>Dear 臺北市獸醫師公會 (TPVMA) team,
My name is Casper Tan, Senior Regional Sales Manager at AstraMed Healthcare, a subsidiary of CHISON Medical Technologies. I look after CHISON veterinary ultrasound in your market.
Your continuing-education programme reaches the Taipei clinicians who make first-scanner decisions, and hands-on ultrasound is one of the few topics that genuinely needs a room and a machine rather than a slide deck.
Would the association consider a hands-on veterinary ultrasound session, with equipment and a clinician-led format provided at no cost to members?
Kind regards,
Casper Tan
Senior Regional Sales Manager, AstraMed Healthcare
CHISON veterinary ultrasound (Singapore · Japan · South Korea · Taiwan)
casper@astramed.sg</t>
        </is>
      </c>
    </row>
    <row r="6" ht="120" customHeight="1" s="114">
      <c r="A6" s="113" t="n">
        <v>2</v>
      </c>
      <c r="B6" s="41" t="inlineStr">
        <is>
          <t>中華民國獸醫師公會全國聯合會</t>
        </is>
      </c>
      <c r="C6" s="113" t="inlineStr">
        <is>
          <t>Taiwan</t>
        </is>
      </c>
      <c r="D6" s="113" t="inlineStr">
        <is>
          <t>National veterinary association</t>
        </is>
      </c>
      <c r="E6" s="113" t="inlineStr">
        <is>
          <t>National continuing-education calendar and congress sponsorship routes.</t>
        </is>
      </c>
      <c r="F6" s="113" t="inlineStr">
        <is>
          <t>NOT CONFIRMED — search 中華民國獸醫師公會全國聯合會</t>
        </is>
      </c>
      <c r="G6" s="113" t="inlineStr">
        <is>
          <t>NOT CONFIRMED</t>
        </is>
      </c>
      <c r="H6" s="113" t="inlineStr">
        <is>
          <t>D — NOT VERIFIED (name only, carried from the Market Development list)</t>
        </is>
      </c>
      <c r="I6" s="113" t="inlineStr">
        <is>
          <t>Use for national congress sponsorship once the Taiwan import route is resolved.</t>
        </is>
      </c>
      <c r="J6" s="56" t="inlineStr">
        <is>
          <t>中華民國獸醫師公會全國聯合會: CHISON veterinary ultrasound, sponsorship and education enquiry</t>
        </is>
      </c>
      <c r="K6" s="50" t="inlineStr">
        <is>
          <t>Dear 中華民國獸醫師公會全國聯合會 team,
My name is Casper Tan, Senior Regional Sales Manager at AstraMed Healthcare, a subsidiary of CHISON Medical Technologies. I look after CHISON veterinary ultrasound in your market.
Hands-on imaging sessions are consistently among the best-attended items on a veterinary congress programme, and they are expensive for an association to equip alone.
Would you consider a sponsored hands-on ultrasound session on your national programme, with the equipment provided?
Kind regards,
Casper Tan
Senior Regional Sales Manager, AstraMed Healthcare
CHISON veterinary ultrasound (Singapore · Japan · South Korea · Taiwan)
casper@astramed.sg</t>
        </is>
      </c>
    </row>
    <row r="7" ht="120" customHeight="1" s="114">
      <c r="A7" s="113" t="n">
        <v>3</v>
      </c>
      <c r="B7" s="41" t="inlineStr">
        <is>
          <t>臺灣醫療暨生技器材工業同業公會 (TMBIA)</t>
        </is>
      </c>
      <c r="C7" s="113" t="inlineStr">
        <is>
          <t>Taiwan</t>
        </is>
      </c>
      <c r="D7" s="113" t="inlineStr">
        <is>
          <t>Industry association — member search</t>
        </is>
      </c>
      <c r="E7" s="113" t="inlineStr">
        <is>
          <t>A searchable member directory of Taiwanese medical and biotech equipment companies — the fastest route to more dealer candidates.</t>
        </is>
      </c>
      <c r="F7" s="47" t="inlineStr">
        <is>
          <t>https://www.tmbia.org.tw</t>
        </is>
      </c>
      <c r="G7" s="113" t="inlineStr">
        <is>
          <t>Member search on the site</t>
        </is>
      </c>
      <c r="H7" s="113" t="inlineStr">
        <is>
          <t>C — SITE LIVE, NOT OPENED (domain returned by search with real content; page not opened by us)</t>
        </is>
      </c>
      <c r="I7" s="113" t="inlineStr">
        <is>
          <t>Filter members for 動物 / 獸醫 and cross-check against the Taiwan Dealers tab before adding rows.</t>
        </is>
      </c>
      <c r="J7" s="50" t="n"/>
      <c r="K7" s="50" t="inlineStr">
        <is>
          <t>NO EMAIL — reference resource, not an outreach target. Use it as a data source.</t>
        </is>
      </c>
    </row>
    <row r="8" ht="120" customHeight="1" s="114">
      <c r="A8" s="113" t="n">
        <v>4</v>
      </c>
      <c r="B8" s="41" t="inlineStr">
        <is>
          <t>臺北市動物用藥品販賣業者名冊 (data.taipei)</t>
        </is>
      </c>
      <c r="C8" s="113" t="inlineStr">
        <is>
          <t>Taiwan</t>
        </is>
      </c>
      <c r="D8" s="113" t="inlineStr">
        <is>
          <t>Government licence register</t>
        </is>
      </c>
      <c r="E8" s="113" t="inlineStr">
        <is>
          <t>217 licensed animal-drug sellers in Taipei alone, downloadable. Tells you who is LICENSED, which is a much shorter and more useful list than who sells.</t>
        </is>
      </c>
      <c r="F8" s="47" t="inlineStr">
        <is>
          <t>https://data.taipei</t>
        </is>
      </c>
      <c r="G8" s="113" t="inlineStr">
        <is>
          <t>—</t>
        </is>
      </c>
      <c r="H8" s="113" t="inlineStr">
        <is>
          <t>C — SITE LIVE, NOT OPENED (domain returned by search with real content; page not opened by us)</t>
        </is>
      </c>
      <c r="I8" s="113" t="inlineStr">
        <is>
          <t>Download the dataset, then repeat with each county/city animal protection office (e.g. animal.taichung.gov.tw) to build regional dealer coverage. This is the single highest-yield unworked source for Taiwan.</t>
        </is>
      </c>
      <c r="J8" s="50" t="n"/>
      <c r="K8" s="50" t="inlineStr">
        <is>
          <t>NO EMAIL — reference resource, not an outreach target. Use it as a data source.</t>
        </is>
      </c>
    </row>
    <row r="9" ht="120" customHeight="1" s="114">
      <c r="A9" s="113" t="n">
        <v>5</v>
      </c>
      <c r="B9" s="41" t="inlineStr">
        <is>
          <t>動物用藥品許可證查詢 (amdrug.baphiq.gov.tw)</t>
        </is>
      </c>
      <c r="C9" s="113" t="inlineStr">
        <is>
          <t>Taiwan</t>
        </is>
      </c>
      <c r="D9" s="113" t="inlineStr">
        <is>
          <t>Government product licence database</t>
        </is>
      </c>
      <c r="E9" s="113" t="inlineStr">
        <is>
          <t>Veterinary product licence lookup — confirms what is licensed and who holds it.</t>
        </is>
      </c>
      <c r="F9" s="47" t="inlineStr">
        <is>
          <t>https://amdrug.baphiq.gov.tw</t>
        </is>
      </c>
      <c r="G9" s="113" t="inlineStr">
        <is>
          <t>—</t>
        </is>
      </c>
      <c r="H9" s="113" t="inlineStr">
        <is>
          <t>C — SITE LIVE, NOT OPENED (domain returned by search with real content; page not opened by us)</t>
        </is>
      </c>
      <c r="I9" s="113" t="inlineStr">
        <is>
          <t>Use to check whether any competitor's veterinary ultrasound already holds a Taiwanese registration.</t>
        </is>
      </c>
      <c r="J9" s="50" t="n"/>
      <c r="K9" s="50" t="inlineStr">
        <is>
          <t>NO EMAIL — reference resource, not an outreach target. Use it as a data source.</t>
        </is>
      </c>
    </row>
    <row r="10" ht="120" customHeight="1" s="114">
      <c r="A10" s="113" t="n">
        <v>6</v>
      </c>
      <c r="B10" s="41" t="inlineStr">
        <is>
          <t>國家動物保護資訊網 (animal.go.kr)</t>
        </is>
      </c>
      <c r="C10" s="113" t="inlineStr">
        <is>
          <t>South Korea</t>
        </is>
      </c>
      <c r="D10" s="113" t="inlineStr">
        <is>
          <t>Government registry</t>
        </is>
      </c>
      <c r="E10" s="113" t="inlineStr">
        <is>
          <t>The official national registry of every licensed animal hospital in Korea, filterable by region and size.</t>
        </is>
      </c>
      <c r="F10" s="47" t="inlineStr">
        <is>
          <t>https://www.animal.go.kr</t>
        </is>
      </c>
      <c r="G10" s="113" t="inlineStr">
        <is>
          <t>—</t>
        </is>
      </c>
      <c r="H10" s="113" t="inlineStr">
        <is>
          <t>C — SITE LIVE, NOT OPENED (domain returned by search with real content; page not opened by us)</t>
        </is>
      </c>
      <c r="I10" s="113" t="inlineStr">
        <is>
          <t>The master source for the Korea End Users tab. Extract Busan and Daegu 24-hour centres first — that gap is flagged as an open task on the Korea tab.</t>
        </is>
      </c>
      <c r="J10" s="50" t="n"/>
      <c r="K10" s="50" t="inlineStr">
        <is>
          <t>NO EMAIL — reference resource, not an outreach target. Use it as a data source.</t>
        </is>
      </c>
    </row>
    <row r="11" ht="120" customHeight="1" s="114">
      <c r="A11" s="113" t="n">
        <v>7</v>
      </c>
      <c r="B11" s="41" t="inlineStr">
        <is>
          <t>농림축산검역본부 (QIA — Animal and Plant Quarantine Agency)</t>
        </is>
      </c>
      <c r="C11" s="113" t="inlineStr">
        <is>
          <t>South Korea</t>
        </is>
      </c>
      <c r="D11" s="113" t="inlineStr">
        <is>
          <t>Regulator</t>
        </is>
      </c>
      <c r="E11" s="113" t="inlineStr">
        <is>
          <t>The veterinary device import business licence register, and the item-notification process. QIA, NOT MFDS — this is the gate that decides whether anything can ship into Korea.</t>
        </is>
      </c>
      <c r="F11" s="47" t="inlineStr">
        <is>
          <t>https://www.qia.go.kr</t>
        </is>
      </c>
      <c r="G11" s="113" t="inlineStr">
        <is>
          <t>—</t>
        </is>
      </c>
      <c r="H11" s="113" t="inlineStr">
        <is>
          <t>C — SITE LIVE, NOT OPENED (domain returned by search with real content; page not opened by us)</t>
        </is>
      </c>
      <c r="I11" s="113" t="inlineStr">
        <is>
          <t>Extract the list of firms already holding a QIA veterinary device import licence. Any dealer on that list can transact immediately; any dealer not on it adds months. This should drive Korean dealer prioritisation more than segment fit does.</t>
        </is>
      </c>
      <c r="J11" s="50" t="n"/>
      <c r="K11" s="50" t="inlineStr">
        <is>
          <t>NO EMAIL — reference resource, not an outreach target. Use it as a data source.</t>
        </is>
      </c>
    </row>
    <row r="12" ht="120" customHeight="1" s="114">
      <c r="A12" s="113" t="n">
        <v>8</v>
      </c>
      <c r="B12" s="41" t="inlineStr">
        <is>
          <t>데일리벳 (DailyVet)</t>
        </is>
      </c>
      <c r="C12" s="113" t="inlineStr">
        <is>
          <t>South Korea</t>
        </is>
      </c>
      <c r="D12" s="113" t="inlineStr">
        <is>
          <t>Veterinary trade media</t>
        </is>
      </c>
      <c r="E12" s="113" t="inlineStr">
        <is>
          <t>Every Korean veterinary product launch and distribution agreement is reported here — the best open source on who distributes what.</t>
        </is>
      </c>
      <c r="F12" s="47" t="inlineStr">
        <is>
          <t>https://www.dailyvet.co.kr</t>
        </is>
      </c>
      <c r="G12" s="113" t="inlineStr">
        <is>
          <t>—</t>
        </is>
      </c>
      <c r="H12" s="113" t="inlineStr">
        <is>
          <t>C — SITE LIVE, NOT OPENED (domain returned by search with real content; page not opened by us)</t>
        </is>
      </c>
      <c r="I12" s="113" t="inlineStr">
        <is>
          <t>Search the industry section for competitors' Korean distributors, then approach their sub-dealers, who are segment-experienced and usually unconflicted.</t>
        </is>
      </c>
      <c r="J12" s="50" t="n"/>
      <c r="K12" s="50" t="inlineStr">
        <is>
          <t>NO EMAIL — reference resource, not an outreach target. Use it as a data source.</t>
        </is>
      </c>
    </row>
    <row r="13" ht="120" customHeight="1" s="114">
      <c r="A13" s="113" t="n">
        <v>9</v>
      </c>
      <c r="B13" s="41" t="inlineStr">
        <is>
          <t>대한수의사회 (KVMA)</t>
        </is>
      </c>
      <c r="C13" s="113" t="inlineStr">
        <is>
          <t>South Korea</t>
        </is>
      </c>
      <c r="D13" s="113" t="inlineStr">
        <is>
          <t>National veterinary association</t>
        </is>
      </c>
      <c r="E13" s="113" t="inlineStr">
        <is>
          <t>National congress and continuing-education access.</t>
        </is>
      </c>
      <c r="F13" s="47" t="inlineStr">
        <is>
          <t>https://www.kvma.or.kr</t>
        </is>
      </c>
      <c r="G13" s="113" t="inlineStr">
        <is>
          <t>NOT CONFIRMED — via site</t>
        </is>
      </c>
      <c r="H13" s="113" t="inlineStr">
        <is>
          <t>C — SITE LIVE, NOT OPENED (domain returned by search with real content; page not opened by us)</t>
        </is>
      </c>
      <c r="I13" s="113" t="inlineStr">
        <is>
          <t>Congress sponsorship and dealer scouting in the same visit.</t>
        </is>
      </c>
      <c r="J13" s="56" t="inlineStr">
        <is>
          <t>대한수의사회 (KVMA): CHISON veterinary ultrasound, sponsorship and education enquiry</t>
        </is>
      </c>
      <c r="K13" s="50" t="inlineStr">
        <is>
          <t>Dear 대한수의사회 (KVMA) team,
My name is Casper Tan, Senior Regional Sales Manager at AstraMed Healthcare, a subsidiary of CHISON Medical Technologies. I look after CHISON veterinary ultrasound in your market.
Hands-on ultrasound sessions are among the hardest items for an association to equip and among the best attended once they run.
Would you consider a sponsored hands-on veterinary ultrasound session on your programme, with equipment provided at no cost?
Kind regards,
Casper Tan
Senior Regional Sales Manager, AstraMed Healthcare
CHISON veterinary ultrasound (Singapore · Japan · South Korea · Taiwan)
casper@astramed.sg</t>
        </is>
      </c>
    </row>
    <row r="14" ht="120" customHeight="1" s="114">
      <c r="A14" s="113" t="n">
        <v>10</v>
      </c>
      <c r="B14" s="41" t="inlineStr">
        <is>
          <t>서울시수의사회 / 서울수의임상컨퍼런스 (Seoul VMA / KVC)</t>
        </is>
      </c>
      <c r="C14" s="113" t="inlineStr">
        <is>
          <t>South Korea</t>
        </is>
      </c>
      <c r="D14" s="113" t="inlineStr">
        <is>
          <t>Metropolitan association + conference</t>
        </is>
      </c>
      <c r="E14" s="113" t="inlineStr">
        <is>
          <t>The main Seoul clinical conference — booth space and wet-lab demonstrations.</t>
        </is>
      </c>
      <c r="F14" s="113" t="inlineStr">
        <is>
          <t>NOT CONFIRMED — search 서울수의임상컨퍼런스</t>
        </is>
      </c>
      <c r="G14" s="113" t="inlineStr">
        <is>
          <t>NOT CONFIRMED</t>
        </is>
      </c>
      <c r="H14" s="113" t="inlineStr">
        <is>
          <t>D — NOT VERIFIED (name, city and domain carried from the Market Development list; page not opened by us)</t>
        </is>
      </c>
      <c r="I14" s="113" t="inlineStr">
        <is>
          <t>Wet-lab demonstrations convert better than booths for ultrasound. Plan for a wet lab, not a table.</t>
        </is>
      </c>
      <c r="J14" s="56" t="inlineStr">
        <is>
          <t>서울시수의사회 (Seoul VMA): CHISON veterinary ultrasound, sponsorship and education enquiry</t>
        </is>
      </c>
      <c r="K14" s="50" t="inlineStr">
        <is>
          <t>Dear 서울시수의사회 (Seoul VMA) team,
My name is Casper Tan, Senior Regional Sales Manager at AstraMed Healthcare, a subsidiary of CHISON Medical Technologies. I look after CHISON veterinary ultrasound in your market.
A wet lab with scanners in clinicians' hands teaches more in an hour than a lecture does in three, and it is the format ultrasound is actually judged in.
Would you consider a sponsored ultrasound wet lab at the conference, with equipment and instructors provided?
Kind regards,
Casper Tan
Senior Regional Sales Manager, AstraMed Healthcare
CHISON veterinary ultrasound (Singapore · Japan · South Korea · Taiwan)
casper@astramed.sg</t>
        </is>
      </c>
    </row>
    <row r="15" ht="120" customHeight="1" s="114">
      <c r="A15" s="113" t="n">
        <v>11</v>
      </c>
      <c r="B15" s="41" t="inlineStr">
        <is>
          <t>한국동물병원협회 (KAHA)</t>
        </is>
      </c>
      <c r="C15" s="113" t="inlineStr">
        <is>
          <t>South Korea</t>
        </is>
      </c>
      <c r="D15" s="113" t="inlineStr">
        <is>
          <t>Animal hospital association</t>
        </is>
      </c>
      <c r="E15" s="113" t="inlineStr">
        <is>
          <t>The hospital-owner network — the people who actually sign for equipment.</t>
        </is>
      </c>
      <c r="F15" s="47" t="inlineStr">
        <is>
          <t>https://www.kaha.or.kr</t>
        </is>
      </c>
      <c r="G15" s="113" t="inlineStr">
        <is>
          <t>NOT CONFIRMED — via site</t>
        </is>
      </c>
      <c r="H15" s="113" t="inlineStr">
        <is>
          <t>C — SITE LIVE, NOT OPENED (domain returned by search with real content; page not opened by us)</t>
        </is>
      </c>
      <c r="I15" s="113" t="inlineStr">
        <is>
          <t>Owner-level rather than clinician-level. Better for fleet and standardisation conversations.</t>
        </is>
      </c>
      <c r="J15" s="50" t="n"/>
      <c r="K15" s="50" t="inlineStr">
        <is>
          <t>NO EMAIL — reference resource, not an outreach target. Use it as a data source.</t>
        </is>
      </c>
    </row>
    <row r="16" ht="120" customHeight="1" s="114">
      <c r="A16" s="113" t="n">
        <v>12</v>
      </c>
      <c r="B16" s="41" t="inlineStr">
        <is>
          <t>한국수의영상의학연구회 (Korean veterinary imaging study group)</t>
        </is>
      </c>
      <c r="C16" s="113" t="inlineStr">
        <is>
          <t>South Korea</t>
        </is>
      </c>
      <c r="D16" s="113" t="inlineStr">
        <is>
          <t>Imaging KOL community</t>
        </is>
      </c>
      <c r="E16" s="113" t="inlineStr">
        <is>
          <t>The imaging-specialist community in Korea — the people whose opinion on an ultrasound actually carries.</t>
        </is>
      </c>
      <c r="F16" s="113" t="inlineStr">
        <is>
          <t>NOT CONFIRMED — search 수의영상의학연구회</t>
        </is>
      </c>
      <c r="G16" s="113" t="inlineStr">
        <is>
          <t>NOT CONFIRMED</t>
        </is>
      </c>
      <c r="H16" s="113" t="inlineStr">
        <is>
          <t>D — NOT VERIFIED (name, city and domain carried from the Market Development list; page not opened by us)</t>
        </is>
      </c>
      <c r="I16" s="113" t="inlineStr">
        <is>
          <t>The highest-value KOL community in Korea for this product line. Identify the active members and route evaluation placements through them.</t>
        </is>
      </c>
      <c r="J16" s="50" t="n"/>
      <c r="K16" s="50" t="inlineStr">
        <is>
          <t>NO EMAIL — reference resource, not an outreach target. Use it as a data source.</t>
        </is>
      </c>
    </row>
    <row r="17" ht="120" customHeight="1" s="114">
      <c r="A17" s="113" t="n">
        <v>13</v>
      </c>
      <c r="B17" s="41" t="inlineStr">
        <is>
          <t>한국임상수의학회 (Korean Society of Veterinary Clinics)</t>
        </is>
      </c>
      <c r="C17" s="113" t="inlineStr">
        <is>
          <t>South Korea</t>
        </is>
      </c>
      <c r="D17" s="113" t="inlineStr">
        <is>
          <t>Academic society</t>
        </is>
      </c>
      <c r="E17" s="113" t="inlineStr">
        <is>
          <t>Academic sessions where veterinary imaging work is presented.</t>
        </is>
      </c>
      <c r="F17" s="113" t="inlineStr">
        <is>
          <t>NOT CONFIRMED — search 한국임상수의학회</t>
        </is>
      </c>
      <c r="G17" s="113" t="inlineStr">
        <is>
          <t>NOT CONFIRMED</t>
        </is>
      </c>
      <c r="H17" s="113" t="inlineStr">
        <is>
          <t>D — NOT VERIFIED (name, city and domain carried from the Market Development list; page not opened by us)</t>
        </is>
      </c>
      <c r="I17" s="113" t="inlineStr">
        <is>
          <t>Route for co-authored clinical work from an evaluation placement.</t>
        </is>
      </c>
      <c r="J17" s="50" t="n"/>
      <c r="K17" s="50" t="inlineStr">
        <is>
          <t>NO EMAIL — reference resource, not an outreach target. Use it as a data source.</t>
        </is>
      </c>
    </row>
    <row r="18" ht="120" customHeight="1" s="114">
      <c r="A18" s="113" t="n">
        <v>14</v>
      </c>
      <c r="B18" s="41" t="inlineStr">
        <is>
          <t>日本動物病院協会 (JAHA)</t>
        </is>
      </c>
      <c r="C18" s="113" t="inlineStr">
        <is>
          <t>Japan</t>
        </is>
      </c>
      <c r="D18" s="113" t="inlineStr">
        <is>
          <t>Animal hospital association</t>
        </is>
      </c>
      <c r="E18" s="113" t="inlineStr">
        <is>
          <t>Hospital-owner network and continuing-education programme.</t>
        </is>
      </c>
      <c r="F18" s="47" t="inlineStr">
        <is>
          <t>https://www.jaha.or.jp</t>
        </is>
      </c>
      <c r="G18" s="113" t="inlineStr">
        <is>
          <t>NOT CONFIRMED — via site</t>
        </is>
      </c>
      <c r="H18" s="113" t="inlineStr">
        <is>
          <t>C — SITE LIVE, NOT OPENED (domain returned by search with real content; page not opened by us)</t>
        </is>
      </c>
      <c r="I18" s="113" t="inlineStr">
        <is>
          <t>Owner-level access and a route to identify the Tokyo 24-hour cluster.</t>
        </is>
      </c>
      <c r="J18" s="56" t="inlineStr">
        <is>
          <t>日本動物病院協会 (JAHA): CHISON veterinary ultrasound, sponsorship and education enquiry</t>
        </is>
      </c>
      <c r="K18" s="50" t="inlineStr">
        <is>
          <t>Dear 日本動物病院協会 (JAHA) team,
My name is Casper Tan, Senior Regional Sales Manager at AstraMed Healthcare, a subsidiary of CHISON Medical Technologies. I look after CHISON veterinary ultrasound in your market.
Hands-on imaging training is one of the few continuing-education formats that needs equipment in the room, and equipping it is the part associations usually have to fund themselves.
Would JAHA consider a sponsored hands-on veterinary ultrasound session, with equipment and instruction provided?
Kind regards,
Casper Tan
Senior Regional Sales Manager, AstraMed Healthcare
CHISON veterinary ultrasound (Singapore · Japan · South Korea · Taiwan)
casper@astramed.sg</t>
        </is>
      </c>
    </row>
    <row r="19" ht="120" customHeight="1" s="114">
      <c r="A19" s="113" t="n">
        <v>15</v>
      </c>
      <c r="B19" s="41" t="inlineStr">
        <is>
          <t>日本獣医師会 (JVMA)</t>
        </is>
      </c>
      <c r="C19" s="113" t="inlineStr">
        <is>
          <t>Japan</t>
        </is>
      </c>
      <c r="D19" s="113" t="inlineStr">
        <is>
          <t>National veterinary association</t>
        </is>
      </c>
      <c r="E19" s="113" t="inlineStr">
        <is>
          <t>National congress and endorsement routes.</t>
        </is>
      </c>
      <c r="F19" s="47" t="inlineStr">
        <is>
          <t>https://www.nichiju.or.jp</t>
        </is>
      </c>
      <c r="G19" s="113" t="inlineStr">
        <is>
          <t>NOT CONFIRMED — via site</t>
        </is>
      </c>
      <c r="H19" s="113" t="inlineStr">
        <is>
          <t>C — SITE LIVE, NOT OPENED (domain returned by search with real content; page not opened by us)</t>
        </is>
      </c>
      <c r="I19" s="113" t="inlineStr">
        <is>
          <t>National-level; slower than JAHA but broader.</t>
        </is>
      </c>
      <c r="J19" s="56" t="inlineStr">
        <is>
          <t>日本獣医師会 (JVMA): CHISON veterinary ultrasound, sponsorship and education enquiry</t>
        </is>
      </c>
      <c r="K19" s="50" t="inlineStr">
        <is>
          <t>Dear 日本獣医師会 (JVMA) team,
My name is Casper Tan, Senior Regional Sales Manager at AstraMed Healthcare, a subsidiary of CHISON Medical Technologies. I look after CHISON veterinary ultrasound in your market.
Practical imaging sessions are consistently well attended and expensive to equip.
Would you consider a sponsored hands-on veterinary ultrasound session on the national programme?
Kind regards,
Casper Tan
Senior Regional Sales Manager, AstraMed Healthcare
CHISON veterinary ultrasound (Singapore · Japan · South Korea · Taiwan)
casper@astramed.sg</t>
        </is>
      </c>
    </row>
    <row r="20" ht="120" customHeight="1" s="114">
      <c r="A20" s="113" t="n">
        <v>16</v>
      </c>
      <c r="B20" s="41" t="inlineStr">
        <is>
          <t>動物臨床医学会 年次大会</t>
        </is>
      </c>
      <c r="C20" s="113" t="inlineStr">
        <is>
          <t>Japan</t>
        </is>
      </c>
      <c r="D20" s="113" t="inlineStr">
        <is>
          <t>Largest clinical veterinary congress (Osaka)</t>
        </is>
      </c>
      <c r="E20" s="113" t="inlineStr">
        <is>
          <t>The biggest clinical gathering in Japan — booth, wet labs, and dealer scouting in one place.</t>
        </is>
      </c>
      <c r="F20" s="113" t="inlineStr">
        <is>
          <t>NOT CONFIRMED — search 動物臨床医学会</t>
        </is>
      </c>
      <c r="G20" s="113" t="inlineStr">
        <is>
          <t>NOT CONFIRMED</t>
        </is>
      </c>
      <c r="H20" s="113" t="inlineStr">
        <is>
          <t>D — NOT VERIFIED (name, city and domain carried from the Market Development list; page not opened by us)</t>
        </is>
      </c>
      <c r="I20" s="113" t="inlineStr">
        <is>
          <t>The single best Japanese event for meeting both clinicians and dealers. Plan a wet lab rather than a booth.</t>
        </is>
      </c>
      <c r="J20" s="56" t="inlineStr">
        <is>
          <t>動物臨床医学会: CHISON veterinary ultrasound, sponsorship and education enquiry</t>
        </is>
      </c>
      <c r="K20" s="50" t="inlineStr">
        <is>
          <t>Dear 動物臨床医学会 team,
My name is Casper Tan, Senior Regional Sales Manager at AstraMed Healthcare, a subsidiary of CHISON Medical Technologies. I look after CHISON veterinary ultrasound in your market.
A wet lab puts scanners in clinicians' hands, which is the only way ultrasound is meaningfully judged.
Would you consider a sponsored ultrasound wet lab at the annual congress, with equipment provided?
Kind regards,
Casper Tan
Senior Regional Sales Manager, AstraMed Healthcare
CHISON veterinary ultrasound (Singapore · Japan · South Korea · Taiwan)
casper@astramed.sg</t>
        </is>
      </c>
    </row>
    <row r="21" ht="120" customHeight="1" s="114">
      <c r="A21" s="113" t="n">
        <v>17</v>
      </c>
      <c r="B21" s="41" t="inlineStr">
        <is>
          <t>日本獣医画像診断学会 / 獣医画像診断コミュニティ</t>
        </is>
      </c>
      <c r="C21" s="113" t="inlineStr">
        <is>
          <t>Japan</t>
        </is>
      </c>
      <c r="D21" s="113" t="inlineStr">
        <is>
          <t>Imaging KOL community</t>
        </is>
      </c>
      <c r="E21" s="113" t="inlineStr">
        <is>
          <t>The Japanese veterinary imaging specialist community.</t>
        </is>
      </c>
      <c r="F21" s="113" t="inlineStr">
        <is>
          <t>NOT CONFIRMED — search 獣医画像診断</t>
        </is>
      </c>
      <c r="G21" s="113" t="inlineStr">
        <is>
          <t>NOT CONFIRMED</t>
        </is>
      </c>
      <c r="H21" s="113" t="inlineStr">
        <is>
          <t>D — NOT VERIFIED (name, city and domain carried from the Market Development list; page not opened by us)</t>
        </is>
      </c>
      <c r="I21" s="113" t="inlineStr">
        <is>
          <t>Highest-value KOL route in Japan. Identify active members before approaching academic hospitals cold.</t>
        </is>
      </c>
      <c r="J21" s="50" t="n"/>
      <c r="K21" s="50" t="inlineStr">
        <is>
          <t>NO EMAIL — reference resource, not an outreach target. Use it as a data source.</t>
        </is>
      </c>
    </row>
    <row r="22" ht="120" customHeight="1" s="114">
      <c r="A22" s="113" t="n">
        <v>18</v>
      </c>
      <c r="B22" s="41" t="inlineStr">
        <is>
          <t>インターペット (Interpets)</t>
        </is>
      </c>
      <c r="C22" s="113" t="inlineStr">
        <is>
          <t>Japan</t>
        </is>
      </c>
      <c r="D22" s="113" t="inlineStr">
        <is>
          <t>Pet industry exhibition</t>
        </is>
      </c>
      <c r="E22" s="113" t="inlineStr">
        <is>
          <t>Brand visibility and dealer scouting, though it is a consumer-weighted show.</t>
        </is>
      </c>
      <c r="F22" s="47" t="inlineStr">
        <is>
          <t>https://www.interpets.jp</t>
        </is>
      </c>
      <c r="G22" s="113" t="inlineStr">
        <is>
          <t>—</t>
        </is>
      </c>
      <c r="H22" s="113" t="inlineStr">
        <is>
          <t>C — SITE LIVE, NOT OPENED (domain returned by search with real content; page not opened by us)</t>
        </is>
      </c>
      <c r="I22" s="113" t="inlineStr">
        <is>
          <t>Lower priority than 動物臨床医学会 for a clinical product. Useful for meeting distributors.</t>
        </is>
      </c>
      <c r="J22" s="50" t="n"/>
      <c r="K22" s="50" t="inlineStr">
        <is>
          <t>NO EMAIL — reference resource, not an outreach target. Use it as a data source.</t>
        </is>
      </c>
    </row>
    <row r="23" ht="120" customHeight="1" s="114">
      <c r="A23" s="113" t="n">
        <v>19</v>
      </c>
      <c r="B23" s="41" t="inlineStr">
        <is>
          <t>動物病院開業コンサルタント (TPC / 船井総研 等)</t>
        </is>
      </c>
      <c r="C23" s="113" t="inlineStr">
        <is>
          <t>Japan</t>
        </is>
      </c>
      <c r="D23" s="113" t="inlineStr">
        <is>
          <t>Clinic-opening consultants</t>
        </is>
      </c>
      <c r="E23" s="113" t="inlineStr">
        <is>
          <t>New-build clinics arrive with an equipment budget and no incumbent supplier — the cleanest first-scanner opportunity there is.</t>
        </is>
      </c>
      <c r="F23" s="113" t="inlineStr">
        <is>
          <t>NOT CONFIRMED — search 動物病院 開業支援</t>
        </is>
      </c>
      <c r="G23" s="113" t="inlineStr">
        <is>
          <t>NOT CONFIRMED</t>
        </is>
      </c>
      <c r="H23" s="113" t="inlineStr">
        <is>
          <t>D — NOT VERIFIED (name, city and domain carried from the Market Development list; page not opened by us)</t>
        </is>
      </c>
      <c r="I23" s="113" t="inlineStr">
        <is>
          <t>Identify the consultancies, then ask to be on the recommended-equipment list. This is an unworked route worth more than several Tier 3 dealers.</t>
        </is>
      </c>
      <c r="J23" s="50" t="n"/>
      <c r="K23" s="50" t="inlineStr">
        <is>
          <t>NO EMAIL — reference resource, not an outreach target. Use it as a data source.</t>
        </is>
      </c>
    </row>
    <row r="24" ht="120" customHeight="1" s="114">
      <c r="A24" s="113" t="n">
        <v>20</v>
      </c>
      <c r="B24" s="41" t="inlineStr">
        <is>
          <t>アニコム損保 / アイペット損保 (pet insurers)</t>
        </is>
      </c>
      <c r="C24" s="113" t="inlineStr">
        <is>
          <t>Japan</t>
        </is>
      </c>
      <c r="D24" s="113" t="inlineStr">
        <is>
          <t>Insurer clinic networks</t>
        </is>
      </c>
      <c r="E24" s="113" t="inlineStr">
        <is>
          <t>Network data and a partnership angle; insurers know which clinics are growing.</t>
        </is>
      </c>
      <c r="F24" s="47" t="inlineStr">
        <is>
          <t>https://www.anicom-sompo.co.jp · https://www.ipet-ins.com</t>
        </is>
      </c>
      <c r="G24" s="113" t="inlineStr">
        <is>
          <t>NOT CONFIRMED</t>
        </is>
      </c>
      <c r="H24" s="113" t="inlineStr">
        <is>
          <t>C — SITE LIVE, NOT OPENED (domain returned by search with real content; page not opened by us)</t>
        </is>
      </c>
      <c r="I24" s="113" t="inlineStr">
        <is>
          <t>Intelligence source rather than a sales channel. Low priority.</t>
        </is>
      </c>
      <c r="J24" s="50" t="n"/>
      <c r="K24" s="50" t="inlineStr">
        <is>
          <t>NO EMAIL — reference resource, not an outreach target. Use it as a data source.</t>
        </is>
      </c>
    </row>
    <row r="25" ht="120" customHeight="1" s="114">
      <c r="A25" s="113" t="n">
        <v>21</v>
      </c>
      <c r="B25" s="41" t="inlineStr">
        <is>
          <t>競合他社の日本代理店・サブディーラー (competitor sub-dealers, JP)</t>
        </is>
      </c>
      <c r="C25" s="113" t="inlineStr">
        <is>
          <t>Japan</t>
        </is>
      </c>
      <c r="D25" s="113" t="inlineStr">
        <is>
          <t>Research task</t>
        </is>
      </c>
      <c r="E25" s="113" t="inlineStr">
        <is>
          <t>Mindray and Esaote's Japanese veterinary channels, and their regional sub-dealers.</t>
        </is>
      </c>
      <c r="F25" s="113" t="inlineStr">
        <is>
          <t>NOT CONFIRMED — identify via trade press and clinic references</t>
        </is>
      </c>
      <c r="G25" s="113" t="inlineStr">
        <is>
          <t>NOT CONFIRMED</t>
        </is>
      </c>
      <c r="H25" s="113" t="inlineStr">
        <is>
          <t>D — NOT VERIFIED (a research task, not an organisation)</t>
        </is>
      </c>
      <c r="I25" s="113" t="inlineStr">
        <is>
          <t>Sub-dealers of a competitor's importer are segment-experienced and usually unconflicted at the pocket tier. One of the highest-yield unworked routes in Japan.</t>
        </is>
      </c>
      <c r="J25" s="50" t="n"/>
      <c r="K25" s="50" t="inlineStr">
        <is>
          <t>NO EMAIL — reference resource, not an outreach target. Use it as a data source.</t>
        </is>
      </c>
    </row>
    <row r="26" ht="120" customHeight="1" s="114">
      <c r="A26" s="113" t="n">
        <v>22</v>
      </c>
      <c r="B26" s="113" t="inlineStr">
        <is>
          <t>IDEXX 및 검사 유통사의 서브딜러 (lab-diagnostics sub-dealers, KR)</t>
        </is>
      </c>
      <c r="C26" s="113" t="inlineStr">
        <is>
          <t>South Korea</t>
        </is>
      </c>
      <c r="D26" s="113" t="inlineStr">
        <is>
          <t>Research task</t>
        </is>
      </c>
      <c r="E26" s="113" t="inlineStr">
        <is>
          <t>Laboratory-diagnostics reps visit every clinic monthly — the densest existing coverage in the market.</t>
        </is>
      </c>
      <c r="F26" s="113" t="inlineStr">
        <is>
          <t>NOT CONFIRMED — identify via clinic references</t>
        </is>
      </c>
      <c r="G26" s="113" t="inlineStr">
        <is>
          <t>NOT CONFIRMED</t>
        </is>
      </c>
      <c r="H26" s="113" t="inlineStr">
        <is>
          <t>D — NOT VERIFIED (a research task, not an organisation)</t>
        </is>
      </c>
      <c r="I26" s="113" t="inlineStr">
        <is>
          <t>Co-sell rather than distribution: their reps are already in the room every month. Note IDEXX Taiwan is listed REF on the Taiwan Dealers tab — check the relationship before assuming it is open.</t>
        </is>
      </c>
      <c r="J26" s="50" t="n"/>
      <c r="K26" s="50" t="inlineStr">
        <is>
          <t>NO EMAIL — reference resource, not an outreach target. Use it as a data source.</t>
        </is>
      </c>
    </row>
    <row r="27" ht="120" customHeight="1" s="114">
      <c r="A27" s="113" t="n">
        <v>23</v>
      </c>
      <c r="B27" s="41" t="inlineStr">
        <is>
          <t>펫보험사 진료 네트워크 (pet insurer clinic networks, KR)</t>
        </is>
      </c>
      <c r="C27" s="113" t="inlineStr">
        <is>
          <t>South Korea</t>
        </is>
      </c>
      <c r="D27" s="113" t="inlineStr">
        <is>
          <t>Emerging channel</t>
        </is>
      </c>
      <c r="E27" s="113" t="inlineStr">
        <is>
          <t>Insurer-endorsed clinic networks — an emerging standardisation route in Korea.</t>
        </is>
      </c>
      <c r="F27" s="113" t="inlineStr">
        <is>
          <t>NOT CONFIRMED</t>
        </is>
      </c>
      <c r="G27" s="113" t="inlineStr">
        <is>
          <t>NOT CONFIRMED</t>
        </is>
      </c>
      <c r="H27" s="113" t="inlineStr">
        <is>
          <t>D — NOT VERIFIED (name, city and domain carried from the Market Development list; page not opened by us)</t>
        </is>
      </c>
      <c r="I27" s="113" t="inlineStr">
        <is>
          <t>Watch rather than work. Revisit once the QIA importer is appointed.</t>
        </is>
      </c>
      <c r="J27" s="50" t="n"/>
      <c r="K27" s="50" t="inlineStr">
        <is>
          <t>NO EMAIL — reference resource, not an outreach target. Use it as a data source.</t>
        </is>
      </c>
    </row>
    <row r="28" ht="120" customHeight="1" s="114">
      <c r="A28" s="113" t="n">
        <v>24</v>
      </c>
      <c r="B28" s="113" t="inlineStr">
        <is>
          <t>Singapore Veterinary Association (SVA)</t>
        </is>
      </c>
      <c r="C28" s="113" t="inlineStr">
        <is>
          <t>Singapore</t>
        </is>
      </c>
      <c r="D28" s="113" t="inlineStr">
        <is>
          <t>Professional association + clinic register</t>
        </is>
      </c>
      <c r="E28" s="113" t="inlineStr">
        <is>
          <t>The register that produced most of the Singapore End Users tab — about 90 centres with address, phone, website and often email. The edition held is May 2024.</t>
        </is>
      </c>
      <c r="F28" s="47" t="inlineStr">
        <is>
          <t>https://www.sva.org.sg/vet-centres</t>
        </is>
      </c>
      <c r="G28" s="113" t="inlineStr">
        <is>
          <t>NOT CONFIRMED — via sva.org.sg</t>
        </is>
      </c>
      <c r="H28" s="113" t="inlineStr">
        <is>
          <t>B — VERIFIED PARTIAL (register used as the source for the Singapore tab; May 2024 edition)</t>
        </is>
      </c>
      <c r="I28" s="113" t="inlineStr">
        <is>
          <t>Two jobs: refresh the register to a current edition (the phone numbers on the Singapore tab are from May 2024), and sponsor continuing education, where Singapore is the one market you can also sell in.</t>
        </is>
      </c>
      <c r="J28" s="50" t="inlineStr">
        <is>
          <t>Singapore Veterinary Association (SVA): CHISON veterinary ultrasound, sponsorship and education enquiry</t>
        </is>
      </c>
      <c r="K28" s="50" t="inlineStr">
        <is>
          <t>Dear Singapore Veterinary Association (SVA) team,
My name is Casper Tan, Senior Regional Sales Manager at AstraMed Healthcare, a subsidiary of CHISON Medical Technologies. I look after CHISON veterinary ultrasound in your market.
In Singapore we install, train and service locally, and hands on imaging training is the format that suits ultrasound best.
Would the association consider a hands-on veterinary ultrasound session for members, with equipment and instruction provided at no cost?
Kind regards,
Casper Tan
Senior Regional Sales Manager, AstraMed Healthcare
CHISON veterinary ultrasound (Singapore · Japan · South Korea · Taiwan)
casper@astramed.sg</t>
        </is>
      </c>
    </row>
    <row r="29" ht="120" customHeight="1" s="114">
      <c r="A29" s="113" t="n">
        <v>25</v>
      </c>
      <c r="B29" s="113" t="inlineStr">
        <is>
          <t>AVS / NParks public registry</t>
        </is>
      </c>
      <c r="C29" s="113" t="inlineStr">
        <is>
          <t>Singapore</t>
        </is>
      </c>
      <c r="D29" s="113" t="inlineStr">
        <is>
          <t>Government registry</t>
        </is>
      </c>
      <c r="E29" s="113" t="inlineStr">
        <is>
          <t>The authoritative list of licensed veterinary centres, and the body to get the written regulatory confirmation from.</t>
        </is>
      </c>
      <c r="F29" s="47" t="inlineStr">
        <is>
          <t>https://www.avs.nparks.gov.sg</t>
        </is>
      </c>
      <c r="G29" s="113" t="inlineStr">
        <is>
          <t>—</t>
        </is>
      </c>
      <c r="H29" s="113" t="inlineStr">
        <is>
          <t>C — SITE LIVE, NOT OPENED (domain returned by search with real content; page not opened by us)</t>
        </is>
      </c>
      <c r="I29" s="113" t="inlineStr">
        <is>
          <t>PRIORITY ACTION: obtain written AVS confirmation that animal-only ultrasound sits outside the Health Products Act device regime. Every Singapore sale rests on that position, and it is currently an absence of a published rule rather than a confirmation.</t>
        </is>
      </c>
      <c r="J29" s="50" t="n"/>
      <c r="K29" s="50" t="inlineStr">
        <is>
          <t>NO EMAIL — reference resource, not an outreach target. Use it as a data source.</t>
        </is>
      </c>
    </row>
    <row r="30"/>
    <row r="31" ht="14.25" customHeight="1" s="114">
      <c r="A31" s="10">
        <f>COUNTA(B5:B29)</f>
        <v/>
      </c>
      <c r="B31" s="10" t="inlineStr">
        <is>
          <t>Total resources on this tab</t>
        </is>
      </c>
    </row>
  </sheetData>
  <autoFilter ref="A4:K29"/>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5" r:id="rId9"/>
    <hyperlink xmlns:r="http://schemas.openxmlformats.org/officeDocument/2006/relationships" ref="F18" r:id="rId10"/>
    <hyperlink xmlns:r="http://schemas.openxmlformats.org/officeDocument/2006/relationships" ref="F19" r:id="rId11"/>
    <hyperlink xmlns:r="http://schemas.openxmlformats.org/officeDocument/2006/relationships" ref="F22" r:id="rId12"/>
    <hyperlink xmlns:r="http://schemas.openxmlformats.org/officeDocument/2006/relationships" ref="F24" r:id="rId13"/>
    <hyperlink xmlns:r="http://schemas.openxmlformats.org/officeDocument/2006/relationships" ref="F28" r:id="rId14"/>
    <hyperlink xmlns:r="http://schemas.openxmlformats.org/officeDocument/2006/relationships" ref="F29" r:id="rId15"/>
  </hyperlink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E50"/>
  <sheetViews>
    <sheetView zoomScaleNormal="100" workbookViewId="0">
      <pane ySplit="4" topLeftCell="A5" activePane="bottomLeft" state="frozen"/>
      <selection pane="bottomLeft" activeCell="A1" sqref="A1"/>
    </sheetView>
  </sheetViews>
  <sheetFormatPr baseColWidth="8" defaultColWidth="8.6640625" defaultRowHeight="14.4"/>
  <cols>
    <col width="14" customWidth="1" style="114" min="1" max="1"/>
    <col width="20" customWidth="1" style="114" min="2" max="2"/>
    <col width="62" customWidth="1" style="114" min="3" max="3"/>
    <col width="44" customWidth="1" style="114" min="4" max="4"/>
    <col width="78" customWidth="1" style="114" min="5" max="5"/>
  </cols>
  <sheetData>
    <row r="1" ht="18" customHeight="1" s="114">
      <c r="A1" s="16" t="inlineStr">
        <is>
          <t>SEARCH TERMS, REGISTRIES AND DIRECTORIES — find more dealers yourself</t>
        </is>
      </c>
    </row>
    <row r="2" ht="30" customHeight="1" s="114">
      <c r="A2" s="60" t="inlineStr">
        <is>
          <t>Local-language search strings first, then the official registries, then trade press and event exhibitor lists. The registries matter most: they tell you who is LICENSED to import, which is a much shorter list than who sells veterinary equipment.</t>
        </is>
      </c>
    </row>
    <row r="3"/>
    <row r="4" ht="31.5" customHeight="1" s="114">
      <c r="A4" s="61" t="inlineStr">
        <is>
          <t>Market</t>
        </is>
      </c>
      <c r="B4" s="61" t="inlineStr">
        <is>
          <t>Type</t>
        </is>
      </c>
      <c r="C4" s="61" t="inlineStr">
        <is>
          <t>What to use</t>
        </is>
      </c>
      <c r="D4" s="61" t="inlineStr">
        <is>
          <t>Where / URL</t>
        </is>
      </c>
      <c r="E4" s="61" t="inlineStr">
        <is>
          <t>What it gives you and how to work it</t>
        </is>
      </c>
    </row>
    <row r="5" ht="22.5" customHeight="1" s="114">
      <c r="A5" s="62" t="inlineStr">
        <is>
          <t>Japan</t>
        </is>
      </c>
      <c r="B5" s="63" t="inlineStr">
        <is>
          <t>Search string (JA)</t>
        </is>
      </c>
      <c r="C5" s="64" t="inlineStr">
        <is>
          <t>動物用医療機器 販売業 / 動物用医療機器 卸売</t>
        </is>
      </c>
      <c r="D5" s="63" t="inlineStr">
        <is>
          <t>Google.co.jp</t>
        </is>
      </c>
      <c r="E5" s="63" t="inlineStr">
        <is>
          <t>The legal category names. Japanese companies use these words in their corporate profile, so this returns the licensed sellers rather than the manufacturers.</t>
        </is>
      </c>
    </row>
    <row r="6" ht="22.5" customHeight="1" s="114">
      <c r="A6" s="63" t="inlineStr">
        <is>
          <t>Japan</t>
        </is>
      </c>
      <c r="B6" s="63" t="inlineStr">
        <is>
          <t>Search string (JA)</t>
        </is>
      </c>
      <c r="C6" s="64" t="inlineStr">
        <is>
          <t>動物医療 総合商社</t>
        </is>
      </c>
      <c r="D6" s="63" t="inlineStr">
        <is>
          <t>Google.co.jp</t>
        </is>
      </c>
      <c r="E6" s="63" t="inlineStr">
        <is>
          <t>'Veterinary total trading company' — this is the self-description used by exactly the dealer type you want. Arrow Medical and MUNATEX were both found this way.</t>
        </is>
      </c>
    </row>
    <row r="7" ht="22.5" customHeight="1" s="114">
      <c r="A7" s="63" t="inlineStr">
        <is>
          <t>Japan</t>
        </is>
      </c>
      <c r="B7" s="63" t="inlineStr">
        <is>
          <t>Search string (JA)</t>
        </is>
      </c>
      <c r="C7" s="64" t="inlineStr">
        <is>
          <t>動物病院 開業 医療機器 ディーラー</t>
        </is>
      </c>
      <c r="D7" s="63" t="inlineStr">
        <is>
          <t>Google.co.jp</t>
        </is>
      </c>
      <c r="E7" s="63" t="inlineStr">
        <is>
          <t>Finds the dealers who fit out new clinics. These are the highest-value recruits because they specify the whole equipment list before the vet has any brand loyalty.</t>
        </is>
      </c>
    </row>
    <row r="8" ht="14.25" customHeight="1" s="114">
      <c r="A8" s="63" t="inlineStr">
        <is>
          <t>Japan</t>
        </is>
      </c>
      <c r="B8" s="63" t="inlineStr">
        <is>
          <t>Search string (JA)</t>
        </is>
      </c>
      <c r="C8" s="64" t="inlineStr">
        <is>
          <t>動物用超音波診断装置 代理店 / 販売代理店 募集</t>
        </is>
      </c>
      <c r="D8" s="63" t="inlineStr">
        <is>
          <t>Google.co.jp</t>
        </is>
      </c>
      <c r="E8" s="63" t="inlineStr">
        <is>
          <t>'Agent wanted' phrasing surfaces companies actively looking for new lines to carry.</t>
        </is>
      </c>
    </row>
    <row r="9" ht="22.5" customHeight="1" s="114">
      <c r="A9" s="63" t="inlineStr">
        <is>
          <t>Japan</t>
        </is>
      </c>
      <c r="B9" s="63" t="inlineStr">
        <is>
          <t>Search string (JA)</t>
        </is>
      </c>
      <c r="C9" s="64" t="inlineStr">
        <is>
          <t>動物病院向け 画像診断 X線 内視鏡 取扱</t>
        </is>
      </c>
      <c r="D9" s="63" t="inlineStr">
        <is>
          <t>Google.co.jp</t>
        </is>
      </c>
      <c r="E9" s="63" t="inlineStr">
        <is>
          <t>Adjacent-imaging dealers who carry X-ray or endoscopy but not ultrasound — no brand conflict, exactly the profile to recruit.</t>
        </is>
      </c>
    </row>
    <row r="10" ht="22.5" customHeight="1" s="114">
      <c r="A10" s="63" t="inlineStr">
        <is>
          <t>Japan</t>
        </is>
      </c>
      <c r="B10" s="63" t="inlineStr">
        <is>
          <t>Directory</t>
        </is>
      </c>
      <c r="C10" s="63" t="inlineStr">
        <is>
          <t>Baseconnect company lists — 動物用医療機器販売 / 卸売 / 製造</t>
        </is>
      </c>
      <c r="D10" s="63" t="inlineStr">
        <is>
          <t>baseconnect.in (search the keyword pages)</t>
        </is>
      </c>
      <c r="E10" s="63" t="inlineStr">
        <is>
          <t>National company registers filterable by that exact business category, with company size and location. The fastest way to go from ~20 names to ~200.</t>
        </is>
      </c>
    </row>
    <row r="11" ht="22.5" customHeight="1" s="114">
      <c r="A11" s="63" t="inlineStr">
        <is>
          <t>Japan</t>
        </is>
      </c>
      <c r="B11" s="63" t="inlineStr">
        <is>
          <t>Directory</t>
        </is>
      </c>
      <c r="C11" s="63" t="inlineStr">
        <is>
          <t>FEED VET maker index</t>
        </is>
      </c>
      <c r="D11" s="63" t="inlineStr">
        <is>
          <t>vet.feed.jp/maker/</t>
        </is>
      </c>
      <c r="E11" s="63" t="inlineStr">
        <is>
          <t>Veterinary supply portal indexed by manufacturer/supplier. Each maker page shows what they actually supply — quick way to sort ultrasound-carriers from non-carriers.</t>
        </is>
      </c>
    </row>
    <row r="12" ht="22.5" customHeight="1" s="114">
      <c r="A12" s="63" t="inlineStr">
        <is>
          <t>Japan</t>
        </is>
      </c>
      <c r="B12" s="63" t="inlineStr">
        <is>
          <t>Directory</t>
        </is>
      </c>
      <c r="C12" s="63" t="inlineStr">
        <is>
          <t>Medical Space maker index</t>
        </is>
      </c>
      <c r="D12" s="63" t="inlineStr">
        <is>
          <t>medical-space.co.jp/products-manufacturer/</t>
        </is>
      </c>
      <c r="E12" s="63" t="inlineStr">
        <is>
          <t>A working dealer's own line card, ~110 suppliers with SKU counts. Half the Japan tab on this workbook came from this one page. Read the SKU count as a proxy for how important each supplier is to them.</t>
        </is>
      </c>
    </row>
    <row r="13" ht="22.5" customHeight="1" s="114">
      <c r="A13" s="63" t="inlineStr">
        <is>
          <t>Japan</t>
        </is>
      </c>
      <c r="B13" s="63" t="inlineStr">
        <is>
          <t>Registry</t>
        </is>
      </c>
      <c r="C13" s="63" t="inlineStr">
        <is>
          <t>MAFF NVAL — 動物医薬品検査所, manufacture/sale notification lists</t>
        </is>
      </c>
      <c r="D13" s="63" t="inlineStr">
        <is>
          <t>maff.go.jp/nval/iyakutou/iryoukiki/</t>
        </is>
      </c>
      <c r="E13" s="63" t="inlineStr">
        <is>
          <t>The regulator's own pages on veterinary device marketing notification. Confirms both who is licensed and what CHISON's own filing route looks like.</t>
        </is>
      </c>
    </row>
    <row r="14" ht="22.5" customHeight="1" s="114">
      <c r="A14" s="63" t="inlineStr">
        <is>
          <t>Japan</t>
        </is>
      </c>
      <c r="B14" s="63" t="inlineStr">
        <is>
          <t>Association</t>
        </is>
      </c>
      <c r="C14" s="64" t="inlineStr">
        <is>
          <t>一般社団法人 日本動物医療振興会 (JAMO) member list</t>
        </is>
      </c>
      <c r="D14" s="63" t="inlineStr">
        <is>
          <t>jamo.or.jp/member/</t>
        </is>
      </c>
      <c r="E14" s="63" t="inlineStr">
        <is>
          <t>Industry body member roster — a curated list of companies serious enough to pay dues. (The page did not render for us; open it in a browser.)</t>
        </is>
      </c>
    </row>
    <row r="15" ht="22.5" customHeight="1" s="114">
      <c r="A15" s="63" t="inlineStr">
        <is>
          <t>Japan</t>
        </is>
      </c>
      <c r="B15" s="63" t="inlineStr">
        <is>
          <t>Event</t>
        </is>
      </c>
      <c r="C15" s="63" t="inlineStr">
        <is>
          <t>JBVP annual congress · 日本獣医麻酔外科学会 (JSVAS) · JCVIM · Interpets</t>
        </is>
      </c>
      <c r="D15" s="63" t="inlineStr">
        <is>
          <t>Congress exhibitor lists</t>
        </is>
      </c>
      <c r="E15" s="63" t="inlineStr">
        <is>
          <t>The exhibitor list of any Japanese vet congress IS a pre-qualified dealer list, with booth size as a proxy for scale. Arrow Medical exhibits at JSVAS.</t>
        </is>
      </c>
    </row>
    <row r="16" ht="22.5" customHeight="1" s="114">
      <c r="A16" s="62" t="inlineStr">
        <is>
          <t>South Korea</t>
        </is>
      </c>
      <c r="B16" s="63" t="inlineStr">
        <is>
          <t>Search string (KO)</t>
        </is>
      </c>
      <c r="C16" s="64" t="inlineStr">
        <is>
          <t>동물용의료기기 수입업 허가</t>
        </is>
      </c>
      <c r="D16" s="63" t="inlineStr">
        <is>
          <t>Google.co.kr / Naver</t>
        </is>
      </c>
      <c r="E16" s="63" t="inlineStr">
        <is>
          <t>The exact licence category. Veterinary devices in Korea are licensed by QIA, not MFDS — searching the MFDS term will send you to the wrong companies entirely.</t>
        </is>
      </c>
    </row>
    <row r="17" ht="22.5" customHeight="1" s="114">
      <c r="A17" s="63" t="inlineStr">
        <is>
          <t>South Korea</t>
        </is>
      </c>
      <c r="B17" s="63" t="inlineStr">
        <is>
          <t>Search string (KO)</t>
        </is>
      </c>
      <c r="C17" s="64" t="inlineStr">
        <is>
          <t>동물병원 의료기기 총판 / 공식 수입원</t>
        </is>
      </c>
      <c r="D17" s="63" t="inlineStr">
        <is>
          <t>Naver</t>
        </is>
      </c>
      <c r="E17" s="63" t="inlineStr">
        <is>
          <t>'Sole distributor' and 'official importer' phrasing. Naver indexes Korean corporate blogs far better than Google does — use Naver first for Korea.</t>
        </is>
      </c>
    </row>
    <row r="18" ht="22.5" customHeight="1" s="114">
      <c r="A18" s="63" t="inlineStr">
        <is>
          <t>South Korea</t>
        </is>
      </c>
      <c r="B18" s="63" t="inlineStr">
        <is>
          <t>Search string (KO)</t>
        </is>
      </c>
      <c r="C18" s="64" t="inlineStr">
        <is>
          <t>동물병원 개원 장비 패키지</t>
        </is>
      </c>
      <c r="D18" s="63" t="inlineStr">
        <is>
          <t>Naver</t>
        </is>
      </c>
      <c r="E18" s="63" t="inlineStr">
        <is>
          <t>Clinic-opening equipment packages — finds the dealers who bundle X-ray, anaesthesia and ultrasound for a new practice.</t>
        </is>
      </c>
    </row>
    <row r="19" ht="14.25" customHeight="1" s="114">
      <c r="A19" s="63" t="inlineStr">
        <is>
          <t>South Korea</t>
        </is>
      </c>
      <c r="B19" s="63" t="inlineStr">
        <is>
          <t>Search string (KO)</t>
        </is>
      </c>
      <c r="C19" s="64" t="inlineStr">
        <is>
          <t>수의영상 장비 / 동물용 초음파 판매</t>
        </is>
      </c>
      <c r="D19" s="63" t="inlineStr">
        <is>
          <t>Naver</t>
        </is>
      </c>
      <c r="E19" s="63" t="inlineStr">
        <is>
          <t>Veterinary imaging equipment. Cross-check every hit against the QIA licence list before contacting.</t>
        </is>
      </c>
    </row>
    <row r="20" ht="34.5" customHeight="1" s="114">
      <c r="A20" s="63" t="inlineStr">
        <is>
          <t>South Korea</t>
        </is>
      </c>
      <c r="B20" s="63" t="inlineStr">
        <is>
          <t>Registry</t>
        </is>
      </c>
      <c r="C20" s="63" t="inlineStr">
        <is>
          <t>QIA (농림축산검역본부) — 동물용의료기기 업허가 및 품목등록 현황</t>
        </is>
      </c>
      <c r="D20" s="63" t="inlineStr">
        <is>
          <t>qia.go.kr → 동물방역 → 질병진단 → 동물용의료기기 정보</t>
        </is>
      </c>
      <c r="E20" s="63" t="inlineStr">
        <is>
          <t>THE key document. A periodically published table of every licensed veterinary device manufacturer and IMPORTER plus their registered items. This is how you confirm a prospective Korean partner can legally import for you — and it is the list the Engagement rules sheet says to extract.</t>
        </is>
      </c>
    </row>
    <row r="21" ht="22.5" customHeight="1" s="114">
      <c r="A21" s="63" t="inlineStr">
        <is>
          <t>South Korea</t>
        </is>
      </c>
      <c r="B21" s="63" t="inlineStr">
        <is>
          <t>Registry</t>
        </is>
      </c>
      <c r="C21" s="64" t="inlineStr">
        <is>
          <t>공공데이터포털 — 동물용의료용구판매업 dataset</t>
        </is>
      </c>
      <c r="D21" s="63" t="inlineStr">
        <is>
          <t>data.go.kr/data/15045052/fileData.do</t>
        </is>
      </c>
      <c r="E21" s="63" t="inlineStr">
        <is>
          <t>Downloadable government dataset of veterinary device SELLING businesses: licence date, operating status, business name, address. Filter by 'operating' and by city to build a territory-by-territory call list.</t>
        </is>
      </c>
    </row>
    <row r="22" ht="34.5" customHeight="1" s="114">
      <c r="A22" s="63" t="inlineStr">
        <is>
          <t>South Korea</t>
        </is>
      </c>
      <c r="B22" s="63" t="inlineStr">
        <is>
          <t>Trade press</t>
        </is>
      </c>
      <c r="C22" s="64" t="inlineStr">
        <is>
          <t>데일리벳 (Dailyvet) — industry section</t>
        </is>
      </c>
      <c r="D22" s="63" t="inlineStr">
        <is>
          <t>dailyvet.co.kr/news/industry</t>
        </is>
      </c>
      <c r="E22" s="63" t="inlineStr">
        <is>
          <t>The Korean veterinary trade paper. Every equipment launch, distribution agreement and seminar is reported here. Woorien, Mediray, ProVet, COVET and Aurebio all came off this source. Set a standing search.</t>
        </is>
      </c>
    </row>
    <row r="23" ht="22.5" customHeight="1" s="114">
      <c r="A23" s="63" t="inlineStr">
        <is>
          <t>South Korea</t>
        </is>
      </c>
      <c r="B23" s="63" t="inlineStr">
        <is>
          <t>Association / event</t>
        </is>
      </c>
      <c r="C23" s="64" t="inlineStr">
        <is>
          <t>한국동물병원협회 (KAHA) · KIMES · Seoul Veterinary Conference</t>
        </is>
      </c>
      <c r="D23" s="63" t="inlineStr">
        <is>
          <t>Association member and exhibitor lists</t>
        </is>
      </c>
      <c r="E23" s="63" t="inlineStr">
        <is>
          <t>KAHA has an equipment education agreement with GE HealthCare Korea — which tells you both who the incumbents are and where the education-led selling happens.</t>
        </is>
      </c>
    </row>
    <row r="24" ht="14.25" customHeight="1" s="114">
      <c r="A24" s="62" t="inlineStr">
        <is>
          <t>Taiwan</t>
        </is>
      </c>
      <c r="B24" s="63" t="inlineStr">
        <is>
          <t>Search string (ZH)</t>
        </is>
      </c>
      <c r="C24" s="64" t="inlineStr">
        <is>
          <t>動物醫院 醫療器材 代理商</t>
        </is>
      </c>
      <c r="D24" s="63" t="inlineStr">
        <is>
          <t>Google.com.tw</t>
        </is>
      </c>
      <c r="E24" s="63" t="inlineStr">
        <is>
          <t>The core phrase. Returns the vet dealer set directly.</t>
        </is>
      </c>
    </row>
    <row r="25" ht="14.25" customHeight="1" s="114">
      <c r="A25" s="63" t="inlineStr">
        <is>
          <t>Taiwan</t>
        </is>
      </c>
      <c r="B25" s="63" t="inlineStr">
        <is>
          <t>Search string (ZH)</t>
        </is>
      </c>
      <c r="C25" s="64" t="inlineStr">
        <is>
          <t>寵物醫療設備 進口 經銷 / 獸醫 儀器 公司</t>
        </is>
      </c>
      <c r="D25" s="63" t="inlineStr">
        <is>
          <t>Google.com.tw</t>
        </is>
      </c>
      <c r="E25" s="63" t="inlineStr">
        <is>
          <t>Import-and-distribute phrasing; catches the trading companies as well as the equipment houses.</t>
        </is>
      </c>
    </row>
    <row r="26" ht="22.5" customHeight="1" s="114">
      <c r="A26" s="63" t="inlineStr">
        <is>
          <t>Taiwan</t>
        </is>
      </c>
      <c r="B26" s="63" t="inlineStr">
        <is>
          <t>Search string (ZH)</t>
        </is>
      </c>
      <c r="C26" s="64" t="inlineStr">
        <is>
          <t>動物用超音波 代理 + 台中 / 高雄 / 台南</t>
        </is>
      </c>
      <c r="D26" s="63" t="inlineStr">
        <is>
          <t>Google.com.tw</t>
        </is>
      </c>
      <c r="E26" s="63" t="inlineStr">
        <is>
          <t>Add the city. Taiwanese vet dealers are strongly regional — a Taipei search will hide the central and southern players entirely.</t>
        </is>
      </c>
    </row>
    <row r="27" ht="14.25" customHeight="1" s="114">
      <c r="A27" s="63" t="inlineStr">
        <is>
          <t>Taiwan</t>
        </is>
      </c>
      <c r="B27" s="63" t="inlineStr">
        <is>
          <t>Search string (ZH)</t>
        </is>
      </c>
      <c r="C27" s="64" t="inlineStr">
        <is>
          <t>動物醫院 開業 規劃 設備</t>
        </is>
      </c>
      <c r="D27" s="63" t="inlineStr">
        <is>
          <t>Google.com.tw</t>
        </is>
      </c>
      <c r="E27" s="63" t="inlineStr">
        <is>
          <t>Clinic-opening planners — Shine Kochi was found this way.</t>
        </is>
      </c>
    </row>
    <row r="28" ht="14.25" customHeight="1" s="114">
      <c r="A28" s="63" t="inlineStr">
        <is>
          <t>Taiwan</t>
        </is>
      </c>
      <c r="B28" s="63" t="inlineStr">
        <is>
          <t>Registry</t>
        </is>
      </c>
      <c r="C28" s="64" t="inlineStr">
        <is>
          <t>動物產業資源資料庫 — company list</t>
        </is>
      </c>
      <c r="D28" s="63" t="inlineStr">
        <is>
          <t>m9.nvri.gov.tw/Home/CompanyList</t>
        </is>
      </c>
      <c r="E28" s="63" t="inlineStr">
        <is>
          <t>Government animal-industry resource database with a browsable company register. Official and free.</t>
        </is>
      </c>
    </row>
    <row r="29" ht="22.5" customHeight="1" s="114">
      <c r="A29" s="63" t="inlineStr">
        <is>
          <t>Taiwan</t>
        </is>
      </c>
      <c r="B29" s="63" t="inlineStr">
        <is>
          <t>Registry</t>
        </is>
      </c>
      <c r="C29" s="63" t="inlineStr">
        <is>
          <t>TFDA 醫療器材許可證資料庫</t>
        </is>
      </c>
      <c r="D29" s="63" t="inlineStr">
        <is>
          <t>info.fda.gov.tw</t>
        </is>
      </c>
      <c r="E29" s="63" t="inlineStr">
        <is>
          <t>Device licence database. Search a competitor's product name to reveal which Taiwanese entity holds their licence — that entity is a qualified importer with proven capability.</t>
        </is>
      </c>
    </row>
    <row r="30" ht="22.5" customHeight="1" s="114">
      <c r="A30" s="63" t="inlineStr">
        <is>
          <t>Taiwan</t>
        </is>
      </c>
      <c r="B30" s="63" t="inlineStr">
        <is>
          <t>Directory</t>
        </is>
      </c>
      <c r="C30" s="64" t="inlineStr">
        <is>
          <t>台灣醫療暨生技器材工業同業公會 (TMBIA) 廠商查詢</t>
        </is>
      </c>
      <c r="D30" s="63" t="inlineStr">
        <is>
          <t>tmbia.org.tw/member.php</t>
        </is>
      </c>
      <c r="E30" s="63" t="inlineStr">
        <is>
          <t>Industry association member search. Broader than vet, which is the point — human-side dealers with no vet ultrasound line are the lowest-conflict recruits.</t>
        </is>
      </c>
    </row>
    <row r="31" ht="22.5" customHeight="1" s="114">
      <c r="A31" s="63" t="inlineStr">
        <is>
          <t>Taiwan</t>
        </is>
      </c>
      <c r="B31" s="63" t="inlineStr">
        <is>
          <t>Platform</t>
        </is>
      </c>
      <c r="C31" s="63" t="inlineStr">
        <is>
          <t>ivetmall supplier onboarding ('廠商進駐') · AHOSS</t>
        </is>
      </c>
      <c r="D31" s="63" t="inlineStr">
        <is>
          <t>ivetmall.com · ahoss.com.tw</t>
        </is>
      </c>
      <c r="E31" s="63" t="inlineStr">
        <is>
          <t>Both platforms openly invite suppliers to list. Listing is the cheapest possible Taiwanese market entry and generates enquiries a future exclusive distributor inherits.</t>
        </is>
      </c>
    </row>
    <row r="32" ht="22.5" customHeight="1" s="114">
      <c r="A32" s="63" t="inlineStr">
        <is>
          <t>Taiwan</t>
        </is>
      </c>
      <c r="B32" s="63" t="inlineStr">
        <is>
          <t>Job boards</t>
        </is>
      </c>
      <c r="C32" s="63" t="inlineStr">
        <is>
          <t>1111 / 104 filtered to 醫療器材 + 寵物 / 動物</t>
        </is>
      </c>
      <c r="D32" s="63" t="inlineStr">
        <is>
          <t>1111.com.tw · 104.com.tw</t>
        </is>
      </c>
      <c r="E32" s="63" t="inlineStr">
        <is>
          <t>Underused. A company hiring veterinary equipment sales staff is a company expanding its vet business — and the job ad names the product lines they carry.</t>
        </is>
      </c>
    </row>
    <row r="33" ht="14.25" customHeight="1" s="114">
      <c r="A33" s="63" t="inlineStr">
        <is>
          <t>Taiwan</t>
        </is>
      </c>
      <c r="B33" s="63" t="inlineStr">
        <is>
          <t>Event</t>
        </is>
      </c>
      <c r="C33" s="63" t="inlineStr">
        <is>
          <t>FASAVA · TVMA congress · Taipei Pet Show exhibitor lists</t>
        </is>
      </c>
      <c r="D33" s="63" t="inlineStr">
        <is>
          <t>Congress exhibitor lists</t>
        </is>
      </c>
      <c r="E33" s="63" t="inlineStr">
        <is>
          <t>SOARMED states it exhibits at FASAVA and WSAVA every year. Work the exhibitor list, not the aisles.</t>
        </is>
      </c>
    </row>
    <row r="34" ht="34.5" customHeight="1" s="114">
      <c r="A34" s="63" t="inlineStr">
        <is>
          <t>Taiwan</t>
        </is>
      </c>
      <c r="B34" s="63" t="inlineStr">
        <is>
          <t>REGISTRY — best single source</t>
        </is>
      </c>
      <c r="C34" s="64" t="inlineStr">
        <is>
          <t>臺北市動物用藥品販賣業者名冊 (Taipei licensed animal-drug sellers)</t>
        </is>
      </c>
      <c r="D34" s="63" t="inlineStr">
        <is>
          <t>data.taipei/dataset/detail?id=9100b52e-f939-492f-9a8f-ba0adbd304ce</t>
        </is>
      </c>
      <c r="E34" s="63" t="inlineStr">
        <is>
          <t>217 licensed businesses as at 30 Jan 2024, in Taipei alone, with company name and address — downloadable. This is the largest single pool of qualified Taiwanese channel candidates found anywhere in this research. Every company on it is licensed to sell animal products, which is the hard filter.</t>
        </is>
      </c>
    </row>
    <row r="35" ht="22.5" customHeight="1" s="114">
      <c r="A35" s="63" t="inlineStr">
        <is>
          <t>Taiwan</t>
        </is>
      </c>
      <c r="B35" s="63" t="inlineStr">
        <is>
          <t>Registry</t>
        </is>
      </c>
      <c r="C35" s="64" t="inlineStr">
        <is>
          <t>臺中市動物用藥品販賣業名冊 (Taichung equivalent)</t>
        </is>
      </c>
      <c r="D35" s="63" t="inlineStr">
        <is>
          <t>animal.taichung.gov.tw</t>
        </is>
      </c>
      <c r="E35" s="63" t="inlineStr">
        <is>
          <t>The Taichung city version of the same register. Each county and city animal protection office publishes its own — work through them to cover the island systematically rather than by search engine.</t>
        </is>
      </c>
    </row>
    <row r="36" ht="22.5" customHeight="1" s="114">
      <c r="A36" s="63" t="inlineStr">
        <is>
          <t>Taiwan</t>
        </is>
      </c>
      <c r="B36" s="63" t="inlineStr">
        <is>
          <t>Registry</t>
        </is>
      </c>
      <c r="C36" s="64" t="inlineStr">
        <is>
          <t>動物用藥品許可證查詢 / 動物用藥品一般民眾查詢</t>
        </is>
      </c>
      <c r="D36" s="63" t="inlineStr">
        <is>
          <t>amdrug.baphiq.gov.tw/Animal/AMItem4.aspx · beingservice.nvri.gov.tw</t>
        </is>
      </c>
      <c r="E36" s="63" t="inlineStr">
        <is>
          <t>National animal-product licence databases. Search a competitor or a product category to reveal which Taiwanese entity holds the licence — that entity is a qualified importer with proven capability.</t>
        </is>
      </c>
    </row>
    <row r="37" ht="22.5" customHeight="1" s="114">
      <c r="A37" s="63" t="inlineStr">
        <is>
          <t>Taiwan</t>
        </is>
      </c>
      <c r="B37" s="63" t="inlineStr">
        <is>
          <t>Event directory</t>
        </is>
      </c>
      <c r="C37" s="63" t="inlineStr">
        <is>
          <t>Medical Taiwan — 寵物醫療用品 (pet medical products) exhibitor list</t>
        </is>
      </c>
      <c r="D37" s="63" t="inlineStr">
        <is>
          <t>medicaltaiwan.com.tw/zh-tw/exhibitor/ → show-area 寵物醫療用品</t>
        </is>
      </c>
      <c r="E37" s="63" t="inlineStr">
        <is>
          <t>Taiwan's international medical and healthcare exhibition runs a dedicated pet-medical show area. The exhibitor list for that area is a pre-qualified list of companies that have paid to sell veterinary product.</t>
        </is>
      </c>
    </row>
    <row r="38" ht="22.5" customHeight="1" s="114">
      <c r="A38" s="63" t="inlineStr">
        <is>
          <t>Taiwan</t>
        </is>
      </c>
      <c r="B38" s="63" t="inlineStr">
        <is>
          <t>Directory</t>
        </is>
      </c>
      <c r="C38" s="63" t="inlineStr">
        <is>
          <t>TW17 台灣儀器網 醫療器材 廠商名錄 · 雅瑪黃頁 (yamab2b)</t>
        </is>
      </c>
      <c r="D38" s="63" t="inlineStr">
        <is>
          <t>tw17.com.tw · yamab2b.com</t>
        </is>
      </c>
      <c r="E38" s="63" t="inlineStr">
        <is>
          <t>Instrument and B2B directories. Broader and lower quality than the government registers, but they surface smaller regional dealers that do not rank on Google.</t>
        </is>
      </c>
    </row>
    <row r="39" ht="22.5" customHeight="1" s="114">
      <c r="A39" s="62" t="inlineStr">
        <is>
          <t>South Korea</t>
        </is>
      </c>
      <c r="B39" s="63" t="inlineStr">
        <is>
          <t>Directory</t>
        </is>
      </c>
      <c r="C39" s="63" t="inlineStr">
        <is>
          <t>Komachine supplier profiles</t>
        </is>
      </c>
      <c r="D39" s="63" t="inlineStr">
        <is>
          <t>komachine.com/ko/companies/</t>
        </is>
      </c>
      <c r="E39" s="63" t="inlineStr">
        <is>
          <t>Korean industrial and medical equipment supplier directory with company profiles and product listings. Genoray and ECORAY were both confirmed through it.</t>
        </is>
      </c>
    </row>
    <row r="40" ht="34.5" customHeight="1" s="114">
      <c r="A40" s="63" t="inlineStr">
        <is>
          <t>South Korea</t>
        </is>
      </c>
      <c r="B40" s="63" t="inlineStr">
        <is>
          <t>Competitor mapping</t>
        </is>
      </c>
      <c r="C40" s="63" t="inlineStr">
        <is>
          <t>Domestic Korean handheld ultrasound makers</t>
        </is>
      </c>
      <c r="D40" s="63" t="inlineStr">
        <is>
          <t>Search 힐세리온 SONON · 삼성메디슨 · 알피니언</t>
        </is>
      </c>
      <c r="E40" s="63" t="inlineStr">
        <is>
          <t>Korea has its OWN handheld ultrasound manufacturer (Healcerion/SONON) as well as Samsung Medison. Expect 'why not buy Korean, with local service' as the first objection in every Korean conversation — prepare the answer before the first call, not during it.</t>
        </is>
      </c>
    </row>
    <row r="41" ht="34.5" customHeight="1" s="114">
      <c r="A41" s="62" t="inlineStr">
        <is>
          <t>Japan</t>
        </is>
      </c>
      <c r="B41" s="63" t="inlineStr">
        <is>
          <t>Competitor mapping</t>
        </is>
      </c>
      <c r="C41" s="63" t="inlineStr">
        <is>
          <t>Domestic Japanese veterinary ultrasound makers</t>
        </is>
      </c>
      <c r="D41" s="63" t="inlineStr">
        <is>
          <t>honda-el.co.jp/product/medical/category/animal · fujifilm.com/ffvs · mts.medical.canon/animal</t>
        </is>
      </c>
      <c r="E41" s="63" t="inlineStr">
        <is>
          <t>Honda Electronics, Fujifilm VET Systems and Canon Medtech Supply all build or sell veterinary ultrasound in Japan. Know their positioning before pitching a Japanese dealer — the incumbent argument is domestic manufacture plus local service.</t>
        </is>
      </c>
    </row>
    <row r="42" ht="22.5" customHeight="1" s="114">
      <c r="A42" s="62" t="inlineStr">
        <is>
          <t>Singapore</t>
        </is>
      </c>
      <c r="B42" s="63" t="inlineStr">
        <is>
          <t>Registry</t>
        </is>
      </c>
      <c r="C42" s="63" t="inlineStr">
        <is>
          <t>SVA list of AVS-registered veterinary centres</t>
        </is>
      </c>
      <c r="D42" s="63" t="inlineStr">
        <is>
          <t>sva.org.sg/vet-centres/</t>
        </is>
      </c>
      <c r="E42" s="63" t="inlineStr">
        <is>
          <t>The complete Singapore clinic list with addresses, phones and websites — the source for this workbook's Singapore tab. Note the page is dated May 2024, so reconfirm phone numbers on the call.</t>
        </is>
      </c>
    </row>
    <row r="43" ht="22.5" customHeight="1" s="114">
      <c r="A43" s="63" t="inlineStr">
        <is>
          <t>Singapore</t>
        </is>
      </c>
      <c r="B43" s="63" t="inlineStr">
        <is>
          <t>Registry</t>
        </is>
      </c>
      <c r="C43" s="63" t="inlineStr">
        <is>
          <t>AVS public registry of licensed veterinary centres</t>
        </is>
      </c>
      <c r="D43" s="63" t="inlineStr">
        <is>
          <t>avs.nparks.gov.sg/outreach/resources/public-registry-of-avs-licensed-veterinary-centres/</t>
        </is>
      </c>
      <c r="E43" s="63" t="inlineStr">
        <is>
          <t>The regulator's own downloadable register. Use it to catch clinics that opened after the SVA page was last updated.</t>
        </is>
      </c>
    </row>
    <row r="44" ht="22.5" customHeight="1" s="114">
      <c r="A44" s="63" t="inlineStr">
        <is>
          <t>Singapore</t>
        </is>
      </c>
      <c r="B44" s="63" t="inlineStr">
        <is>
          <t>Registry</t>
        </is>
      </c>
      <c r="C44" s="63" t="inlineStr">
        <is>
          <t>SVA list of veterinary specialists in Singapore</t>
        </is>
      </c>
      <c r="D44" s="63" t="inlineStr">
        <is>
          <t>sva.org.sg/veterinaryspecialists/</t>
        </is>
      </c>
      <c r="E44" s="63" t="inlineStr">
        <is>
          <t>Named specialists — the KOL layer. The existing CHISON KOL directory contains 42 human-medicine clinicians and no veterinarians; this page is where that gap gets closed.</t>
        </is>
      </c>
    </row>
    <row r="45" ht="22.5" customHeight="1" s="114">
      <c r="A45" s="63" t="inlineStr">
        <is>
          <t>Singapore</t>
        </is>
      </c>
      <c r="B45" s="63" t="inlineStr">
        <is>
          <t>Registry</t>
        </is>
      </c>
      <c r="C45" s="63" t="inlineStr">
        <is>
          <t>Singapore Veterinary Council register</t>
        </is>
      </c>
      <c r="D45" s="63" t="inlineStr">
        <is>
          <t>Search 'Singapore Veterinary Council register'</t>
        </is>
      </c>
      <c r="E45" s="63" t="inlineStr">
        <is>
          <t>A statutory veterinary council was announced in October 2025. Once its register is public it becomes the authoritative practitioner list — check whether it is live.</t>
        </is>
      </c>
    </row>
    <row r="46" ht="22.5" customHeight="1" s="114">
      <c r="A46" s="63" t="inlineStr">
        <is>
          <t>Singapore</t>
        </is>
      </c>
      <c r="B46" s="63" t="inlineStr">
        <is>
          <t>Search string (EN)</t>
        </is>
      </c>
      <c r="C46" s="63" t="inlineStr">
        <is>
          <t>"veterinary" Singapore "24 hour" OR "emergency" OR "specialist"</t>
        </is>
      </c>
      <c r="D46" s="63" t="inlineStr">
        <is>
          <t>Google.com.sg</t>
        </is>
      </c>
      <c r="E46" s="63" t="inlineStr">
        <is>
          <t>Isolates the hospital tier from the GP tier. Emergency and specialty sites are where a handheld gets used daily, so they convert fastest.</t>
        </is>
      </c>
    </row>
    <row r="47" ht="22.5" customHeight="1" s="114">
      <c r="A47" s="62" t="inlineStr">
        <is>
          <t>All markets</t>
        </is>
      </c>
      <c r="B47" s="63" t="inlineStr">
        <is>
          <t>LinkedIn</t>
        </is>
      </c>
      <c r="C47" s="63" t="inlineStr">
        <is>
          <t>site:linkedin.com/in ("veterinary" OR "動物用" OR "동물병원" OR "獸醫") ("sales manager" OR "business development" OR "general manager")</t>
        </is>
      </c>
      <c r="D47" s="63" t="inlineStr">
        <is>
          <t>Google, then LinkedIn</t>
        </is>
      </c>
      <c r="E47" s="63" t="inlineStr">
        <is>
          <t>Finds the named individual inside a target dealer. Pair this with the dealer-linkedin-outreach workflow rather than emailing an info@ address.</t>
        </is>
      </c>
    </row>
    <row r="48" ht="22.5" customHeight="1" s="114">
      <c r="A48" s="63" t="inlineStr">
        <is>
          <t>All markets</t>
        </is>
      </c>
      <c r="B48" s="63" t="inlineStr">
        <is>
          <t>Search string</t>
        </is>
      </c>
      <c r="C48" s="63" t="inlineStr">
        <is>
          <t>"代理店募集" (JP) · "총판 모집" (KR) · "代理商招募" (TW) + 動物 / 동물 / 動物</t>
        </is>
      </c>
      <c r="D48" s="63" t="inlineStr">
        <is>
          <t>Google + Naver</t>
        </is>
      </c>
      <c r="E48" s="63" t="inlineStr">
        <is>
          <t>'Distributor wanted' notices. Reverses the search — these are companies advertising that they want new lines, which is the shortest possible sales cycle.</t>
        </is>
      </c>
    </row>
    <row r="49" ht="34.5" customHeight="1" s="114">
      <c r="A49" s="63" t="inlineStr">
        <is>
          <t>All markets</t>
        </is>
      </c>
      <c r="B49" s="63" t="inlineStr">
        <is>
          <t>Competitor mapping</t>
        </is>
      </c>
      <c r="C49" s="63" t="inlineStr">
        <is>
          <t>Search competitor brand + 'distributor'/'代理店'/'총판'/'代理商' per market</t>
        </is>
      </c>
      <c r="D49" s="63" t="inlineStr">
        <is>
          <t>Google / Naver / Google.com.tw</t>
        </is>
      </c>
      <c r="E49" s="63" t="inlineStr">
        <is>
          <t>Mindray Animal, Esaote Vet, SonoScape, VINNO, Edan, Chison itself, ASUS. Whoever distributes them is segment-experienced. Some are conflicted; their SUB-dealers usually are not, and those sub-dealers are the best recruits on this whole page.</t>
        </is>
      </c>
    </row>
    <row r="50" ht="22.5" customHeight="1" s="114">
      <c r="A50" s="63" t="inlineStr">
        <is>
          <t>All markets</t>
        </is>
      </c>
      <c r="B50" s="63" t="inlineStr">
        <is>
          <t>Aggregator</t>
        </is>
      </c>
      <c r="C50" s="63" t="inlineStr">
        <is>
          <t>MedicalExpo / MedDeviceGuide manufacturer-distributor pages</t>
        </is>
      </c>
      <c r="D50" s="63" t="inlineStr">
        <is>
          <t>medicalexpo.com · meddeviceguide.com</t>
        </is>
      </c>
      <c r="E50" s="63" t="inlineStr">
        <is>
          <t>Registry-verified importer lists by country. Useful for a first pass, but always confirm against the national registry above before contacting.</t>
        </is>
      </c>
    </row>
  </sheetData>
  <autoFilter ref="A4:E50"/>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26"/>
  <sheetViews>
    <sheetView zoomScaleNormal="100" workbookViewId="0">
      <pane ySplit="4" topLeftCell="A5" activePane="bottomLeft" state="frozen"/>
      <selection pane="bottomLeft" activeCell="A1" sqref="A1"/>
    </sheetView>
  </sheetViews>
  <sheetFormatPr baseColWidth="8" defaultColWidth="8.6640625" defaultRowHeight="14.4"/>
  <cols>
    <col width="10" customWidth="1" style="114" min="1" max="1"/>
    <col width="42" customWidth="1" style="114" min="2" max="2"/>
    <col width="46" customWidth="1" style="114" min="3" max="3"/>
    <col width="96" customWidth="1" style="114" min="4" max="4"/>
    <col width="40" customWidth="1" style="114" min="5" max="5"/>
    <col width="56" customWidth="1" style="114" min="6" max="6"/>
  </cols>
  <sheetData>
    <row r="1" ht="18" customHeight="1" s="114">
      <c r="A1" s="16" t="inlineStr">
        <is>
          <t>MASTER TEMPLATES — reference only</t>
        </is>
      </c>
    </row>
    <row r="2" ht="30" customHeight="1" s="114">
      <c r="A2" s="60" t="inlineStr">
        <is>
          <t>The per-company emails on the dealer and end-user tabs are generated from these frames. Use this tab when you need to write to a company that is not on the list, or to see the reasoning behind a frame.</t>
        </is>
      </c>
    </row>
    <row r="3"/>
    <row r="4" ht="31.5" customHeight="1" s="114">
      <c r="A4" s="61" t="inlineStr">
        <is>
          <t>Code</t>
        </is>
      </c>
      <c r="B4" s="61" t="inlineStr">
        <is>
          <t>Use for (archetype)</t>
        </is>
      </c>
      <c r="C4" s="61" t="inlineStr">
        <is>
          <t>Subject line</t>
        </is>
      </c>
      <c r="D4" s="61" t="inlineStr">
        <is>
          <t>Email body</t>
        </is>
      </c>
      <c r="E4" s="61" t="inlineStr">
        <is>
          <t>The single ask</t>
        </is>
      </c>
      <c r="F4" s="61" t="inlineStr">
        <is>
          <t>What to customise before sending</t>
        </is>
      </c>
    </row>
    <row r="5" ht="189.75" customHeight="1" s="114">
      <c r="A5" s="65" t="inlineStr">
        <is>
          <t>A</t>
        </is>
      </c>
      <c r="B5" s="63" t="inlineStr">
        <is>
          <t>Veterinary trading house / clinic-opening dealer with NO ultrasound line (Arrow Medical, MUNATEX, Guojien, Meijin)</t>
        </is>
      </c>
      <c r="C5" s="63" t="inlineStr">
        <is>
          <t>A first scanner for the clinics you open</t>
        </is>
      </c>
      <c r="D5" s="63" t="inlineStr">
        <is>
          <t>Dear [Name],
You fit out [N] animal hospitals a year and specify the equipment list before the vet has chosen a brand. What I've noticed is that ultrasound is usually the line item that gets deferred, because the quote is a console at [competitor price band] and a new practice can't carry it in year one.
CHISON makes veterinary handhelds and portables that fit inside an opening budget. Same vet presets, micro-convex / linear / rectal probes, and a price that lets you put a scanner into every package instead of losing the line to next year.
We have no distributor in [market] and I'd rather build one than sell around one. I'm not asking for a stocking order, I'm asking whether the economics work for you.
Would a 20-minute call in the next two weeks be useful? I can send the vet line card first if you'd prefer to look before you talk.
Best regards,
Casper Tan
Senior Regional Sales Manager
AstraMed Healthcare, a subsidiary of CHISON Medical Technologies
casper@astramed.sg | +65 8719 0121</t>
        </is>
      </c>
      <c r="E5" s="63" t="inlineStr">
        <is>
          <t>20-minute call; dealer price list sent in advance.</t>
        </is>
      </c>
      <c r="F5" s="63" t="inlineStr">
        <is>
          <t>Replace [N] with their stated opening count (Arrow Medical publishes 1,000+ projects). Name the competitor price band you're undercutting. Reference the specific congress they exhibit at if you can meet in person instead.</t>
        </is>
      </c>
    </row>
    <row r="6" ht="189.75" customHeight="1" s="114">
      <c r="A6" s="65" t="inlineStr">
        <is>
          <t>B</t>
        </is>
      </c>
      <c r="B6" s="63" t="inlineStr">
        <is>
          <t>Dealer that ALREADY carries a competing ultrasound brand — pocket-tier wedge (Medical Space, SOARMED, Shine Kochi, GETECH, COVET, Mediark, MTF, Kyoritsu, VITSHOP)</t>
        </is>
      </c>
      <c r="C6" s="63" t="inlineStr">
        <is>
          <t>Not a replacement for [their brand]: the tier below it</t>
        </is>
      </c>
      <c r="D6" s="63" t="inlineStr">
        <is>
          <t>Dear [Name],
You carry [their ultrasound brand], so let me be direct: I'm not asking you to replace it and I wouldn't win that argument anyway.
What [their brand] doesn't build is the tier below, a true handheld at [price band] that a GP clinic buys as a first scanner, or a hospital buys three of as ward units. Every one of those sales is a customer you're currently losing on price to a grey import, and every one of them eventually upgrades to the console you already sell.
CHISON's veterinary handhelds (SonoEye P3 and P5) sit exactly there. Vet presets, high-frequency linear for feline and exotics, and pricing that survives against anything coming in unofficially.
Worth 20 minutes to see whether it protects your top-tier margin rather than competing with it?
Best regards,
Casper Tan
Senior Regional Sales Manager
AstraMed Healthcare, a subsidiary of CHISON Medical Technologies
casper@astramed.sg | +65 8719 0121</t>
        </is>
      </c>
      <c r="E6" s="63" t="inlineStr">
        <is>
          <t>20-minute call framed as portfolio protection, not brand switching.</t>
        </is>
      </c>
      <c r="F6" s="63" t="inlineStr">
        <is>
          <t>Name their actual principal — Fujifilm/GE/esaote for Medical Space, VINNO for SOARMED, ASUS for Shine Kochi, Philips for GETECH, Samsung Medison for COVET. Never pitch a competing CART to these accounts.</t>
        </is>
      </c>
    </row>
    <row r="7" ht="189.75" customHeight="1" s="114">
      <c r="A7" s="65" t="inlineStr">
        <is>
          <t>C</t>
        </is>
      </c>
      <c r="B7" s="63" t="inlineStr">
        <is>
          <t>Surgical, orthopaedic or interventional dealer (Kirikan, Mizuho, Mediray, IMEDICOM, Tengpon)</t>
        </is>
      </c>
      <c r="C7" s="63" t="inlineStr">
        <is>
          <t>Ultrasound guidance for the surgeries you already equip</t>
        </is>
      </c>
      <c r="D7" s="63" t="inlineStr">
        <is>
          <t>Dear [Name],
You supply [their surgical line] to the referral hospitals in [market]. The vets buying that kit are increasingly doing ultrasound-guided nerve blocks, vascular access and pre-anaesthetic FAST, and most of them are walking across the building to borrow the radiology machine to do it.
CHISON's SonoEye P3 VET is a pocket-sized scanner built for exactly that: in the OR, at the cage side, on the table. It doesn't compete with anything in your line card. It attaches to sales you're already making, at a price that doesn't need a capital committee.
We're appointing a [market] partner for the veterinary range this year. Given where you already sit in the operating room, I'd like to talk to you before I talk to an imaging house.
Are you open to a short call?
Best regards,
Casper Tan
Senior Regional Sales Manager
AstraMed Healthcare, a subsidiary of CHISON Medical Technologies
casper@astramed.sg | +65 8719 0121</t>
        </is>
      </c>
      <c r="E7" s="63" t="inlineStr">
        <is>
          <t>Short call, positioned as an attachment to their existing surgical sale.</t>
        </is>
      </c>
      <c r="F7" s="63" t="inlineStr">
        <is>
          <t>Name their principals — Medtronic / J&amp;J / Stryker / Boston Scientific for Mediray, ALSA / Integra / INTRAUMA for Kirikan, their own implants for IMEDICOM. For Mediray, ask to demo at a VET STAR or MVP live-surgery seminar.</t>
        </is>
      </c>
    </row>
    <row r="8" ht="189.75" customHeight="1" s="114">
      <c r="A8" s="65" t="inlineStr">
        <is>
          <t>D</t>
        </is>
      </c>
      <c r="B8" s="63" t="inlineStr">
        <is>
          <t>In-clinic instrument, patient-monitoring or diagnostics dealer (YUMAX, Tokyo Menix, Hyubes, VETCOM, i-SENS, Dream Sangyo, Rongchun, Shinn Medical)</t>
        </is>
      </c>
      <c r="C8" s="63" t="inlineStr">
        <is>
          <t>A second capital line for the same customer</t>
        </is>
      </c>
      <c r="D8" s="63" t="inlineStr">
        <is>
          <t>Dear [Name],
Your [monitors / analysers / instruments] already sit in the ICU and consult room of most [market] animal hospitals. You have the customer, the service engineers and the installed base, what you don't have is a second capital line to sell into it.
CHISON's veterinary handhelds and portables are a simple addition: same buyer, same service skillset, no overlap with what you carry, and a price point that closes without a long capital cycle.
We have no [market] partner for the veterinary range. If it's of interest I'll send the line card and dealer terms, no obligation, and you can decide from the numbers.
Best regards,
Casper Tan
Senior Regional Sales Manager
AstraMed Healthcare, a subsidiary of CHISON Medical Technologies
casper@astramed.sg | +65 8719 0121</t>
        </is>
      </c>
      <c r="E8" s="63" t="inlineStr">
        <is>
          <t>Permission to send line card + dealer terms.</t>
        </is>
      </c>
      <c r="F8" s="63" t="inlineStr">
        <is>
          <t>Name the specific product class they lead with. For i-SENS, lead on POC diagnostics + POCUS as one emergency-medicine proposition rather than as two products.</t>
        </is>
      </c>
    </row>
    <row r="9" ht="189.75" customHeight="1" s="114">
      <c r="A9" s="65" t="inlineStr">
        <is>
          <t>E</t>
        </is>
      </c>
      <c r="B9" s="63" t="inlineStr">
        <is>
          <t>Animal-health pharmaceutical / consumables channel (ZENOAQ, ASCO, Kyoritsu — pharma side)</t>
        </is>
      </c>
      <c r="C9" s="63" t="inlineStr">
        <is>
          <t>Capital margin on the relationship you already pay for</t>
        </is>
      </c>
      <c r="D9" s="63" t="inlineStr">
        <is>
          <t>Dear [Name],
Your reps are inside every animal hospital in [market] most weeks. That's the most expensive asset in veterinary distribution and it's currently carrying only consumable margin.
CHISON's veterinary ultrasound range, handheld through portable, is designed to be carried and demonstrated by a rep who is already in the building. No installation crew, no site survey. A unit demonstrated on a Tuesday can be quoted on the Tuesday.
For [company] specifically, [ZENOAQ: your existing import/export function means you could hold the marketing authorisation rather than just resell / Kyoritsu: you already sell a portable scanner, so the argument is a step-up SKU inside a portfolio you believe in / ASCO: it's incremental capital margin on a standing order relationship].
Can we find 20 minutes?
Best regards,
Casper Tan
Senior Regional Sales Manager
AstraMed Healthcare, a subsidiary of CHISON Medical Technologies
casper@astramed.sg | +65 8719 0121</t>
        </is>
      </c>
      <c r="E9" s="63" t="inlineStr">
        <is>
          <t>20-minute call. For ZENOAQ, the real ask is whether they'd consider the MAH role.</t>
        </is>
      </c>
      <c r="F9" s="63" t="inlineStr">
        <is>
          <t>Pick ONE of the bracketed variants. Do not send all three. For Kyoritsu, acknowledge the CTS-800 explicitly — pretending it doesn't exist reads as sloppy homework.</t>
        </is>
      </c>
    </row>
    <row r="10" ht="189.75" customHeight="1" s="114">
      <c r="A10" s="65" t="inlineStr">
        <is>
          <t>F</t>
        </is>
      </c>
      <c r="B10" s="63" t="inlineStr">
        <is>
          <t>Imaging dealer with X-ray or CT but NO ultrasound (Woorien, and any dealer found via the 'adjacent imaging' search strings)</t>
        </is>
      </c>
      <c r="C10" s="63" t="inlineStr">
        <is>
          <t>The gap in your imaging line</t>
        </is>
      </c>
      <c r="D10" s="63" t="inlineStr">
        <is>
          <t>Dear [Name],
You sell [their DR / CT product] into [market] animal hospitals and you back it with [their differentiator, for Woorien, the Vericare radiology reading service]. That is a genuinely strong position, and it has one gap: the vet who buys your X-ray buys their ultrasound from someone else.
CHISON makes veterinary ultrasound across the range, handheld SonoEye, portable SonoGO and SonoAir, up to cart systems. Vet presets and probes throughout. It completes your imaging line without touching your existing principals.
It also fits your service model: an ultrasound sold with an image-reading service attached is a far better product than an ultrasound sold alone, and almost nobody in this market does it.
Would you be open to a call to look at the numbers?
Best regards,
Casper Tan
Senior Regional Sales Manager
AstraMed Healthcare, a subsidiary of CHISON Medical Technologies
casper@astramed.sg | +65 8719 0121</t>
        </is>
      </c>
      <c r="E10" s="63" t="inlineStr">
        <is>
          <t>Call to review dealer pricing and the bundled-service concept.</t>
        </is>
      </c>
      <c r="F10" s="63" t="inlineStr">
        <is>
          <t>For Woorien, name MyVet DR and Vericare specifically and reference their PnV EMR reach into ~1,800 hospitals — it shows you did the work and it is the strongest reason they should say yes.</t>
        </is>
      </c>
    </row>
    <row r="11" ht="189.75" customHeight="1" s="114">
      <c r="A11" s="65" t="inlineStr">
        <is>
          <t>G</t>
        </is>
      </c>
      <c r="B11" s="63" t="inlineStr">
        <is>
          <t>Education academy, KOL platform or procurement platform (Aurebio, ivetmall, AHOSS, PetDoc 벳화점)</t>
        </is>
      </c>
      <c r="C11" s="63" t="inlineStr">
        <is>
          <t>Equipment for the [course / platform], not a sales call</t>
        </is>
      </c>
      <c r="D11" s="63" t="inlineStr">
        <is>
          <t>Dear [Name],
I'm writing about [their programme, e.g. Prof. Choi's hands-on ultrasound courses / the ivetmall in-clinic instrument category], not to sell you anything.
CHISON manufactures veterinary ultrasound, handheld, portable and cart, and we're building our presence in [market]. We'd like to place units [in the teaching room / on the platform] on terms that suit you: [loan units for the practical sessions / a listed product page with the enquiries routed to you].
Our interest is simple. Vets buy the scanner they were trained on, and we'd rather earn that position through [your course / your platform] than through advertising.
Could we talk about what a sensible arrangement looks like?
Best regards,
Casper Tan
Senior Regional Sales Manager
AstraMed Healthcare, a subsidiary of CHISON Medical Technologies
casper@astramed.sg | +65 8719 0121</t>
        </is>
      </c>
      <c r="E11" s="63" t="inlineStr">
        <is>
          <t>A conversation about placing units — teaching loan or platform listing.</t>
        </is>
      </c>
      <c r="F11" s="63" t="inlineStr">
        <is>
          <t>This is a relationship ask, not a commercial one, and it works BEFORE a distributor exists in Korea, Japan or Taiwan. Do not attach a price list. For AureBIO, address Prof. CHOI Min-cheol's programme by name and open by quoting his own published position — that ultrasound should be the best value-for-money device in an animal hospital and usually isn't, and that model discontinuation and A/S are real buying risks. Say that CHISON is built for exactly that argument. Nothing you could write is more persuasive to him than his own column.</t>
        </is>
      </c>
    </row>
    <row r="12" ht="189.75" customHeight="1" s="114">
      <c r="A12" s="66" t="inlineStr">
        <is>
          <t>H-Fleet</t>
        </is>
      </c>
      <c r="B12" s="63" t="inlineStr">
        <is>
          <t>SINGAPORE DIRECT — corporate chain or multi-site group (Mount Pleasant, Animal Ark, Animal Recovery, and the two-site GP groups)</t>
        </is>
      </c>
      <c r="C12" s="63" t="inlineStr">
        <is>
          <t>One scanner per site: a fleet proposal for [group]</t>
        </is>
      </c>
      <c r="D12" s="63" t="inlineStr">
        <is>
          <t>Dear [Name],
AstraMed is CHISON's own subsidiary in Singapore, so installation, training and service are handled locally.
For a group of [N] sites the interesting question isn't which console to buy for the flagship. It's whether every site can have its own scanner. At CHISON's price point that becomes affordable: a handheld per clinic for roughly what one mid-range console costs.
The practical benefit is that cases get scanned where they present instead of being referred internally or deferred to the next day.
Could I have 30 minutes with whoever owns equipment decisions across the group? I'd rather have one conversation at group level than [N] conversations at clinic level.
Best regards,
Casper Tan
Senior Regional Sales Manager
AstraMed Healthcare, a subsidiary of CHISON Medical Technologies
casper@astramed.sg | +65 8719 0121</t>
        </is>
      </c>
      <c r="E12" s="63" t="inlineStr">
        <is>
          <t>30 minutes with the group's equipment decision-maker — NOT a clinic demo.</t>
        </is>
      </c>
      <c r="F12" s="63" t="inlineStr">
        <is>
          <t>Insert the real site count. For Mount Pleasant and VES, go to Mars regional procurement, not the branch. Do not run a clinic-level demo before the group conversation — it burns the fleet angle.</t>
        </is>
      </c>
    </row>
    <row r="13" ht="189.75" customHeight="1" s="114">
      <c r="A13" s="66" t="inlineStr">
        <is>
          <t>H-Ref</t>
        </is>
      </c>
      <c r="B13" s="63" t="inlineStr">
        <is>
          <t>SINGAPORE DIRECT — flagship reference hospital (VES)</t>
        </is>
      </c>
      <c r="C13" s="63" t="inlineStr">
        <is>
          <t>A reference installation, and what we'd give for it</t>
        </is>
      </c>
      <c r="D13" s="63" t="inlineStr">
        <is>
          <t>Dear [Name],
VES is the largest specialty and emergency hospital in Singapore, and it's the site every distributor we're appointing across Japan, Korea and Taiwan will ask to see.
AstraMed is CHISON's own subsidiary in Singapore, so installation, training and service are handled locally. I'd like to propose a reference installation: [configuration] on terms that reflect what the reference is worth to us, in exchange for your agreement to host visiting partners and to let us use the site in English-language case material.
You'd get the equipment on terms you won't see from a distributor-fed brand. We'd get the one thing money can't buy quickly, which is a credible Asian installation.
Worth exploring?
Best regards,
Casper Tan
Senior Regional Sales Manager
AstraMed Healthcare, a subsidiary of CHISON Medical Technologies
casper@astramed.sg | +65 8719 0121</t>
        </is>
      </c>
      <c r="E13" s="63" t="inlineStr">
        <is>
          <t>A meeting on hosting the regional reference installation.</t>
        </is>
      </c>
      <c r="F13" s="63" t="inlineStr">
        <is>
          <t>Name the configuration explicitly. Be honest that the pricing is reference-linked — a specialist hospital will work that out anyway and being straight about it is the stronger position.</t>
        </is>
      </c>
    </row>
    <row r="14" ht="189.75" customHeight="1" s="114">
      <c r="A14" s="66" t="inlineStr">
        <is>
          <t>H-Eval</t>
        </is>
      </c>
      <c r="B14" s="63" t="inlineStr">
        <is>
          <t>SINGAPORE DIRECT — independent hospital / emergency / advanced-diagnostics site (Advanced Vet Care, Landon, Westside, Animal Infirmary, Amber)</t>
        </is>
      </c>
      <c r="C14" s="63" t="inlineStr">
        <is>
          <t>A scanner on your night shift for 30 days</t>
        </is>
      </c>
      <c r="D14" s="63" t="inlineStr">
        <is>
          <t>Dear [Name],
Simple proposition: I'd like to leave a CHISON SonoEye P3 VET at [hospital] for 30 days, at no cost and with no obligation.
It's a genuine handheld, vet presets, micro-convex and linear probes, and the case for it is the 2 a.m. abdomen, where the vet on shift needs an answer before the radiology room opens. That's a use case a console can't serve and a cheap generic device serves badly.
All I'd ask in return is a note on how often it got used and what it changed. If it earns its place we'll talk about price. If it doesn't, I'll collect it.
AstraMed is CHISON's own subsidiary in Singapore, so installation, training and service are handled locally.
Can I drop one off?
Best regards,
Casper Tan
Senior Regional Sales Manager
AstraMed Healthcare, a subsidiary of CHISON Medical Technologies
casper@astramed.sg | +65 8719 0121</t>
        </is>
      </c>
      <c r="E14" s="63" t="inlineStr">
        <is>
          <t>A 30-day no-obligation evaluation placement with weekly utilisation feedback.</t>
        </is>
      </c>
      <c r="F14" s="63" t="inlineStr">
        <is>
          <t>This is the highest-converting template on the sheet because the risk is zero. Limit to two units in the field at once and don't place both in the same segment. Agree the collection date in writing up front.</t>
        </is>
      </c>
    </row>
    <row r="15" ht="189.75" customHeight="1" s="114">
      <c r="A15" s="66" t="inlineStr">
        <is>
          <t>H-GP</t>
        </is>
      </c>
      <c r="B15" s="63" t="inlineStr">
        <is>
          <t>SINGAPORE DIRECT — independent GP clinic or small group (The Animal Clinic, The Animal Doctors, Vet Central, Vets for Life, Joyous Vet, Island, Stars, Point, Vet Practice, Barkway, Canopy, Atlas, Ohana, Brighton, James Tan, The Veterinary Clinic)</t>
        </is>
      </c>
      <c r="C15" s="63" t="inlineStr">
        <is>
          <t>Ultrasound at a price that pays back in [N] scans</t>
        </is>
      </c>
      <c r="D15" s="63" t="inlineStr">
        <is>
          <t>Dear [Name],
Most GP clinics in Singapore either refer ultrasound out or work around a machine bought years ago, because the quotes coming from the big brands don't make sense at GP caseload.
AstraMed is CHISON's own subsidiary in Singapore, so installation, training and service are handled locally. The SonoEye P3 VET is a handheld with proper vet presets and probes, and it lands at a price where the unit pays for itself in roughly [N] charged scans rather than in three years.
No distributor in the middle, we quote, install and service it ourselves, here.
Would you like me to bring one round for 20 minutes so you can scan a patient with it? That's usually a faster answer than a brochure.
Best regards,
Casper Tan
Senior Regional Sales Manager
AstraMed Healthcare, a subsidiary of CHISON Medical Technologies
casper@astramed.sg | +65 8719 0121</t>
        </is>
      </c>
      <c r="E15" s="63" t="inlineStr">
        <is>
          <t>A 20-minute in-clinic hands-on demo on a real patient.</t>
        </is>
      </c>
      <c r="F15" s="63" t="inlineStr">
        <is>
          <t>Work out [N] from their actual scan charge before sending — a wrong payback number destroys the whole email. For heartland clinics lead harder on price; for River Valley / Frankel / Holland catchments lead on payback.</t>
        </is>
      </c>
    </row>
    <row r="16" ht="189.75" customHeight="1" s="114">
      <c r="A16" s="66" t="inlineStr">
        <is>
          <t>H-Surg</t>
        </is>
      </c>
      <c r="B16" s="63" t="inlineStr">
        <is>
          <t>SINGAPORE DIRECT — surgery-led practice (Companion Animal Surgery)</t>
        </is>
      </c>
      <c r="C16" s="63" t="inlineStr">
        <is>
          <t>Nerve blocks and vascular access, without leaving theatre</t>
        </is>
      </c>
      <c r="D16" s="63" t="inlineStr">
        <is>
          <t>Dear [Name],
Your practice is surgical rather than diagnostic, so the usual ultrasound pitch, abdominal work-ups, isn't the one that matters to you.
The case for a handheld in a surgical practice is peri-operative: ultrasound-guided nerve blocks, vascular access in a collapsed patient, and a pre-anaesthetic FAST that takes ninety seconds. CHISON's SonoEye P3 VET is pocket-sized, so it stays in theatre rather than living in another room.
AstraMed is CHISON's own subsidiary in Singapore, so installation, training and service are handled locally.
Could I bring one in and do the block demo rather than describe it?
Best regards,
Casper Tan
Senior Regional Sales Manager
AstraMed Healthcare, a subsidiary of CHISON Medical Technologies
casper@astramed.sg | +65 8719 0121</t>
        </is>
      </c>
      <c r="E16" s="63" t="inlineStr">
        <is>
          <t>An in-theatre demo of a nerve block, not a consult-room demo.</t>
        </is>
      </c>
      <c r="F16" s="63" t="inlineStr">
        <is>
          <t>Do the peri-operative demo, not the abdominal one. Getting this wrong is the most common way to lose a surgical practice.</t>
        </is>
      </c>
    </row>
    <row r="17" ht="189.75" customHeight="1" s="114">
      <c r="A17" s="66" t="inlineStr">
        <is>
          <t>H-Exotic</t>
        </is>
      </c>
      <c r="B17" s="63" t="inlineStr">
        <is>
          <t>SINGAPORE DIRECT — exotics, avian, feline-only or rehabilitation practice (Allpets &amp; Aqualife, AAVC, Amber Cat Vet, RehabVet, Mandai, research facilities)</t>
        </is>
      </c>
      <c r="C17" s="63" t="inlineStr">
        <is>
          <t>High-frequency imaging on patients that break most handhelds</t>
        </is>
      </c>
      <c r="D17" s="63" t="inlineStr">
        <is>
          <t>Dear [Name],
[Exotics / avian / feline / musculoskeletal] imaging is where cheap handheld scanners fall apart, small patients, shallow structures, and resolution requirements that a 5 MHz convex probe simply cannot meet.
CHISON's SonoEye P5 VET is the high-frequency device in the range, phone-paired, with a linear probe built for exactly this. AstraMed is CHISON's own subsidiary in Singapore, so installation, training and service are handled locally.
I'd rather show you than claim anything: could I bring one in and scan whatever you'd normally struggle with? If the image isn't good enough you'll know in five minutes and I'll stop wasting your time.
Best regards,
Casper Tan
Senior Regional Sales Manager
AstraMed Healthcare, a subsidiary of CHISON Medical Technologies
casper@astramed.sg | +65 8719 0121</t>
        </is>
      </c>
      <c r="E17" s="63" t="inlineStr">
        <is>
          <t>A hands-on demo on their hardest imaging case.</t>
        </is>
      </c>
      <c r="F17" s="63" t="inlineStr">
        <is>
          <t>This is a technical sale, not a price sale — leading on price here reads as an admission that the image is poor. Pick the right descriptor for the practice and bring the linear probe.</t>
        </is>
      </c>
    </row>
    <row r="18" ht="189.75" customHeight="1" s="114">
      <c r="A18" s="66" t="inlineStr">
        <is>
          <t>H-Budget</t>
        </is>
      </c>
      <c r="B18" s="63" t="inlineStr">
        <is>
          <t>SINGAPORE DIRECT — welfare, charity or high-volume budget-constrained clinic (SPCA)</t>
        </is>
      </c>
      <c r="C18" s="63" t="inlineStr">
        <is>
          <t>Diagnostic imaging within a welfare budget</t>
        </is>
      </c>
      <c r="D18" s="63" t="inlineStr">
        <is>
          <t>Dear [Name],
You run a high caseload against a fixed budget, and diagnostic imaging is usually the first thing that budget cuts. CHISON's position is price, that's the whole reason I'm writing rather than a brand that would quote you three times as much.
AstraMed is CHISON's own subsidiary in Singapore, so installation, training and service are handled locally. For a welfare clinic I'd like to look at both a supported price and whether a unit could be donor-funded, which we can help structure.
Would a short conversation be useful?
Best regards,
Casper Tan
Senior Regional Sales Manager
AstraMed Healthcare, a subsidiary of CHISON Medical Technologies
casper@astramed.sg | +65 8719 0121</t>
        </is>
      </c>
      <c r="E18" s="63" t="inlineStr">
        <is>
          <t>A conversation about supported pricing or donor funding.</t>
        </is>
      </c>
      <c r="F18" s="63" t="inlineStr">
        <is>
          <t>Do not over-discount as a tactic and then hold that price against commercial clinics in the same small market — Singapore's veterinary community talks. Structure it visibly as welfare or donor-funded.</t>
        </is>
      </c>
    </row>
    <row r="19"/>
    <row r="20" ht="15" customHeight="1" s="114">
      <c r="A20" s="115" t="inlineStr">
        <is>
          <t>SENDING RULES — read before the first email goes out.</t>
        </is>
      </c>
    </row>
    <row r="21" ht="15" customHeight="1" s="114">
      <c r="A21" s="113" t="inlineStr">
        <is>
          <t>1. Never send to an info@ address if a named person can be found. Use the dealer-linkedin-outreach workflow to identify BD, sales, GM, product or marketing staff at the target company first, then email the named person.</t>
        </is>
      </c>
    </row>
    <row r="22" ht="15" customHeight="1" s="114">
      <c r="A22" s="113" t="inlineStr">
        <is>
          <t>2. Do not quote a landed price, promise a delivery date or accept an order in Japan, Korea or Taiwan until the gating action on the 'Engagement rules' sheet is cleared for that market. Relationship, evaluation and KOL work is legitimate now; commercial commitment is not.</t>
        </is>
      </c>
    </row>
    <row r="23" ht="15" customHeight="1" s="114">
      <c r="A23" s="113" t="inlineStr">
        <is>
          <t>3. Every [bracket] in a template is a required edit, not a suggestion. An unedited bracket is worse than no email.</t>
        </is>
      </c>
    </row>
    <row r="24" ht="15" customHeight="1" s="114">
      <c r="A24" s="113" t="inlineStr">
        <is>
          <t>4. Product names and configurations must be checked against the current CHISON veterinary line card before sending. The Verification sheet records twelve veterinary SKUs at USD 5,299–21,200 US list as at 30 July 2026, and NO veterinary-labelled cart — do not promise a vet cart before decision D-2 is resolved.</t>
        </is>
      </c>
    </row>
    <row r="25" ht="15" customHeight="1" s="114">
      <c r="A25" s="113" t="inlineStr">
        <is>
          <t>5. Keep the first email under 200 words. Every template here is written to that limit; if your edits push it over, cut the second paragraph rather than the ask.</t>
        </is>
      </c>
    </row>
    <row r="26" ht="15" customHeight="1" s="114">
      <c r="A26" s="113" t="inlineStr">
        <is>
          <t>6. One ask per email. If you want a call, do not also ask them to review a price list in the same message.</t>
        </is>
      </c>
    </row>
  </sheetData>
  <mergeCells count="7">
    <mergeCell ref="A24:F24"/>
    <mergeCell ref="A23:F23"/>
    <mergeCell ref="A22:F22"/>
    <mergeCell ref="A26:F26"/>
    <mergeCell ref="A21:F21"/>
    <mergeCell ref="A20:F20"/>
    <mergeCell ref="A25:F2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P22"/>
  <sheetViews>
    <sheetView showGridLines="0"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8" defaultColWidth="8.6640625" defaultRowHeight="14.4"/>
  <cols>
    <col width="6" customWidth="1" style="114" min="1" max="1"/>
    <col width="34" customWidth="1" style="114" min="2" max="2"/>
    <col width="11" customWidth="1" style="114" min="3" max="3"/>
    <col width="22" customWidth="1" style="114" min="4" max="4"/>
    <col width="20" customWidth="1" style="114" min="5" max="5"/>
    <col width="26" customWidth="1" style="114" min="6" max="6"/>
    <col width="52" customWidth="1" style="114" min="7" max="7"/>
    <col width="42" customWidth="1" style="114" min="8" max="8"/>
    <col width="26" customWidth="1" style="114" min="9" max="12"/>
    <col width="12" customWidth="1" style="114" min="13" max="13"/>
    <col width="13" customWidth="1" style="114" min="14" max="14"/>
    <col width="16" customWidth="1" style="114" min="15" max="15"/>
    <col width="14" customWidth="1" style="114" min="16" max="16"/>
  </cols>
  <sheetData>
    <row r="1" ht="17.25" customHeight="1" s="114">
      <c r="A1" s="117" t="inlineStr">
        <is>
          <t>CHISON VETERINARY ULTRASOUND — TOP 10 ACCOUNTS TO ENGAGE IMMEDIATELY</t>
        </is>
      </c>
    </row>
    <row r="2" ht="27.75" customHeight="1" s="114">
      <c r="A2" s="116" t="inlineStr">
        <is>
          <t>Companion animal · Singapore · Japan · South Korea · Taiwan region of China · Prepared 30 July 2026 · Casper Tan, AstraMed Healthcare (CHISON). Ranked by what can be moved in the next 30 days, not by account size.</t>
        </is>
      </c>
    </row>
    <row r="3" ht="27.75" customHeight="1" s="114">
      <c r="A3" s="118" t="inlineStr">
        <is>
          <t>LEGEND — Edit only the blue-font columns: Owner, Contact made, Response, Next action, Next action date, Notes. Everything else is sourced; see the Verification sheet. Row 6 is a worked example — delete it before use.</t>
        </is>
      </c>
    </row>
    <row r="4"/>
    <row r="5" ht="43.5" customHeight="1" s="114">
      <c r="A5" s="67" t="inlineStr">
        <is>
          <t>Rank</t>
        </is>
      </c>
      <c r="B5" s="67" t="inlineStr">
        <is>
          <t>Account</t>
        </is>
      </c>
      <c r="C5" s="67" t="inlineStr">
        <is>
          <t>Market</t>
        </is>
      </c>
      <c r="D5" s="67" t="inlineStr">
        <is>
          <t>Type</t>
        </is>
      </c>
      <c r="E5" s="67" t="inlineStr">
        <is>
          <t>Sites</t>
        </is>
      </c>
      <c r="F5" s="67" t="inlineStr">
        <is>
          <t>Can CHISON invoice this account today?</t>
        </is>
      </c>
      <c r="G5" s="67" t="inlineStr">
        <is>
          <t>Why this account, why now</t>
        </is>
      </c>
      <c r="H5" s="67" t="inlineStr">
        <is>
          <t>What to ask for on the first contact</t>
        </is>
      </c>
      <c r="I5" s="67" t="inlineStr">
        <is>
          <t>Lead product</t>
        </is>
      </c>
      <c r="J5" s="67" t="inlineStr">
        <is>
          <t>Contact route</t>
        </is>
      </c>
      <c r="K5" s="67" t="inlineStr">
        <is>
          <t>Phone / email</t>
        </is>
      </c>
      <c r="L5" s="67" t="inlineStr">
        <is>
          <t>Source status</t>
        </is>
      </c>
      <c r="M5" s="67" t="inlineStr">
        <is>
          <t>Owner</t>
        </is>
      </c>
      <c r="N5" s="67" t="inlineStr">
        <is>
          <t>Contact made</t>
        </is>
      </c>
      <c r="O5" s="67" t="inlineStr">
        <is>
          <t>Response</t>
        </is>
      </c>
      <c r="P5" s="67" t="inlineStr">
        <is>
          <t>Next action date</t>
        </is>
      </c>
    </row>
    <row r="6" ht="25.5" customHeight="1" s="114">
      <c r="A6" s="68" t="inlineStr">
        <is>
          <t>EG</t>
        </is>
      </c>
      <c r="B6" s="68" t="inlineStr">
        <is>
          <t>— example row, delete before use —</t>
        </is>
      </c>
      <c r="C6" s="68" t="inlineStr">
        <is>
          <t>Singapore</t>
        </is>
      </c>
      <c r="D6" s="68" t="inlineStr">
        <is>
          <t>Chain</t>
        </is>
      </c>
      <c r="E6" s="68" t="inlineStr">
        <is>
          <t>9</t>
        </is>
      </c>
      <c r="F6" s="68" t="inlineStr">
        <is>
          <t>Yes</t>
        </is>
      </c>
      <c r="G6" s="68" t="inlineStr">
        <is>
          <t>Worked example showing the expected format</t>
        </is>
      </c>
      <c r="H6" s="68" t="inlineStr">
        <is>
          <t>Ask for a 30-day evaluation placement</t>
        </is>
      </c>
      <c r="I6" s="68" t="inlineStr">
        <is>
          <t>SonoEye P3 VET</t>
        </is>
      </c>
      <c r="J6" s="68" t="inlineStr">
        <is>
          <t>Group procurement</t>
        </is>
      </c>
      <c r="K6" s="68" t="inlineStr">
        <is>
          <t>+65 0000 0000</t>
        </is>
      </c>
      <c r="L6" s="68" t="inlineStr">
        <is>
          <t>Verified</t>
        </is>
      </c>
      <c r="M6" s="68" t="inlineStr">
        <is>
          <t>Casper</t>
        </is>
      </c>
      <c r="N6" s="68" t="inlineStr">
        <is>
          <t>2026-08-01</t>
        </is>
      </c>
      <c r="O6" s="68" t="inlineStr">
        <is>
          <t>Awaiting reply</t>
        </is>
      </c>
      <c r="P6" s="68" t="inlineStr">
        <is>
          <t>2026-08-08</t>
        </is>
      </c>
    </row>
    <row r="7" ht="108" customHeight="1" s="114">
      <c r="A7" s="69" t="n">
        <v>1</v>
      </c>
      <c r="B7" s="70" t="inlineStr">
        <is>
          <t>Mars Veterinary Health — Mount Pleasant Veterinary Group</t>
        </is>
      </c>
      <c r="C7" s="71" t="inlineStr">
        <is>
          <t>Singapore</t>
        </is>
      </c>
      <c r="D7" s="71" t="inlineStr">
        <is>
          <t>Corporate chain (Mars-owned)</t>
        </is>
      </c>
      <c r="E7" s="72" t="inlineStr">
        <is>
          <t>≈9 GP sites</t>
        </is>
      </c>
      <c r="F7" s="73" t="inlineStr">
        <is>
          <t>YES — direct, no registration identified</t>
        </is>
      </c>
      <c r="G7" s="71" t="inlineStr">
        <is>
          <t>Largest GP chain in Singapore and one of only two markets where AstraMed can invoice now. One group agreement covers roughly a tenth of the entire Singapore veterinary market. Consolidating owner means a procurement function, not nine separate sales.</t>
        </is>
      </c>
      <c r="H7" s="71" t="inlineStr">
        <is>
          <t>A fleet proposal meeting at regional corporate level, not a clinic demo. Establish where the equipment decision actually sits.</t>
        </is>
      </c>
      <c r="I7" s="71" t="inlineStr">
        <is>
          <t>SonoEye P3 VET fleet</t>
        </is>
      </c>
      <c r="J7" s="71" t="inlineStr">
        <is>
          <t>Group / regional procurement</t>
        </is>
      </c>
      <c r="K7" s="71" t="inlineStr">
        <is>
          <t>+65 6251 7666 · mpvc@mountpleasant.com.sg</t>
        </is>
      </c>
      <c r="L7" s="71" t="inlineStr">
        <is>
          <t>Verified (SVA registry)</t>
        </is>
      </c>
      <c r="M7" s="74" t="n"/>
      <c r="N7" s="74" t="n"/>
      <c r="O7" s="74" t="n"/>
      <c r="P7" s="74" t="n"/>
    </row>
    <row r="8" ht="108" customHeight="1" s="114">
      <c r="A8" s="75" t="n">
        <v>2</v>
      </c>
      <c r="B8" s="76" t="inlineStr">
        <is>
          <t>VES Hospital (Vet Emergency &amp; Specialty)</t>
        </is>
      </c>
      <c r="C8" s="77" t="inlineStr">
        <is>
          <t>Singapore</t>
        </is>
      </c>
      <c r="D8" s="77" t="inlineStr">
        <is>
          <t>Specialty + emergency hospital (Mars-owned)</t>
        </is>
      </c>
      <c r="E8" s="78" t="inlineStr">
        <is>
          <t>1</t>
        </is>
      </c>
      <c r="F8" s="79" t="inlineStr">
        <is>
          <t>YES — direct, no registration identified</t>
        </is>
      </c>
      <c r="G8" s="77" t="inlineStr">
        <is>
          <t>Largest specialty and emergency hospital in Singapore. Same group relationship as rank 1, so one conversation reaches both. This is the reference installation the Japanese, Korean and Taiwanese distributors will be shown.</t>
        </is>
      </c>
      <c r="H8" s="77" t="inlineStr">
        <is>
          <t>Agreement to host the regional reference installation, and permission to use the site in English-language case material.</t>
        </is>
      </c>
      <c r="I8" s="77" t="inlineStr">
        <is>
          <t>SonoAir 70 VET + SonoEye P3 VET</t>
        </is>
      </c>
      <c r="J8" s="77" t="inlineStr">
        <is>
          <t>Direct to hospital leadership</t>
        </is>
      </c>
      <c r="K8" s="77" t="inlineStr">
        <is>
          <t>+65 6581 7028</t>
        </is>
      </c>
      <c r="L8" s="77" t="inlineStr">
        <is>
          <t>Verified (SVA registry)</t>
        </is>
      </c>
      <c r="M8" s="74" t="n"/>
      <c r="N8" s="74" t="n"/>
      <c r="O8" s="74" t="n"/>
      <c r="P8" s="74" t="n"/>
    </row>
    <row r="9" ht="108" customHeight="1" s="114">
      <c r="A9" s="69" t="n">
        <v>3</v>
      </c>
      <c r="B9" s="70" t="inlineStr">
        <is>
          <t>Advanced Vet Care &amp; Pet Emergency</t>
        </is>
      </c>
      <c r="C9" s="71" t="inlineStr">
        <is>
          <t>Singapore</t>
        </is>
      </c>
      <c r="D9" s="71" t="inlineStr">
        <is>
          <t>Independent 24-hour + GP hospital</t>
        </is>
      </c>
      <c r="E9" s="72" t="inlineStr">
        <is>
          <t>1</t>
        </is>
      </c>
      <c r="F9" s="73" t="inlineStr">
        <is>
          <t>YES — direct, no registration identified</t>
        </is>
      </c>
      <c r="G9" s="71" t="inlineStr">
        <is>
          <t>Independent 24-hour hospital. Emergency abdominal scanning is the single fastest-converting use case for a handheld: the veterinarian on shift is also the buyer, so there is no procurement layer.</t>
        </is>
      </c>
      <c r="H9" s="71" t="inlineStr">
        <is>
          <t>A 30-day SonoEye P3 VET evaluation placement on the night shift, with weekly utilisation reporting.</t>
        </is>
      </c>
      <c r="I9" s="71" t="inlineStr">
        <is>
          <t>SonoEye P3 VET</t>
        </is>
      </c>
      <c r="J9" s="71" t="inlineStr">
        <is>
          <t>Direct to hospital director / owner</t>
        </is>
      </c>
      <c r="K9" s="71" t="inlineStr">
        <is>
          <t>+65 6636 1788</t>
        </is>
      </c>
      <c r="L9" s="71" t="inlineStr">
        <is>
          <t>Verified (SVA registry)</t>
        </is>
      </c>
      <c r="M9" s="74" t="n"/>
      <c r="N9" s="74" t="n"/>
      <c r="O9" s="74" t="n"/>
      <c r="P9" s="74" t="n"/>
    </row>
    <row r="10" ht="108" customHeight="1" s="114">
      <c r="A10" s="75" t="n">
        <v>4</v>
      </c>
      <c r="B10" s="76" t="inlineStr">
        <is>
          <t>Landon Veterinary Specialist Hospital</t>
        </is>
      </c>
      <c r="C10" s="77" t="inlineStr">
        <is>
          <t>Singapore</t>
        </is>
      </c>
      <c r="D10" s="77" t="inlineStr">
        <is>
          <t>Specialty hospital</t>
        </is>
      </c>
      <c r="E10" s="78" t="inlineStr">
        <is>
          <t>1</t>
        </is>
      </c>
      <c r="F10" s="79" t="inlineStr">
        <is>
          <t>YES — direct, no registration identified</t>
        </is>
      </c>
      <c r="G10" s="77" t="inlineStr">
        <is>
          <t>Specialist hospital and an independent counterweight to the Mars group. Produces the clinical case material the evidence pack needs, from a site with no corporate conflict.</t>
        </is>
      </c>
      <c r="H10" s="77" t="inlineStr">
        <is>
          <t>A 30-day evaluation placement plus agreement to co-author one case write-up.</t>
        </is>
      </c>
      <c r="I10" s="77" t="inlineStr">
        <is>
          <t>SonoEye P3 VET · EBit 60 VET</t>
        </is>
      </c>
      <c r="J10" s="77" t="inlineStr">
        <is>
          <t>Direct to the specialist team</t>
        </is>
      </c>
      <c r="K10" s="77" t="inlineStr">
        <is>
          <t>+65 6463 7228</t>
        </is>
      </c>
      <c r="L10" s="77" t="inlineStr">
        <is>
          <t>Verified (SVA registry)</t>
        </is>
      </c>
      <c r="M10" s="74" t="n"/>
      <c r="N10" s="74" t="n"/>
      <c r="O10" s="74" t="n"/>
      <c r="P10" s="74" t="n"/>
    </row>
    <row r="11" ht="108" customHeight="1" s="114">
      <c r="A11" s="69" t="n">
        <v>5</v>
      </c>
      <c r="B11" s="80" t="inlineStr">
        <is>
          <t>全國動物醫院連鎖體系 (National Veterinary Hospital group)</t>
        </is>
      </c>
      <c r="C11" s="71" t="inlineStr">
        <is>
          <t>Taiwan</t>
        </is>
      </c>
      <c r="D11" s="71" t="inlineStr">
        <is>
          <t>Largest chain group in Taiwan</t>
        </is>
      </c>
      <c r="E11" s="72" t="inlineStr">
        <is>
          <t>16 branches per internal list — CONFIRM</t>
        </is>
      </c>
      <c r="F11" s="81" t="inlineStr">
        <is>
          <t>NOT YET — appoint the Taiwan distributor first</t>
        </is>
      </c>
      <c r="G11" s="71" t="inlineStr">
        <is>
          <t>Largest veterinary chain in Taiwan and the highest unit-leverage account outside Singapore. The group runs its own training academy (詮國培訓學院) and an Asia-Pacific operations HQ, which makes it a natural education partner rather than only a buyer.</t>
        </is>
      </c>
      <c r="H11" s="71" t="inlineStr">
        <is>
          <t>A head-office meeting to scope a group standardisation trial, and to explore a joint hands-on session through their training academy.</t>
        </is>
      </c>
      <c r="I11" s="71" t="inlineStr">
        <is>
          <t>SonoEye P3 VET per site + shared EBit 50 VET</t>
        </is>
      </c>
      <c r="J11" s="71" t="inlineStr">
        <is>
          <t>Head office, Taichung. Meet around SUMROC (31 Oct – 1 Nov 2026)</t>
        </is>
      </c>
      <c r="K11" s="71" t="inlineStr">
        <is>
          <t>via vet.com.tw</t>
        </is>
      </c>
      <c r="L11" s="71" t="inlineStr">
        <is>
          <t>Verified site (domain live; branch count and departments per internal list, to confirm)</t>
        </is>
      </c>
      <c r="M11" s="74" t="n"/>
      <c r="N11" s="74" t="n"/>
      <c r="O11" s="74" t="n"/>
      <c r="P11" s="74" t="n"/>
    </row>
    <row r="12" ht="108" customHeight="1" s="114">
      <c r="A12" s="75" t="n">
        <v>6</v>
      </c>
      <c r="B12" s="82" t="inlineStr">
        <is>
          <t>慈愛動物醫院集團 (Ci-Ai Animal Hospital Group)</t>
        </is>
      </c>
      <c r="C12" s="77" t="inlineStr">
        <is>
          <t>Taiwan</t>
        </is>
      </c>
      <c r="D12" s="77" t="inlineStr">
        <is>
          <t>Multi-city chain, ISO-certified</t>
        </is>
      </c>
      <c r="E12" s="78" t="inlineStr">
        <is>
          <t>Taipei · Taichung · Tainan; 50+ vets per internal list</t>
        </is>
      </c>
      <c r="F12" s="83" t="inlineStr">
        <is>
          <t>NOT YET — appoint the Taiwan distributor first</t>
        </is>
      </c>
      <c r="G12" s="77" t="inlineStr">
        <is>
          <t>First veterinary chain in Taiwan and an ISO-certified operator, which means it buys on documented quality rather than on price alone. Runs 24-hour sites. Second independent route into the Taiwanese chain tier.</t>
        </is>
      </c>
      <c r="H12" s="77" t="inlineStr">
        <is>
          <t>A head-office meeting on group standardisation. Lead on warranty, service response and probe availability, not on price.</t>
        </is>
      </c>
      <c r="I12" s="77" t="inlineStr">
        <is>
          <t>SonoEye P3 VET per site + shared SonoAir 70 VET</t>
        </is>
      </c>
      <c r="J12" s="77" t="inlineStr">
        <is>
          <t>Head office. Meet on the same Taiwan visit</t>
        </is>
      </c>
      <c r="K12" s="77" t="inlineStr">
        <is>
          <t>via lkah.com.tw</t>
        </is>
      </c>
      <c r="L12" s="77" t="inlineStr">
        <is>
          <t>Verified site (internal list)</t>
        </is>
      </c>
      <c r="M12" s="74" t="n"/>
      <c r="N12" s="74" t="n"/>
      <c r="O12" s="74" t="n"/>
      <c r="P12" s="74" t="n"/>
    </row>
    <row r="13" ht="108" customHeight="1" s="114">
      <c r="A13" s="69" t="n">
        <v>7</v>
      </c>
      <c r="B13" s="80" t="inlineStr">
        <is>
          <t>台大動物醫院 NTU Veterinary Hospital</t>
        </is>
      </c>
      <c r="C13" s="71" t="inlineStr">
        <is>
          <t>Taiwan</t>
        </is>
      </c>
      <c r="D13" s="71" t="inlineStr">
        <is>
          <t>University teaching hospital + oncology centre</t>
        </is>
      </c>
      <c r="E13" s="72" t="inlineStr">
        <is>
          <t>1</t>
        </is>
      </c>
      <c r="F13" s="81" t="inlineStr">
        <is>
          <t>NOT YET — engage for KOL and evaluation, not for invoice</t>
        </is>
      </c>
      <c r="G13" s="71" t="inlineStr">
        <is>
          <t>The top referral and academic veterinary site in Taiwan, with a cancer centre. Residents trained on a platform specify it when they open or join a practice. This is the account that seeds the next five years, and it can be engaged before the channel exists.</t>
        </is>
      </c>
      <c r="H13" s="71" t="inlineStr">
        <is>
          <t>An academic evaluation placement at or near cost, and an introduction to the diagnostic imaging faculty. Ask who runs imaging teaching.</t>
        </is>
      </c>
      <c r="I13" s="71" t="inlineStr">
        <is>
          <t>SonoEye VET education fleet</t>
        </is>
      </c>
      <c r="J13" s="71" t="inlineStr">
        <is>
          <t>Direct to the hospital, then imaging faculty</t>
        </is>
      </c>
      <c r="K13" s="71" t="inlineStr">
        <is>
          <t>via vh.ntu.edu.tw</t>
        </is>
      </c>
      <c r="L13" s="71" t="inlineStr">
        <is>
          <t>Verified site (internal list)</t>
        </is>
      </c>
      <c r="M13" s="74" t="n"/>
      <c r="N13" s="74" t="n"/>
      <c r="O13" s="74" t="n"/>
      <c r="P13" s="74" t="n"/>
    </row>
    <row r="14" ht="108" customHeight="1" s="114">
      <c r="A14" s="75" t="n">
        <v>8</v>
      </c>
      <c r="B14" s="82" t="inlineStr">
        <is>
          <t>해마루 이차진료 동물병원 (Haemaru Referral Animal Hospital)</t>
        </is>
      </c>
      <c r="C14" s="77" t="inlineStr">
        <is>
          <t>South Korea</t>
        </is>
      </c>
      <c r="D14" s="77" t="inlineStr">
        <is>
          <t>First second-tier referral hospital in Korea; has an associated foundation</t>
        </is>
      </c>
      <c r="E14" s="78" t="inlineStr">
        <is>
          <t>1</t>
        </is>
      </c>
      <c r="F14" s="83" t="inlineStr">
        <is>
          <t>NOT YET — appoint a QIA-licensed importer first</t>
        </is>
      </c>
      <c r="G14" s="77" t="inlineStr">
        <is>
          <t>Korea's first referral hospital and still an academic platform with a teaching role. The single most credible non-university KOL site in Korea, and the right counterweight to the Samsung–KAHA education network.</t>
        </is>
      </c>
      <c r="H14" s="77" t="inlineStr">
        <is>
          <t>An evaluation placement plus a conversation about a joint hands-on imaging session through the foundation.</t>
        </is>
      </c>
      <c r="I14" s="77" t="inlineStr">
        <is>
          <t>SonoAir 70 VET + SonoEye P5 VET ward fleet</t>
        </is>
      </c>
      <c r="J14" s="77" t="inlineStr">
        <is>
          <t>Direct to hospital leadership / foundation</t>
        </is>
      </c>
      <c r="K14" s="77" t="inlineStr">
        <is>
          <t>via haemaru.co.kr</t>
        </is>
      </c>
      <c r="L14" s="77" t="inlineStr">
        <is>
          <t>Verified site (internal list)</t>
        </is>
      </c>
      <c r="M14" s="74" t="n"/>
      <c r="N14" s="74" t="n"/>
      <c r="O14" s="74" t="n"/>
      <c r="P14" s="74" t="n"/>
    </row>
    <row r="15" ht="108" customHeight="1" s="114">
      <c r="A15" s="69" t="n">
        <v>9</v>
      </c>
      <c r="B15" s="70" t="inlineStr">
        <is>
          <t>VIP동물의료센터 (VIP Animal Medical Center)</t>
        </is>
      </c>
      <c r="C15" s="71" t="inlineStr">
        <is>
          <t>South Korea</t>
        </is>
      </c>
      <c r="D15" s="71" t="inlineStr">
        <is>
          <t>24-hour metropolitan hospital group</t>
        </is>
      </c>
      <c r="E15" s="72" t="inlineStr">
        <is>
          <t>5 Seoul sites (Cheongdam flagship, Seongbuk, Dongdaemun, Nowon, Seocho)</t>
        </is>
      </c>
      <c r="F15" s="81" t="inlineStr">
        <is>
          <t>NOT YET — appoint a QIA-licensed importer first</t>
        </is>
      </c>
      <c r="G15" s="71" t="inlineStr">
        <is>
          <t>Five departmentally specialised 24-hour centres under one head office. The best multi-unit opportunity in Korea and a fleet decision rather than five sales.</t>
        </is>
      </c>
      <c r="H15" s="71" t="inlineStr">
        <is>
          <t>A head-office meeting on standardising one handheld per site. Establish whether the group buys centrally.</t>
        </is>
      </c>
      <c r="I15" s="71" t="inlineStr">
        <is>
          <t>SonoEye P3 VET per site + shared EBit 50 VET</t>
        </is>
      </c>
      <c r="J15" s="71" t="inlineStr">
        <is>
          <t>Group head office, Seoul Gangnam</t>
        </is>
      </c>
      <c r="K15" s="71" t="inlineStr">
        <is>
          <t>via vipah.co.kr</t>
        </is>
      </c>
      <c r="L15" s="71" t="inlineStr">
        <is>
          <t>Verified site (internal list)</t>
        </is>
      </c>
      <c r="M15" s="74" t="n"/>
      <c r="N15" s="74" t="n"/>
      <c r="O15" s="74" t="n"/>
      <c r="P15" s="74" t="n"/>
    </row>
    <row r="16" ht="108" customHeight="1" s="114">
      <c r="A16" s="75" t="n">
        <v>10</v>
      </c>
      <c r="B16" s="76" t="inlineStr">
        <is>
          <t>JARMeC 日本動物高度医療センター (Japan Animal Referral Medical Center)</t>
        </is>
      </c>
      <c r="C16" s="77" t="inlineStr">
        <is>
          <t>Japan</t>
        </is>
      </c>
      <c r="D16" s="77" t="inlineStr">
        <is>
          <t>Listed advanced-referral hospital group</t>
        </is>
      </c>
      <c r="E16" s="78" t="inlineStr">
        <is>
          <t>4 hospitals: Kawasaki (HQ), Tokyo, Nagoya, Osaka</t>
        </is>
      </c>
      <c r="F16" s="83" t="inlineStr">
        <is>
          <t>NOT YET — MAFF notification + Japanese MAH required first</t>
        </is>
      </c>
      <c r="G16" s="77" t="inlineStr">
        <is>
          <t>The highest-influence imaging site in the largest market. More than 4,800 partner hospitals as at July 2026, over a third of Japan's ~12,000 clinics. Carries a dedicated diagnostic imaging department and a radiology department, and runs its own academic and seminar programme. A new MRI went in at Kawasaki in April 2026, so the capital cycle is active.</t>
        </is>
      </c>
      <c r="H16" s="77" t="inlineStr">
        <is>
          <t>An introduction to the diagnostic imaging department (画像診断科) and a research or evaluation collaboration. Do NOT pitch emergency scanning — JARMeC does not run an emergency outpatient service.</t>
        </is>
      </c>
      <c r="I16" s="77" t="inlineStr">
        <is>
          <t>SonoAir 70 VET + SonoEye P5 VET (cart tier not addressable, see D-2)</t>
        </is>
      </c>
      <c r="J16" s="77" t="inlineStr">
        <is>
          <t>Enquiry form at jarmec.jp/inquiry, then imaging department</t>
        </is>
      </c>
      <c r="K16" s="77" t="inlineStr">
        <is>
          <t>via jarmec.jp/inquiry/</t>
        </is>
      </c>
      <c r="L16" s="77" t="inlineStr">
        <is>
          <t>Verified site (re-fetched 30 Jul 2026)</t>
        </is>
      </c>
      <c r="M16" s="74" t="n"/>
      <c r="N16" s="74" t="n"/>
      <c r="O16" s="74" t="n"/>
      <c r="P16" s="74" t="n"/>
    </row>
    <row r="17"/>
    <row r="18" ht="15" customHeight="1" s="114">
      <c r="A18" s="10" t="inlineStr">
        <is>
          <t>COUNT — accounts CHISON can invoice today</t>
        </is>
      </c>
      <c r="F18" s="10">
        <f>COUNTIF(F7:F16,"YES*")</f>
        <v/>
      </c>
    </row>
    <row r="19" ht="15" customHeight="1" s="114">
      <c r="A19" s="10" t="inlineStr">
        <is>
          <t>COUNT — accounts requiring a channel or filing first</t>
        </is>
      </c>
      <c r="F19" s="10">
        <f>COUNTIF(F7:F16,"NOT YET*")</f>
        <v/>
      </c>
    </row>
    <row r="20" ht="15" customHeight="1" s="114">
      <c r="A20" s="10" t="inlineStr">
        <is>
          <t>COUNT — contacted so far (fills as you work the list)</t>
        </is>
      </c>
      <c r="F20" s="10">
        <f>COUNTA(N7:N16)</f>
        <v/>
      </c>
    </row>
    <row r="21"/>
    <row r="22" ht="43.5" customHeight="1" s="114">
      <c r="A22" s="116" t="inlineStr">
        <is>
          <t>Assumption: rank order weights (a) whether a legal sale is possible now, (b) units per relationship, (c) KOL and reference value. Singapore ranks 1–4 because it is the only market where AstraMed can invoice today. Sources: internal Market Development Target List v2 of 18 July 2026; JARMeC and vet.com.tw re-fetched 30 July 2026. Site counts marked CONFIRM come from the internal list and are not independently verified.</t>
        </is>
      </c>
    </row>
  </sheetData>
  <autoFilter ref="A5:P16"/>
  <mergeCells count="4">
    <mergeCell ref="A22:P22"/>
    <mergeCell ref="A1:P1"/>
    <mergeCell ref="A3:P3"/>
    <mergeCell ref="A2:P2"/>
  </mergeCells>
  <conditionalFormatting sqref="O7:O16">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1">
    <dataValidation sqref="O7:O16"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6" customWidth="1" style="114" min="1" max="1"/>
    <col width="36" customWidth="1" style="114" min="2" max="2"/>
    <col width="13" customWidth="1" style="114" min="3" max="3"/>
    <col width="32" customWidth="1" style="114" min="4" max="4"/>
    <col width="62" customWidth="1" style="114" min="5" max="5"/>
    <col width="26" customWidth="1" style="114" min="6" max="6"/>
  </cols>
  <sheetData>
    <row r="1" ht="17.25" customHeight="1" s="114">
      <c r="A1" s="117" t="inlineStr">
        <is>
          <t>BENCH — RANKS 11 TO 20</t>
        </is>
      </c>
    </row>
    <row r="2" ht="15" customHeight="1" s="114">
      <c r="A2" s="85" t="inlineStr">
        <is>
          <t>Work these once the top ten are contacted, or substitute where a top-ten account declines. Same source basis.</t>
        </is>
      </c>
    </row>
    <row r="3"/>
    <row r="4" ht="30" customHeight="1" s="114">
      <c r="A4" s="67" t="inlineStr">
        <is>
          <t>Rank</t>
        </is>
      </c>
      <c r="B4" s="67" t="inlineStr">
        <is>
          <t>Account</t>
        </is>
      </c>
      <c r="C4" s="67" t="inlineStr">
        <is>
          <t>Market</t>
        </is>
      </c>
      <c r="D4" s="67" t="inlineStr">
        <is>
          <t>Type</t>
        </is>
      </c>
      <c r="E4" s="67" t="inlineStr">
        <is>
          <t>Why it is on the bench rather than the top ten</t>
        </is>
      </c>
      <c r="F4" s="67" t="inlineStr">
        <is>
          <t>Source status</t>
        </is>
      </c>
    </row>
    <row r="5" ht="54" customHeight="1" s="114">
      <c r="A5" s="75" t="n">
        <v>11</v>
      </c>
      <c r="B5" s="76" t="inlineStr">
        <is>
          <t>Westside Emergency Animal Hospital</t>
        </is>
      </c>
      <c r="C5" s="77" t="inlineStr">
        <is>
          <t>Singapore</t>
        </is>
      </c>
      <c r="D5" s="77" t="inlineStr">
        <is>
          <t>Independent emergency hospital</t>
        </is>
      </c>
      <c r="E5" s="77" t="inlineStr">
        <is>
          <t>Same segment and same pitch as rank 3; take it second so the two evaluation units are not both in one segment at once.</t>
        </is>
      </c>
      <c r="F5" s="77" t="inlineStr">
        <is>
          <t>Verified (SVA)</t>
        </is>
      </c>
    </row>
    <row r="6" ht="78" customHeight="1" s="114">
      <c r="A6" s="71" t="n">
        <v>12</v>
      </c>
      <c r="B6" s="71" t="inlineStr">
        <is>
          <t>Pet Space Singapore — Animal Recovery Veterinary Centre (Pet Space Group)</t>
        </is>
      </c>
      <c r="C6" s="71" t="inlineStr">
        <is>
          <t>Singapore</t>
        </is>
      </c>
      <c r="D6" s="71" t="inlineStr">
        <is>
          <t>24-hour referral + GP hospital; Singapore arm of a 12-clinic Hong Kong and Singapore group</t>
        </is>
      </c>
      <c r="E6" s="71" t="inlineStr">
        <is>
          <t>CORRECTED IN v7: this and the former rank 20 'Pet Space Singapore' are ONE company — Animal Recovery Veterinary Centre Pte Ltd was formerly Pet Space (Singapore) Pte Ltd. Merged here. On the evidence it now outranks parts of the top ten: 12 clinics across two markets, ultrasound already offered, and a house-call service that a cart scanner cannot serve. Promote it into the top ten on the next revision.</t>
        </is>
      </c>
      <c r="F6" s="71" t="inlineStr">
        <is>
          <t>Verified — petspace.sg opened 6 Aug 2026</t>
        </is>
      </c>
    </row>
    <row r="7" ht="54" customHeight="1" s="114">
      <c r="A7" s="75" t="n">
        <v>13</v>
      </c>
      <c r="B7" s="82" t="inlineStr">
        <is>
          <t>서울대학교 SNU 동물병원 (SNU VMTH)</t>
        </is>
      </c>
      <c r="C7" s="77" t="inlineStr">
        <is>
          <t>South Korea</t>
        </is>
      </c>
      <c r="D7" s="77" t="inlineStr">
        <is>
          <t>No.1 university teaching hospital</t>
        </is>
      </c>
      <c r="E7" s="77" t="inlineStr">
        <is>
          <t>Highest academic value in Korea but the slowest cycle, and the cart-tier gap bites hardest here. Open after decision D-2.</t>
        </is>
      </c>
      <c r="F7" s="77" t="inlineStr">
        <is>
          <t>Verified site</t>
        </is>
      </c>
    </row>
    <row r="8" ht="54" customHeight="1" s="114">
      <c r="A8" s="69" t="n">
        <v>14</v>
      </c>
      <c r="B8" s="80" t="inlineStr">
        <is>
          <t>샤인동물메디컬센터 Shine AMC</t>
        </is>
      </c>
      <c r="C8" s="71" t="inlineStr">
        <is>
          <t>South Korea</t>
        </is>
      </c>
      <c r="D8" s="71" t="inlineStr">
        <is>
          <t>University-grade 24-hour centre with CT and MRI</t>
        </is>
      </c>
      <c r="E8" s="71" t="inlineStr">
        <is>
          <t>Strong metro flagship. Third Korean account; sequence behind Haemaru and VIP.</t>
        </is>
      </c>
      <c r="F8" s="71" t="inlineStr">
        <is>
          <t>Verified site</t>
        </is>
      </c>
    </row>
    <row r="9" ht="54" customHeight="1" s="114">
      <c r="A9" s="75" t="n">
        <v>15</v>
      </c>
      <c r="B9" s="82" t="inlineStr">
        <is>
          <t>東京大学附属動物医療センター (University of Tokyo VMC)</t>
        </is>
      </c>
      <c r="C9" s="77" t="inlineStr">
        <is>
          <t>Japan</t>
        </is>
      </c>
      <c r="D9" s="77" t="inlineStr">
        <is>
          <t>Top academic veterinary site in Japan</t>
        </is>
      </c>
      <c r="E9" s="77" t="inlineStr">
        <is>
          <t>High KOL value, long cycle, and cart-tier dependent. Engage once the MAFF route is confirmed.</t>
        </is>
      </c>
      <c r="F9" s="77" t="inlineStr">
        <is>
          <t>Verified site</t>
        </is>
      </c>
    </row>
    <row r="10" ht="54" customHeight="1" s="114">
      <c r="A10" s="69" t="n">
        <v>16</v>
      </c>
      <c r="B10" s="80" t="inlineStr">
        <is>
          <t>東京農工大学 動物医療センター (TUAT)</t>
        </is>
      </c>
      <c r="C10" s="71" t="inlineStr">
        <is>
          <t>Japan</t>
        </is>
      </c>
      <c r="D10" s="71" t="inlineStr">
        <is>
          <t>Leading small-animal academic centre</t>
        </is>
      </c>
      <c r="E10" s="71" t="inlineStr">
        <is>
          <t>Same reasoning as rank 15. Good second Japanese academic account.</t>
        </is>
      </c>
      <c r="F10" s="71" t="inlineStr">
        <is>
          <t>Verified site</t>
        </is>
      </c>
    </row>
    <row r="11" ht="54" customHeight="1" s="114">
      <c r="A11" s="75" t="n">
        <v>17</v>
      </c>
      <c r="B11" s="76" t="inlineStr">
        <is>
          <t>AEON Pet / ペテモ動物医療センター</t>
        </is>
      </c>
      <c r="C11" s="77" t="inlineStr">
        <is>
          <t>Japan</t>
        </is>
      </c>
      <c r="D11" s="77" t="inlineStr">
        <is>
          <t>Japan's largest mall-based veterinary network</t>
        </is>
      </c>
      <c r="E11" s="77" t="inlineStr">
        <is>
          <t>Potentially the highest-volume single agreement in Japan, but the company details are search-sourced and unverified. Confirm the entity before approaching.</t>
        </is>
      </c>
      <c r="F11" s="77" t="inlineStr">
        <is>
          <t>From search — to verify</t>
        </is>
      </c>
    </row>
    <row r="12" ht="54" customHeight="1" s="114">
      <c r="A12" s="69" t="n">
        <v>18</v>
      </c>
      <c r="B12" s="80" t="inlineStr">
        <is>
          <t>中興大學獸醫教學醫院 (NCHU)</t>
        </is>
      </c>
      <c r="C12" s="71" t="inlineStr">
        <is>
          <t>Taiwan</t>
        </is>
      </c>
      <c r="D12" s="71" t="inlineStr">
        <is>
          <t>University teaching hospital, central Taiwan</t>
        </is>
      </c>
      <c r="E12" s="71" t="inlineStr">
        <is>
          <t>Useful regional academic account; lower influence than NTU. Add to the Taiwan visit if time allows.</t>
        </is>
      </c>
      <c r="F12" s="71" t="inlineStr">
        <is>
          <t>To verify</t>
        </is>
      </c>
    </row>
    <row r="13" ht="54" customHeight="1" s="114">
      <c r="A13" s="75" t="n">
        <v>19</v>
      </c>
      <c r="B13" s="82" t="inlineStr">
        <is>
          <t>로얄동물메디컬센터 (Royal AMC)</t>
        </is>
      </c>
      <c r="C13" s="77" t="inlineStr">
        <is>
          <t>South Korea</t>
        </is>
      </c>
      <c r="D13" s="77" t="inlineStr">
        <is>
          <t>3-site hospital group, Seoul</t>
        </is>
      </c>
      <c r="E13" s="77" t="inlineStr">
        <is>
          <t>Second Korean multi-site group. Hold as the alternative if VIP declines.</t>
        </is>
      </c>
      <c r="F13" s="77" t="inlineStr">
        <is>
          <t>From search</t>
        </is>
      </c>
    </row>
    <row r="14" ht="78" customHeight="1" s="114">
      <c r="A14" s="71" t="n">
        <v>20</v>
      </c>
      <c r="B14" s="71" t="inlineStr">
        <is>
          <t>Animal Ark Veterinary Group</t>
        </is>
      </c>
      <c r="C14" s="71" t="inlineStr">
        <is>
          <t>Singapore</t>
        </is>
      </c>
      <c r="D14" s="71" t="inlineStr">
        <is>
          <t>Independent multi-site GP group, 4 sites</t>
        </is>
      </c>
      <c r="E14" s="71" t="inlineStr">
        <is>
          <t>REPLACES the former rank 20, which was a duplicate of rank 12. Animal Ark is the largest genuinely independent multi-site group on the SVA register — one owner, four sites, no corporate procurement to navigate — and Singapore can be invoiced today. It is the ideal first fleet reference.</t>
        </is>
      </c>
      <c r="F14" s="71" t="inlineStr">
        <is>
          <t>Verified (SVA register)</t>
        </is>
      </c>
    </row>
    <row r="15"/>
    <row r="16" ht="61.5" customHeight="1" s="114">
      <c r="A16" s="10" t="inlineStr">
        <is>
          <t>NOTE</t>
        </is>
      </c>
      <c r="B16" s="60" t="inlineStr">
        <is>
          <t>This ranking was built before the Singapore tab was expanded to 73 accounts. Three other P1 Singapore accounts are NOT ranked here and can all be invoiced today: The Visiting Vets Clinic (house-call practice — the clearest handheld use case in the market), Amber Veterinary Practice + Amber Cat Vet (advanced diagnostics plus a feline clinic), and Mars Veterinary Health at group level. Work them alongside the bench.</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E8"/>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13" customWidth="1" style="114" min="1" max="1"/>
    <col width="44" customWidth="1" style="114" min="2" max="2"/>
    <col width="52" customWidth="1" style="114" min="3" max="3"/>
    <col width="54" customWidth="1" style="114" min="4" max="4"/>
    <col width="46" customWidth="1" style="114" min="5" max="5"/>
  </cols>
  <sheetData>
    <row r="1" ht="17.25" customHeight="1" s="114">
      <c r="A1" s="117" t="inlineStr">
        <is>
          <t>WHAT YOU MAY AND MAY NOT DO BEFORE THE CHANNEL IS IN PLACE</t>
        </is>
      </c>
    </row>
    <row r="2" ht="31.5" customHeight="1" s="114">
      <c r="A2" s="116" t="inlineStr">
        <is>
          <t>Read this before the first call. In three of the four markets there is no legal route to invoice a hospital yet, but every one of them can be engaged now for relationship, evaluation and KOL purposes — and doing so materially strengthens the distributor negotiation.</t>
        </is>
      </c>
    </row>
    <row r="3"/>
    <row r="4" ht="30" customHeight="1" s="114">
      <c r="A4" s="67" t="inlineStr">
        <is>
          <t>Market</t>
        </is>
      </c>
      <c r="B4" s="67" t="inlineStr">
        <is>
          <t>Can you invoice a hospital today?</t>
        </is>
      </c>
      <c r="C4" s="67" t="inlineStr">
        <is>
          <t>What you may do now</t>
        </is>
      </c>
      <c r="D4" s="67" t="inlineStr">
        <is>
          <t>What you must not do</t>
        </is>
      </c>
      <c r="E4" s="67" t="inlineStr">
        <is>
          <t>Gating action</t>
        </is>
      </c>
    </row>
    <row r="5" ht="96" customHeight="1" s="114">
      <c r="A5" s="76" t="inlineStr">
        <is>
          <t>Singapore</t>
        </is>
      </c>
      <c r="B5" s="79" t="inlineStr">
        <is>
          <t>YES. Veterinary health products sit outside the Health Products Act medical device regime; Part 14 applies instead. AstraMed sells direct.</t>
        </is>
      </c>
      <c r="C5" s="77" t="inlineStr">
        <is>
          <t>Quote, place evaluation units, invoice, install and service. Run the accounts at ranks 1–4 as normal commercial sales.</t>
        </is>
      </c>
      <c r="D5" s="77" t="inlineStr">
        <is>
          <t>Do not assume the position without the written AVS confirmation. Do not sell a human-labelled unit into a veterinary account and assume the same position applies.</t>
        </is>
      </c>
      <c r="E5" s="77" t="inlineStr">
        <is>
          <t>Written AVS confirmation that animal-only ultrasound is outside the HPA device regime. Owner: AstraMed regulatory. 30 days.</t>
        </is>
      </c>
    </row>
    <row r="6" ht="96" customHeight="1" s="114">
      <c r="A6" s="70" t="inlineStr">
        <is>
          <t>Taiwan</t>
        </is>
      </c>
      <c r="B6" s="81" t="inlineStr">
        <is>
          <t>NOT YET, but the barrier is customs rather than device registration. No animal-only device registration regime was identified.</t>
        </is>
      </c>
      <c r="C6" s="71" t="inlineStr">
        <is>
          <t>Meet chain head offices, scope standardisation, run academic conversations, agree evaluation terms in principle.</t>
        </is>
      </c>
      <c r="D6" s="71" t="inlineStr">
        <is>
          <t>Do not ship, quote a landed price, or accept a stocking order until the commodity-code import permission for Chinese-origin goods is confirmed in writing. This is separate from the device question and is unresolved.</t>
        </is>
      </c>
      <c r="E6" s="71" t="inlineStr">
        <is>
          <t>Two written enquiries: Ministry of Agriculture on the device position, and Bureau of Foreign Trade via the prospective agent on the commodity code. 30 days.</t>
        </is>
      </c>
    </row>
    <row r="7" ht="96" customHeight="1" s="114">
      <c r="A7" s="76" t="inlineStr">
        <is>
          <t>South Korea</t>
        </is>
      </c>
      <c r="B7" s="83" t="inlineStr">
        <is>
          <t>NOT YET. A Korean entity must hold a QIA veterinary device import business licence; the item step is a notification with a stated 10-day processing period.</t>
        </is>
      </c>
      <c r="C7" s="77" t="inlineStr">
        <is>
          <t>Meet referral hospitals and group head offices, agree evaluation placements subject to the importer being appointed, open the imaging study group conversation.</t>
        </is>
      </c>
      <c r="D7" s="77" t="inlineStr">
        <is>
          <t>Do not name a delivery date before the importer is appointed. Do not approach a distributor that is not on the QIA registered-firm list.</t>
        </is>
      </c>
      <c r="E7" s="77" t="inlineStr">
        <is>
          <t>Extract the QIA registered-firm list and appoint the importer. Owner: CHISON Regulatory Affairs with Casper Tan. 30–60 days.</t>
        </is>
      </c>
    </row>
    <row r="8" ht="96" customHeight="1" s="114">
      <c r="A8" s="70" t="inlineStr">
        <is>
          <t>Japan</t>
        </is>
      </c>
      <c r="B8" s="81" t="inlineStr">
        <is>
          <t>NOT YET. Requires CHISON foreign manufacturer registration with MAFF, a Japanese marketing authorisation holder, and a marketing notification with NVAL.</t>
        </is>
      </c>
      <c r="C8" s="71" t="inlineStr">
        <is>
          <t>Approach referral and academic sites for research and evaluation collaboration. Attend congresses. Build the named KOL directory. All of this is legitimate pre-market relationship work.</t>
        </is>
      </c>
      <c r="D8" s="71" t="inlineStr">
        <is>
          <t>Do not quote, take an order, or promise a supply date. Do not approach Fujifilm VET Systems as a partner — it is Fujifilm-owned and conflicted.</t>
        </is>
      </c>
      <c r="E8" s="71" t="inlineStr">
        <is>
          <t>Raise the NVAL classification enquiry and start the foreign manufacturer registration file (3-month standard period) on day one. Owner: CHISON Regulatory Affairs. 14 days.</t>
        </is>
      </c>
    </row>
  </sheetData>
  <mergeCells count="1">
    <mergeCell ref="A2:E2"/>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D40"/>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46" customWidth="1" style="114" min="1" max="1"/>
    <col width="44" customWidth="1" style="114" min="2" max="2"/>
    <col width="20" customWidth="1" style="114" min="3" max="3"/>
    <col width="72" customWidth="1" style="114" min="4" max="4"/>
  </cols>
  <sheetData>
    <row r="1" ht="17.25" customHeight="1" s="114">
      <c r="A1" s="117" t="inlineStr">
        <is>
          <t>SOURCE AND VERIFICATION LOG</t>
        </is>
      </c>
    </row>
    <row r="2" ht="15" customHeight="1" s="114">
      <c r="A2" s="85" t="inlineStr">
        <is>
          <t>Every claim in this workbook, where it came from, and what is not verified. Read before quoting any of it externally.</t>
        </is>
      </c>
    </row>
    <row r="3"/>
    <row r="4" ht="25.5" customHeight="1" s="114">
      <c r="A4" s="67" t="inlineStr">
        <is>
          <t>Item</t>
        </is>
      </c>
      <c r="B4" s="67" t="inlineStr">
        <is>
          <t>Basis</t>
        </is>
      </c>
      <c r="C4" s="67" t="inlineStr">
        <is>
          <t>Verified?</t>
        </is>
      </c>
      <c r="D4" s="67" t="inlineStr">
        <is>
          <t>Note</t>
        </is>
      </c>
    </row>
    <row r="5" ht="75.75" customHeight="1" s="114">
      <c r="A5" s="76" t="inlineStr">
        <is>
          <t>Singapore accounts (ranks 1–4, 11–12), names, phones, group structure</t>
        </is>
      </c>
      <c r="B5" s="77" t="inlineStr">
        <is>
          <t>Internal Market Development Target List v2, Singapore veterinary sheet, 55 rows, sourced from the Singapore Veterinary Association registry</t>
        </is>
      </c>
      <c r="C5" s="79" t="inlineStr">
        <is>
          <t>Yes — Verified (SVA)</t>
        </is>
      </c>
      <c r="D5" s="77" t="inlineStr">
        <is>
          <t>Phone numbers were taken from the SVA registry (May 2024 edition) and should be reconfirmed on the call.</t>
        </is>
      </c>
    </row>
    <row r="6" ht="75.75" customHeight="1" s="114">
      <c r="A6" s="70" t="inlineStr">
        <is>
          <t>JARMeC: 4 hospitals, diagnostic imaging and radiology departments, &gt;4,800 partner hospitals, new MRI at Kawasaki Apr 2026, no emergency outpatient service</t>
        </is>
      </c>
      <c r="B6" s="71" t="inlineStr">
        <is>
          <t>jarmec.jp re-fetched 30 July 2026</t>
        </is>
      </c>
      <c r="C6" s="73" t="inlineStr">
        <is>
          <t>Yes — primary source</t>
        </is>
      </c>
      <c r="D6" s="71" t="inlineStr">
        <is>
          <t>This corrected an earlier assumption. JARMeC is referral and advanced imaging only; it does not run an emergency outpatient service, so do not pitch cage-side emergency scanning there.</t>
        </is>
      </c>
    </row>
    <row r="7" ht="75.75" customHeight="1" s="114">
      <c r="A7" s="82" t="inlineStr">
        <is>
          <t>全國動物醫院 group: domain live, group structure, own training academy (詮國培訓學院), Asia-Pacific operations HQ</t>
        </is>
      </c>
      <c r="B7" s="77" t="inlineStr">
        <is>
          <t>vet.com.tw re-fetched 30 July 2026</t>
        </is>
      </c>
      <c r="C7" s="86" t="inlineStr">
        <is>
          <t>Partly</t>
        </is>
      </c>
      <c r="D7" s="77" t="inlineStr">
        <is>
          <t>Entity and group structure confirmed. The "16 branches" figure and the cardiology and oncology departments come from the internal list and are NOT confirmed by the site. Verify on the head-office call.</t>
        </is>
      </c>
    </row>
    <row r="8" ht="75.75" customHeight="1" s="114">
      <c r="A8" s="70" t="inlineStr">
        <is>
          <t>Taiwan, Korea and Japan account names and descriptions (ranks 5–10, 13–19)</t>
        </is>
      </c>
      <c r="B8" s="71" t="inlineStr">
        <is>
          <t>Internal Market Development Target List v2, veterinary sheets</t>
        </is>
      </c>
      <c r="C8" s="87" t="inlineStr">
        <is>
          <t>Domain-level only</t>
        </is>
      </c>
      <c r="D8" s="71" t="inlineStr">
        <is>
          <t>Domains were confirmed live during the July 2026 consolidation. Branch counts, department lists and staff numbers are as recorded in the internal list and are not independently verified.</t>
        </is>
      </c>
    </row>
    <row r="9" ht="75.75" customHeight="1" s="114">
      <c r="A9" s="76" t="inlineStr">
        <is>
          <t>AEON Pet (rank 17)</t>
        </is>
      </c>
      <c r="B9" s="77" t="inlineStr">
        <is>
          <t>Search-sourced during the July 2026 consolidation</t>
        </is>
      </c>
      <c r="C9" s="83" t="inlineStr">
        <is>
          <t>No</t>
        </is>
      </c>
      <c r="D9" s="77" t="inlineStr">
        <is>
          <t>Excluded from the top ten for this reason. Confirm the corporate entity and the procurement contact before any approach.</t>
        </is>
      </c>
    </row>
    <row r="10" ht="75.75" customHeight="1" s="114">
      <c r="A10" s="70" t="inlineStr">
        <is>
          <t>Named individuals at any account</t>
        </is>
      </c>
      <c r="B10" s="71" t="inlineStr">
        <is>
          <t>—</t>
        </is>
      </c>
      <c r="C10" s="81" t="inlineStr">
        <is>
          <t>NONE EXIST</t>
        </is>
      </c>
      <c r="D10" s="71" t="inlineStr">
        <is>
          <t>No named veterinary contact has been verified at any of these accounts. The existing CHISON KOL directory contains 42 human-medicine clinicians and no veterinarians. Identify names on the call or at the first congress; do not fabricate them.</t>
        </is>
      </c>
    </row>
    <row r="11" ht="75.75" customHeight="1" s="114">
      <c r="A11" s="76" t="inlineStr">
        <is>
          <t>Regulatory positions on the Engagement rules sheet</t>
        </is>
      </c>
      <c r="B11" s="77" t="inlineStr">
        <is>
          <t>MAFF/NVAL, APQA/QIA, Taiwan Ministry of Agriculture guidance, Singapore Health Products Act Part 14</t>
        </is>
      </c>
      <c r="C11" s="86" t="inlineStr">
        <is>
          <t>Published, two of four TO VERIFY</t>
        </is>
      </c>
      <c r="D11" s="77" t="inlineStr">
        <is>
          <t>Taiwan and Singapore rest on the absence of a published requirement rather than a positive statement from the regulator. That is evidence, not a legal opinion. Confirm in writing before shipping.</t>
        </is>
      </c>
    </row>
    <row r="12" ht="75.75" customHeight="1" s="114">
      <c r="A12" s="70" t="inlineStr">
        <is>
          <t>Lead product recommendations</t>
        </is>
      </c>
      <c r="B12" s="71" t="inlineStr">
        <is>
          <t>CHISON published veterinary range and US list prices, re-fetched 30 July 2026</t>
        </is>
      </c>
      <c r="C12" s="73" t="inlineStr">
        <is>
          <t>Yes</t>
        </is>
      </c>
      <c r="D12" s="71" t="inlineStr">
        <is>
          <t>Twelve veterinary SKUs, USD 5,299 to USD 21,200. No veterinary-labelled cart exists, which is why the referral-tier accounts carry a note pointing to decision D-2.</t>
        </is>
      </c>
    </row>
    <row r="13"/>
    <row r="14" ht="14.25" customHeight="1" s="114">
      <c r="A14" s="88" t="inlineStr">
        <is>
          <t>ADDED IN v3/v4 — 4 August 2026</t>
        </is>
      </c>
      <c r="B14" s="88" t="n"/>
      <c r="C14" s="88" t="n"/>
      <c r="D14" s="88" t="n"/>
    </row>
    <row r="15" ht="45.75" customHeight="1" s="114">
      <c r="A15" s="113" t="inlineStr">
        <is>
          <t>RELEVANCE CORRECTION — 7 Japanese rows</t>
        </is>
      </c>
      <c r="B15" s="113" t="inlineStr">
        <is>
          <t>medical-space.co.jp/company/profile fetched 4 Aug 2026 — their published supplier list.</t>
        </is>
      </c>
      <c r="C15" s="113" t="inlineStr">
        <is>
          <t>Yes — primary source</t>
        </is>
      </c>
      <c r="D15" s="113" t="inlineStr">
        <is>
          <t>Tokyo Menix, Hongo Iwashiya, Dream Sangyo, Cross Medical Service, Vets Imaging, Hyubes and Meniwan appear on Medical Space's SUPPLIER list, i.e. they sell INTO dealers. In v2 they were listed as Tier 3 dealer targets, which was wrong. They are now marked MFR and their emails pitch a complementary-line conversation, not distribution.</t>
        </is>
      </c>
    </row>
    <row r="16" ht="57" customHeight="1" s="114">
      <c r="A16" s="113" t="inlineStr">
        <is>
          <t>Marketing-authorisation capability, Japan</t>
        </is>
      </c>
      <c r="B16" s="113" t="inlineStr">
        <is>
          <t>Company profile pages of Arrow Medical, KIRIKAN and Medical Space, fetched 4 Aug 2026.</t>
        </is>
      </c>
      <c r="C16" s="113" t="inlineStr">
        <is>
          <t>Yes — primary source</t>
        </is>
      </c>
      <c r="D16" s="113" t="inlineStr">
        <is>
          <t>Arrow Medical holds a Class-3 veterinary device marketing authorisation plus manufacturing and repair licences; KIRIKAN holds a Class-2 marketing authorisation plus manufacturing, repair and wholesale; Medical Space holds a FOREIGN MANUFACTURER registration (24外製療第300号) plus a Class-2 authorisation. This materially changes the Japan plan — the MAH obstacle may be solvable through the distributor rather than separately.</t>
        </is>
      </c>
    </row>
    <row r="17" ht="103.5" customHeight="1" s="114">
      <c r="A17" s="113" t="inlineStr">
        <is>
          <t>Korea additions to 23 rows / Taiwan additions to 20 rows (v4)</t>
        </is>
      </c>
      <c r="B17" s="113" t="inlineStr">
        <is>
          <t>Korean medical trade press, Komachine, and the corporate veterinary product pages of Poskom, BioNote, Genoray, DRGEM, ECORAY and Rayence; Taiwanese business press, TWSE listing coverage, and the corporate sites of Vetnostrum, Cheng Shen Agri-Med (OpenVet), KogiPet, Pinyork and IDEXX Taiwan.</t>
        </is>
      </c>
      <c r="C17" s="113" t="inlineStr">
        <is>
          <t>Mixed — see each row</t>
        </is>
      </c>
      <c r="D17" s="113" t="inlineStr">
        <is>
          <t>The Korean additions are deliberately weighted to X-RAY AND DETECTOR manufacturers with an existing veterinary line and NO ultrasound (Poskom, Genoray, DRGEM, ECORAY, Rayence) — structurally the same opportunity as Woorien. NOTE: Rayence and Woorien are BOTH VATECH group companies, so they are one conversation with two doors, and the email to Rayence says so openly. Healcerion (SONON) added as REF — a Korean handheld ultrasound maker and the closest competitor in that market. Websites for WooGene B&amp;G are NOT confirmed. In Taiwan, Vetnostrum and Cheng Shen are the two largest verified veterinary CHANNELS on the tab; Pinyork's veterinary exposure and Champ-E's veterinary channel are NOT confirmed.</t>
        </is>
      </c>
    </row>
    <row r="18" ht="57" customHeight="1" s="114">
      <c r="A18" s="113" t="inlineStr">
        <is>
          <t>Japan additions (7 rows)</t>
        </is>
      </c>
      <c r="B18" s="113" t="inlineStr">
        <is>
          <t>AHHD animal-drug wholesaler revenue ranking; tokushima-iryoki.co.jp; honda-el.co.jp.</t>
        </is>
      </c>
      <c r="C18" s="113" t="inlineStr">
        <is>
          <t>Mixed</t>
        </is>
      </c>
      <c r="D18" s="113" t="inlineStr">
        <is>
          <t>MP Agro, Fines, Agro Japan, Sun Daiko and Morikubo are the top-5 Japanese animal-drug wholesalers by revenue — the real national dealer layer, which v2 missed entirely. Tokushima Iryoki (Kyushu, contact verified) fills the western Japan gap. Honda Electronics added as REF — a domestic Japanese vet ultrasound maker that v2 also missed. Websites for Fines, Morikubo and Sun Daiko are NOT confirmed.</t>
        </is>
      </c>
    </row>
    <row r="19" ht="34.5" customHeight="1" s="114">
      <c r="A19" s="113" t="inlineStr">
        <is>
          <t>Singapore additions (40 rows)</t>
        </is>
      </c>
      <c r="B19" s="113" t="inlineStr">
        <is>
          <t>SVA register of AVS-registered veterinary centres, May 2024 edition, fetched 4 Aug 2026.</t>
        </is>
      </c>
      <c r="C19" s="113" t="inlineStr">
        <is>
          <t>Yes — register-sourced</t>
        </is>
      </c>
      <c r="D19" s="113" t="inlineStr">
        <is>
          <t>Every added row carries the published address, phone and website. Phone numbers are as published in May 2024 and MUST be reconfirmed on the call. The register runs to roughly 90 entries; the remainder are duplicates of listed groups or offer no distinguishing angle.</t>
        </is>
      </c>
    </row>
    <row r="20" ht="45.75" customHeight="1" s="114">
      <c r="A20" s="113" t="inlineStr">
        <is>
          <t>Ready-to-send emails</t>
        </is>
      </c>
      <c r="B20" s="113" t="inlineStr">
        <is>
          <t>Written 4 Aug 2026 from the researched facts on each row.</t>
        </is>
      </c>
      <c r="C20" s="113" t="inlineStr">
        <is>
          <t>n/a — original content</t>
        </is>
      </c>
      <c r="D20" s="113" t="inlineStr">
        <is>
          <t>Each email names its company in the subject and first line. Bespoke opening lines were authored for every Tier 1, Tier 2, P1 and P2 row; Tier 3 and P3 rows use a shorter segment-level opening. NO email contains a price, a delivery date or a configuration commitment, because none of that is cleared for external use. The only editable placeholder is the greeting.</t>
        </is>
      </c>
    </row>
    <row r="21" ht="22.5" customHeight="1" s="114">
      <c r="A21" s="113" t="inlineStr">
        <is>
          <t>Named individuals</t>
        </is>
      </c>
      <c r="B21" s="113" t="inlineStr">
        <is>
          <t>—</t>
        </is>
      </c>
      <c r="C21" s="113" t="inlineStr">
        <is>
          <t>STILL NONE</t>
        </is>
      </c>
      <c r="D21" s="113" t="inlineStr">
        <is>
          <t>Unchanged. No named contact at any company in this workbook has been verified. Use the dealer-linkedin-outreach workflow to find real people before sending anything.</t>
        </is>
      </c>
    </row>
    <row r="22" ht="60" customHeight="1" s="114">
      <c r="A22" s="115" t="inlineStr">
        <is>
          <t>ADDED IN v7 — 6 August 2026</t>
        </is>
      </c>
      <c r="B22" s="113" t="inlineStr">
        <is>
          <t>—</t>
        </is>
      </c>
      <c r="C22" s="113" t="inlineStr">
        <is>
          <t>—</t>
        </is>
      </c>
      <c r="D22" s="113" t="inlineStr">
        <is>
          <t>The rows below record the relevance re-check: whether each organisation can actually buy CHISON.</t>
        </is>
      </c>
    </row>
    <row r="23" ht="60" customHeight="1" s="114">
      <c r="A23" s="113" t="inlineStr">
        <is>
          <t>EASTECH reclassified from dealer candidate to competitor channel</t>
        </is>
      </c>
      <c r="B23" s="113" t="inlineStr">
        <is>
          <t>eastech-medical.com opened 6 Aug 2026</t>
        </is>
      </c>
      <c r="C23" s="113" t="inlineStr">
        <is>
          <t>Yes — primary source</t>
        </is>
      </c>
      <c r="D23" s="41" t="inlineStr">
        <is>
          <t>華鋒科技, sole Taiwan agent for Esaote. Veterinary section carries handheld, portable and cart ultrasound plus veterinary MRI. Majority stake held by BenQ Medical Technology (Qisda group) since 2020. Moved to Reference — Do Not Contact.</t>
        </is>
      </c>
    </row>
    <row r="24" ht="60" customHeight="1" s="114">
      <c r="A24" s="113" t="inlineStr">
        <is>
          <t>Animal Recovery Veterinary Centre and Pet Space Singapore are one company</t>
        </is>
      </c>
      <c r="B24" s="113" t="inlineStr">
        <is>
          <t>petspace.sg and sg.petspace.group opened 6 Aug 2026; company records show Animal Recovery Veterinary Centre Pte Ltd was formerly Pet Space (Singapore) Pte Ltd</t>
        </is>
      </c>
      <c r="C24" s="113" t="inlineStr">
        <is>
          <t>Yes — primary source</t>
        </is>
      </c>
      <c r="D24" s="113" t="inlineStr">
        <is>
          <t>Merged into a single Singapore row and upgraded to P1. Group runs 12 clinics across Hong Kong and Singapore and publishes both an ultrasound service and a house-call service. Bench rank 12 and rank 20 corrected accordingly.</t>
        </is>
      </c>
    </row>
    <row r="25" ht="60" customHeight="1" s="114">
      <c r="A25" s="113" t="inlineStr">
        <is>
          <t>Singapore Turf Club Equine Hospital removed from outreach</t>
        </is>
      </c>
      <c r="B25" s="113" t="inlineStr">
        <is>
          <t>Public reporting: racing in Singapore ended 5 October 2024; Kranji site returning to the state</t>
        </is>
      </c>
      <c r="C25" s="113" t="inlineStr">
        <is>
          <t>Yes — widely reported</t>
        </is>
      </c>
      <c r="D25" s="113" t="inlineStr">
        <is>
          <t>An equine hospital attached to a closed racecourse is not a realistic buyer. Moved to Reference. If an equine practice survives elsewhere, EBit 50 VET with a rectal linear probe remains the right product — confirm the entity first.</t>
        </is>
      </c>
    </row>
    <row r="26" ht="60" customHeight="1" s="114">
      <c r="A26" s="113" t="inlineStr">
        <is>
          <t>AS-1 / ASCO duplicate flag raised in v6</t>
        </is>
      </c>
      <c r="B26" s="113" t="inlineStr">
        <is>
          <t>asco.sala.jp opened 6 Aug 2026</t>
        </is>
      </c>
      <c r="C26" s="113" t="inlineStr">
        <is>
          <t>Yes — resolved</t>
        </is>
      </c>
      <c r="D26" s="113" t="inlineStr">
        <is>
          <t>ASCO Corporation is a Sala Group company founded 1949, based in Toyohashi, with 22 branches, selling veterinary drugs, instruments AND equipment/machinery. Not the Osaka Nishi-ku company in the older list. Duplicate flag cleared; ASCO upgraded to HIGH buying potential.</t>
        </is>
      </c>
    </row>
    <row r="27" ht="60" customHeight="1" s="114">
      <c r="A27" s="113" t="inlineStr">
        <is>
          <t>SOAR Instrument-Tech Tier 1 grade</t>
        </is>
      </c>
      <c r="B27" s="113" t="inlineStr">
        <is>
          <t>uni-soar.com fetched 6 Aug 2026 — returned no content</t>
        </is>
      </c>
      <c r="C27" s="113" t="inlineStr">
        <is>
          <t>No</t>
        </is>
      </c>
      <c r="D27" s="113" t="inlineStr">
        <is>
          <t>The 'no ultrasound in the catalogue' claim could not be verified, so the Tier 1 grade was withdrawn and the row is now Tier 2. Restore to Tier 1 once the catalogue is confirmed. Note SOAR (總騰) and SOARMED (欣大首美達) are different companies.</t>
        </is>
      </c>
    </row>
    <row r="28" ht="60" customHeight="1" s="114">
      <c r="A28" s="113" t="inlineStr">
        <is>
          <t>Every outreach row carries a subject and body</t>
        </is>
      </c>
      <c r="B28" s="113" t="inlineStr">
        <is>
          <t>Automated audit of the v7 workbook</t>
        </is>
      </c>
      <c r="C28" s="113" t="inlineStr">
        <is>
          <t>Yes</t>
        </is>
      </c>
      <c r="D28" s="113" t="inlineStr">
        <is>
          <t>250 outreach rows checked: none blank, none containing a placeholder, none missing the company name in the body, none containing a price, a delivery date or a supply commitment in any Japan, Korea or Taiwan email. Shortest body 731 characters.</t>
        </is>
      </c>
    </row>
    <row r="29" ht="60" customHeight="1" s="114">
      <c r="A29" s="113" t="inlineStr">
        <is>
          <t>Buying-potential verdicts</t>
        </is>
      </c>
      <c r="B29" s="113" t="inlineStr">
        <is>
          <t>Analyst judgement against the evidence in each row</t>
        </is>
      </c>
      <c r="C29" s="113" t="inlineStr">
        <is>
          <t>Judgement, not fact</t>
        </is>
      </c>
      <c r="D29" s="113" t="inlineStr">
        <is>
          <t>HIGH / MEDIUM / LOW is an assessment, not a verified fact. It weighs segment fit, absence of a competing ultrasound line, evidence of capital-equipment capability, and the regulatory gate in that market. Disagree with any of them freely — the reasoning is stated in the same cell.</t>
        </is>
      </c>
    </row>
    <row r="30" ht="60" customHeight="1" s="114">
      <c r="A30" s="113" t="inlineStr">
        <is>
          <t>ADDED IN v9 — 8 August 2026</t>
        </is>
      </c>
      <c r="B30" s="113" t="inlineStr">
        <is>
          <t>—</t>
        </is>
      </c>
      <c r="C30" s="113" t="inlineStr">
        <is>
          <t>—</t>
        </is>
      </c>
      <c r="D30" s="113" t="inlineStr">
        <is>
          <t>The rows below record the re-verification of CHISON_Market_Development_Target_List_v3 against this workbook.</t>
        </is>
      </c>
    </row>
    <row r="31" ht="60" customHeight="1" s="114">
      <c r="A31" s="113" t="inlineStr">
        <is>
          <t>All 205 rows on the v3 VETERINARY tabs are already in this workbook</t>
        </is>
      </c>
      <c r="B31" s="113" t="inlineStr">
        <is>
          <t>Row-by-row trace of v3 VET Taiwan (54), VET Korea (46), VET Japan (50) and VET Singapore (55) against every tab here</t>
        </is>
      </c>
      <c r="C31" s="113" t="inlineStr">
        <is>
          <t>Yes — complete</t>
        </is>
      </c>
      <c r="D31" s="113" t="inlineStr">
        <is>
          <t>Every v3 veterinary row resolves to an existing row on a target tab, on Channel Resources, or on Reference — Do Not Contact, or to a Singapore group row that legitimately collapses several v3 branch rows into one account. Nothing was missing. Nine v3 entries are research tasks rather than organisations and were deliberately not made into rows. The trace is on the 'v9 Reconciliation (MDv3)' tab.</t>
        </is>
      </c>
    </row>
    <row r="32" ht="60" customHeight="1" s="114">
      <c r="A32" s="113" t="inlineStr">
        <is>
          <t>Six veterinary companies found in the v3 HUMAN-diagnostic tabs</t>
        </is>
      </c>
      <c r="B32" s="113" t="inlineStr">
        <is>
          <t>Screen of ~245 human dealer rows across v3 Taiwan (112), Korea (65) and Japan (68), then a live check of each hit</t>
        </is>
      </c>
      <c r="C32" s="113" t="inlineStr">
        <is>
          <t>Yes — each opened individually</t>
        </is>
      </c>
      <c r="D32" s="113" t="inlineStr">
        <is>
          <t>JPI Healthcare (KR, grade A), Mediana (KR, grade C), Best Digital (TW, grade A), Inter Medical (JP, grade C), Sage Healthcare (SG, grade A), and DK Medical Systems carried with a correction at grade D. One further hit, the ASUS handheld distributor, went to Reference. This is what the pass was for: the veterinary tabs were already merged, the human tabs had never been read for veterinary relevance.</t>
        </is>
      </c>
    </row>
    <row r="33" ht="60" customHeight="1" s="114">
      <c r="A33" s="113" t="inlineStr">
        <is>
          <t>JPI Healthcare veterinary business and contacts</t>
        </is>
      </c>
      <c r="B33" s="113" t="inlineStr">
        <is>
          <t>jpi-korea.com and jpianimalhealth.com opened 8 Aug 2026; expansion into veterinary anaesthesia and monitoring reported by Korean pharma/medtech trade press</t>
        </is>
      </c>
      <c r="C33" s="113" t="inlineStr">
        <is>
          <t>Yes — primary source for the product line and contacts</t>
        </is>
      </c>
      <c r="D33" s="113" t="inlineStr">
        <is>
          <t>Separate 인체용 and 동물용 lines on their own site; veterinary brand JPI Animal Health with DirectVet, DynaVue Duo, DeteCT Vet, ExamVue Duo and JPI Cloud PACS. No ultrasound anywhere in either line — that absence is the whole argument. Phones and both email addresses read off their site. The turnkey-expansion claim comes from trade press, not from the company directly — treat it as well-sourced reporting, not a statement to quote back verbatim.</t>
        </is>
      </c>
    </row>
    <row r="34" ht="60" customHeight="1" s="114">
      <c r="A34" s="113" t="inlineStr">
        <is>
          <t>Best Digital carries SIEMENS veterinary ultrasound</t>
        </is>
      </c>
      <c r="B34" s="113" t="inlineStr">
        <is>
          <t>bestdigital.com.tw product pages opened and read 8 Aug 2026</t>
        </is>
      </c>
      <c r="C34" s="113" t="inlineStr">
        <is>
          <t>Yes — primary source</t>
        </is>
      </c>
      <c r="D34" s="113" t="inlineStr">
        <is>
          <t>Their 動物醫療設備 category lists 西門子動物用超音波儀, animal CT and an animal CPAP mask. This CLOSES the console tier: the row is TIER 2, pocket tier only. All three offices' phone, fax, email and address were read off the site, so the contact grade is A.</t>
        </is>
      </c>
    </row>
    <row r="35" ht="60" customHeight="1" s="114">
      <c r="A35" s="113" t="inlineStr">
        <is>
          <t>Inter Medical holds an animal high-grade device sales and lease licence</t>
        </is>
      </c>
      <c r="B35" s="113" t="inlineStr">
        <is>
          <t>intermedical.jp product category 動物病院関連機器 and the licence statement, opened 8 Aug 2026</t>
        </is>
      </c>
      <c r="C35" s="113" t="inlineStr">
        <is>
          <t>Product pages and licence statement yes; CONTACT NO</t>
        </is>
      </c>
      <c r="D35" s="113" t="inlineStr">
        <is>
          <t>The licence (動物用高度管理医療機器等販売・賃貸業許可) and the veterinary listings were read directly. Their vet ultrasound stock is used GE and Hitachi, and they mark it 中古希少. The company-outline and branch pages returned 404/403, so NO phone or email is confirmed — the row is grade C and needs a contact found before sending.</t>
        </is>
      </c>
    </row>
    <row r="36" ht="60" customHeight="1" s="114">
      <c r="A36" s="113" t="inlineStr">
        <is>
          <t>Mediana veterinary line</t>
        </is>
      </c>
      <c r="B36" s="113" t="inlineStr">
        <is>
          <t>Published M20 Vet / M40 Vet / M50 Vet product pages and catalogue listings, 8 Aug 2026</t>
        </is>
      </c>
      <c r="C36" s="113" t="inlineStr">
        <is>
          <t>Product line yes; CONTACT NO</t>
        </is>
      </c>
      <c r="D36" s="113" t="inlineStr">
        <is>
          <t>The veterinary monitor range is confirmed. The corporate contact page returned 403, so no phone or email is confirmed — grade C. Mediana is KOSDAQ-listed (041920), so the disclosure filing is a reliable second route to a switchboard number.</t>
        </is>
      </c>
    </row>
    <row r="37" ht="60" customHeight="1" s="114">
      <c r="A37" s="113" t="inlineStr">
        <is>
          <t>DK Medical Systems veterinary registration</t>
        </is>
      </c>
      <c r="B37" s="113" t="inlineStr">
        <is>
          <t>Verification attempted 8 Aug 2026 and FAILED</t>
        </is>
      </c>
      <c r="C37" s="113" t="inlineStr">
        <is>
          <t>NO — claim not verified</t>
        </is>
      </c>
      <c r="D37" s="113" t="inlineStr">
        <is>
          <t>dk.co.kr could not be opened: the TLS certificate was rejected as too weak. No veterinary page and no QIA register entry located. The Market Development list's Tier 1 grade rested entirely on this unverified claim. Carried at TIER 3 / VERIFY FIRST. Resolve it with a QIA 동물용의료기기 업허가 register lookup before spending a call.</t>
        </is>
      </c>
    </row>
    <row r="38" ht="60" customHeight="1" s="114">
      <c r="A38" s="113" t="inlineStr">
        <is>
          <t>Sage Healthcare (Singapore) — and what it is NOT</t>
        </is>
      </c>
      <c r="B38" s="113" t="inlineStr">
        <is>
          <t>sagehealthcare.sg veterinary page opened and read 8 Aug 2026</t>
        </is>
      </c>
      <c r="C38" s="113" t="inlineStr">
        <is>
          <t>Yes — primary source</t>
        </is>
      </c>
      <c r="D38" s="113" t="inlineStr">
        <is>
          <t>Full grade-A contact set. IMPORTANT: this is NOT a row from the Market Development list — it surfaced while verifying the v3 'Getz Healthcare' row and is included because it is verified and actionable. It is also NOT a distribution appointment: Singapore stays direct. It sits on the Singapore tab as a co-sell and referral partner, flagged as such in the Type column.</t>
        </is>
      </c>
    </row>
    <row r="39" ht="60" customHeight="1" s="114">
      <c r="A39" s="113" t="inlineStr">
        <is>
          <t>v8 count blocks, column widths and freeze panes</t>
        </is>
      </c>
      <c r="B39" s="113" t="inlineStr">
        <is>
          <t>Audit of every formula cell and column dimension in the v8 file against its current header row, 8 Aug 2026</t>
        </is>
      </c>
      <c r="C39" s="113" t="inlineStr">
        <is>
          <t>Yes — defects confirmed and repaired</t>
        </is>
      </c>
      <c r="D39" s="113" t="inlineStr">
        <is>
          <t>See corrections C-17, C-18 and C-19. The count-block defect is the one that matters: every tier, priority, buying-potential and contact-confidence figure printed in v8 was counting the wrong column and nearly all read zero. Do not rely on any count taken from a v8 file.</t>
        </is>
      </c>
    </row>
    <row r="40" ht="60" customHeight="1" s="114">
      <c r="A40" s="113" t="inlineStr">
        <is>
          <t>Named individuals</t>
        </is>
      </c>
      <c r="B40" s="113" t="inlineStr">
        <is>
          <t>—</t>
        </is>
      </c>
      <c r="C40" s="113" t="inlineStr">
        <is>
          <t>STILL NONE</t>
        </is>
      </c>
      <c r="D40" s="113" t="inlineStr">
        <is>
          <t>Unchanged, and it now covers the six new companies too. No named contact at any company in this workbook has been verified. Use the LinkedIn outreach workflow before sending anything.</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G27"/>
  <sheetViews>
    <sheetView zoomScaleNormal="100" workbookViewId="0">
      <selection activeCell="A1" sqref="A1"/>
    </sheetView>
  </sheetViews>
  <sheetFormatPr baseColWidth="8" defaultColWidth="8.6640625" defaultRowHeight="14.4"/>
  <cols>
    <col width="40" customWidth="1" style="114" min="1" max="1"/>
    <col width="18" customWidth="1" style="114" min="2" max="2"/>
    <col width="96" customWidth="1" style="114" min="3" max="3"/>
    <col width="40" customWidth="1" style="114" min="4" max="4"/>
    <col width="52" customWidth="1" style="114" min="5" max="5"/>
    <col width="48" customWidth="1" style="114" min="6" max="6"/>
    <col width="64" customWidth="1" style="114" min="7" max="7"/>
  </cols>
  <sheetData>
    <row r="1" ht="21.75" customHeight="1" s="114">
      <c r="A1" s="89" t="inlineStr">
        <is>
          <t>PRODUCT REGISTRATION REQUIRED IN EACH COUNTRY — CHISON VETERINARY ULTRASOUND</t>
        </is>
      </c>
    </row>
    <row r="2" ht="51.75" customHeight="1" s="114">
      <c r="A2" s="90" t="inlineStr">
        <is>
          <t>This is the gate before any quote, order or delivery date in three of the four markets. Every position below assumes ANIMAL-LABELLED equipment with veterinary software and species presets. A human-labelled unit sold into a veterinary account falls under the human device regime instead — HSA in Singapore, TFDA in Taiwan, PMDA in Japan, MFDS in Korea — and loses the entire veterinary advantage. Confirm the labelling with Wuxi before any filing. Verified 5 August 2026.</t>
        </is>
      </c>
    </row>
    <row r="3"/>
    <row r="4" ht="42" customHeight="1" s="114">
      <c r="A4" s="67" t="inlineStr">
        <is>
          <t>Market</t>
        </is>
      </c>
      <c r="B4" s="67" t="inlineStr">
        <is>
          <t>Regulator / authority</t>
        </is>
      </c>
      <c r="C4" s="67" t="inlineStr">
        <is>
          <t>Governing instrument</t>
        </is>
      </c>
      <c r="D4" s="67" t="inlineStr">
        <is>
          <t>Classification of diagnostic ultrasound</t>
        </is>
      </c>
      <c r="E4" s="67" t="inlineStr">
        <is>
          <t>Registration action required</t>
        </is>
      </c>
      <c r="F4" s="67" t="inlineStr">
        <is>
          <t>Documents required</t>
        </is>
      </c>
      <c r="G4" s="67" t="inlineStr">
        <is>
          <t>Timeline, cost drivers and the verification action outstanding</t>
        </is>
      </c>
    </row>
    <row r="5" ht="210" customHeight="1" s="114">
      <c r="A5" s="76" t="inlineStr">
        <is>
          <t>JAPAN</t>
        </is>
      </c>
      <c r="B5" s="68" t="inlineStr">
        <is>
          <t>MAFF — National Veterinary Assay Laboratory 動物医薬品検査所 (NVAL), Tsukuba. Foreign manufacturer registration handled separately by MAFF 消費・安全局畜水産安全管理課薬事監視指導班. Business licences handled by the PREFECTURE.</t>
        </is>
      </c>
      <c r="C5" s="68" t="inlineStr">
        <is>
          <t>Pharmaceutical and Medical Device Act as applied to veterinary devices. NVAL publishes a 動物用医療機器一般的名称一覧 (veterinary generic-name list) — the equivalent of a JMDN code list.</t>
        </is>
      </c>
      <c r="D5" s="68" t="inlineStr">
        <is>
          <t>Diagnostic ultrasound 超音波画像診断装置 sits in the general medical device class 一般医療機器 in the veterinary classification table. CONFIRM the exact generic-name entry against the current NVAL list before filing.</t>
        </is>
      </c>
      <c r="E5" s="68" t="inlineStr">
        <is>
          <t>THREE separate actions, in sequence: (1) CHISON registered with MAFF as a FOREIGN MANUFACTURER 外国製造業者登録; (2) a Japanese entity holding a prefectural veterinary marketing authorisation licence 製造販売業許可 to act as marketing authorisation holder; (3) a MARKETING NOTIFICATION 製造販売届出 per item, filed with NVAL. For the general class this is a notification, NOT an approval 承認.</t>
        </is>
      </c>
      <c r="F5" s="68" t="inlineStr">
        <is>
          <t>Foreign manufacturer registration file; quality system evidence (ISO 13485 and CE via TÜV support this); per-item marketing notification forms per the NVAL published templates; classification determination if the generic-name entry is unclear. NVAL publishes worked examples of the notification form and of variation notifications.</t>
        </is>
      </c>
      <c r="G5" s="68" t="inlineStr">
        <is>
          <t>ACTIONABLE DETAIL NOT IN THE EARLIER REPORT: NVAL requires PRIOR CONTACT with the 審査調整課 (Review Coordination Division) if TEN OR MORE items are notified at once. CHISON has TWELVE veterinary SKUs. If the whole range is filed together this threshold is crossed and the advance enquiry is mandatory. Contact NVAL 審査調整課, 〒305-8535 茨城県つくば市観音台2-1-22, +81 29-811-6380.</t>
        </is>
      </c>
    </row>
    <row r="6" ht="210" customHeight="1" s="114">
      <c r="A6" s="76" t="inlineStr">
        <is>
          <t>SOUTH KOREA</t>
        </is>
      </c>
      <c r="B6" s="68" t="inlineStr">
        <is>
          <t>Animal and Plant Quarantine Agency 농림축산검역본부 (QIA), under MAFRA. NOT the MFDS — the human device regulator has no role here.</t>
        </is>
      </c>
      <c r="C6" s="91" t="inlineStr">
        <is>
          <t>동물용의료기기 허가 등에 관한 규정 (Regulations on the approval of veterinary medical devices) and 동물용의료기기 기술문서 등 심사에 관한 규정 (Regulations on technical document review).</t>
        </is>
      </c>
      <c r="D6" s="68" t="inlineStr">
        <is>
          <t>CLASS 2. Ultrasound imaging diagnostic devices 초음파영상진단장치 and their probes are among the most frequently registered veterinary device categories on the QIA register — this is an established, well-trodden route, not a novel filing.</t>
        </is>
      </c>
      <c r="E6" s="68" t="inlineStr">
        <is>
          <t>TWO actions, in sequence: (1) a KOREAN ENTITY must hold a veterinary medical device IMPORT BUSINESS LICENCE 수입업 허가, granted by the QIA Director; (2) a per-item MANUFACTURE/IMPORT ITEM APPROVAL 제조(수입)품목 허가 with technical document review. CHISON cannot hold either — a Korean legal entity must.</t>
        </is>
      </c>
      <c r="F6" s="68" t="inlineStr">
        <is>
          <t>For a corporate applicant: corporate registration certificate; corporate seal certificate; copy of the business registration certificate; specification of facilities and equipment for import and quality management; the item approval application; and the technical document dossier for each item.</t>
        </is>
      </c>
      <c r="G6" s="68" t="inlineStr">
        <is>
          <t>MATERIAL CORRECTION TO THE EARLIER REPORT. The market report describes the Korean item step as "a notification with a stated 10-day processing period". It is not a notification and it is not 10 days. It is an ITEM APPROVAL with technical document review, statutory processing period 40 WORKING DAYS for Class 1 and Class 2 (reduced from 65 days by the 2020 amendment). Class 3 and 4 run to 60 days, and items needing a safety and efficacy review run to 80 days. Plan the Korean timeline on 40 days for the item step PLUS the import business licence, not on 10.</t>
        </is>
      </c>
    </row>
    <row r="7" ht="210" customHeight="1" s="114">
      <c r="A7" s="76" t="inlineStr">
        <is>
          <t>TAIWAN</t>
        </is>
      </c>
      <c r="B7" s="68" t="inlineStr">
        <is>
          <t>Ministry of Agriculture for animal drugs. NO dedicated animal medical DEVICE authority was identified. Dual-use human-and-animal devices fall to MOHW and the TFDA.</t>
        </is>
      </c>
      <c r="C7" s="91" t="inlineStr">
        <is>
          <t>動物用藥品管理法 (Animal Drug Management Act). Its definition of an animal drug covers raw materials, preparations, biologicals, antibiotics and DIAGNOSTIC REAGENTS — it does NOT extend to medical devices or equipment.</t>
        </is>
      </c>
      <c r="D7" s="68" t="inlineStr">
        <is>
          <t>Not classified. No animal-only device classification regime was identified. Separately, 動物用藥品販賣業管理辦法 licenses businesses that SELL animal drugs; ultrasound equipment is not an animal drug, so a dealer does not need that licence to sell CHISON equipment.</t>
        </is>
      </c>
      <c r="E7" s="68" t="inlineStr">
        <is>
          <t>NONE IDENTIFIED for animal-only labelled devices. This conclusion follows from the governing statute not covering devices, which is evidence rather than a legal opinion. THE LIVE ISSUE IN TAIWAN IS CUSTOMS, NOT DEVICE REGISTRATION: import permission for goods of Chinese origin under the relevant commodity code is unresolved.</t>
        </is>
      </c>
      <c r="F7" s="68" t="inlineStr">
        <is>
          <t>None identified for the device itself. For the customs question: the commodity code classification, the import permission position for the goods, and written confirmation from the Bureau of Foreign Trade via the prospective agent.</t>
        </is>
      </c>
      <c r="G7" s="68" t="inlineStr">
        <is>
          <t>TWO SEPARATE WRITTEN ENQUIRIES, and they are not the same question. (1) Ministry of Agriculture: written confirmation that animal-only labelled diagnostic ultrasound requires no registration. (2) Bureau of Foreign Trade, via the prospective agent: the commodity code and the import permission position. CAUTION: if the unit is HUMAN-labelled, TFDA registration applies in full — a local agent, a quality system dossier and a product registration — and the entire Taiwan advantage disappears.</t>
        </is>
      </c>
    </row>
    <row r="8" ht="210" customHeight="1" s="114">
      <c r="A8" s="92" t="inlineStr">
        <is>
          <t>SINGAPORE</t>
        </is>
      </c>
      <c r="B8" s="68" t="inlineStr">
        <is>
          <t>Animal and Veterinary Service (AVS), National Parks Board, for animal health matters. The Health Sciences Authority regulates human medical devices.</t>
        </is>
      </c>
      <c r="C8" s="68" t="inlineStr">
        <is>
          <t>Health Products Act 2007. Its medical device regime applies to devices for HUMAN use; Part 14 applies instead for veterinary purposes. Veterinary medicinal PRODUCTS sit under the Medicines Act.</t>
        </is>
      </c>
      <c r="D8" s="68" t="inlineStr">
        <is>
          <t>Not classified as a medical device for veterinary purposes. AVS regulates live animals, birds, veterinary BIOLOGICS, animal feed and animal products — and explicitly does NOT regulate the import of pet products such as veterinary drugs and inedible pet products.</t>
        </is>
      </c>
      <c r="E8" s="68" t="inlineStr">
        <is>
          <t>NONE IDENTIFIED for animal-only labelled devices. AstraMed imports directly with no local device licence-holder requirement. A cargo clearance permit is required for the shipment itself, as for any import.</t>
        </is>
      </c>
      <c r="F8" s="68" t="inlineStr">
        <is>
          <t>None identified for device registration. Cargo clearance permit for the consignment. Retain the manufacturer's animal-labelling evidence — it is the whole basis of the position.</t>
        </is>
      </c>
      <c r="G8" s="68" t="inlineStr">
        <is>
          <t>Written confirmation from AVS that animal-only labelled ultrasound sits outside the Health Products Act device regime, and that no AVS import licence applies. SAME CAUTION AS TAIWAN: a HUMAN-labelled unit sold into a veterinary account is a medical device under the HPA and requires SMDR listing. Do not sell human-labelled stock into a Singapore veterinary account on the assumption that the veterinary position covers it.</t>
        </is>
      </c>
    </row>
    <row r="9"/>
    <row r="10" ht="15" customHeight="1" s="114">
      <c r="A10" s="93" t="inlineStr">
        <is>
          <t>INDICATIVE TIME TO FIRST LEGAL SALE</t>
        </is>
      </c>
    </row>
    <row r="11" ht="42" customHeight="1" s="114">
      <c r="A11" s="67" t="inlineStr">
        <is>
          <t>Market</t>
        </is>
      </c>
      <c r="B11" s="67" t="inlineStr">
        <is>
          <t>Indicative time to first legal sale</t>
        </is>
      </c>
      <c r="C11" s="67" t="inlineStr">
        <is>
          <t>Basis</t>
        </is>
      </c>
    </row>
    <row r="12" ht="39.75" customHeight="1" s="114">
      <c r="A12" s="68" t="inlineStr">
        <is>
          <t>Singapore</t>
        </is>
      </c>
      <c r="B12" s="68" t="inlineStr">
        <is>
          <t>4–6 weeks</t>
        </is>
      </c>
      <c r="C12" s="68" t="inlineStr">
        <is>
          <t>Driven by shipping and internal approval. No registration step. CAN INVOICE TODAY subject to the AVS written confirmation.</t>
        </is>
      </c>
    </row>
    <row r="13" ht="39.75" customHeight="1" s="114">
      <c r="A13" s="68" t="inlineStr">
        <is>
          <t>Taiwan</t>
        </is>
      </c>
      <c r="B13" s="68" t="inlineStr">
        <is>
          <t>4–6 weeks IF the customs position clears</t>
        </is>
      </c>
      <c r="C13" s="68" t="inlineStr">
        <is>
          <t>Driven entirely by customs and the commodity code, not by device regulation. The risk is that it does not clear at all, which is a different kind of risk from a long timeline.</t>
        </is>
      </c>
    </row>
    <row r="14" ht="39.75" customHeight="1" s="114">
      <c r="A14" s="68" t="inlineStr">
        <is>
          <t>South Korea</t>
        </is>
      </c>
      <c r="B14" s="68" t="inlineStr">
        <is>
          <t>3–4 months</t>
        </is>
      </c>
      <c r="C14" s="68" t="inlineStr">
        <is>
          <t>REVISED UPWARD from the 2–3 months in the market report. Import business licence first, then a 40-working-day item approval with a technical dossier. The licence, not the item step, remains the critical path.</t>
        </is>
      </c>
    </row>
    <row r="15" ht="39.75" customHeight="1" s="114">
      <c r="A15" s="68" t="inlineStr">
        <is>
          <t>Japan</t>
        </is>
      </c>
      <c r="B15" s="68" t="inlineStr">
        <is>
          <t>4–6 months</t>
        </is>
      </c>
      <c r="C15" s="68" t="inlineStr">
        <is>
          <t>Driven by the foreign manufacturer registration (three-month standard period) and by appointing a marketing authorisation holder. The per-item notification itself is fast, but the ten-item advance-contact threshold applies to CHISON's twelve SKUs.</t>
        </is>
      </c>
    </row>
    <row r="16"/>
    <row r="17" ht="15" customHeight="1" s="114">
      <c r="A17" s="93" t="inlineStr">
        <is>
          <t>CHISON REGULATORY HOLDINGS RELEVANT TO A VETERINARY FILING</t>
        </is>
      </c>
    </row>
    <row r="18" ht="42" customHeight="1" s="114">
      <c r="A18" s="67" t="inlineStr">
        <is>
          <t>Holding</t>
        </is>
      </c>
      <c r="B18" s="67" t="inlineStr">
        <is>
          <t>Date</t>
        </is>
      </c>
      <c r="C18" s="67" t="inlineStr">
        <is>
          <t>Relevance to a veterinary filing</t>
        </is>
      </c>
    </row>
    <row r="19" ht="30" customHeight="1" s="114">
      <c r="A19" s="68" t="inlineStr">
        <is>
          <t>CE via TÜV Germany</t>
        </is>
      </c>
      <c r="B19" s="68" t="inlineStr">
        <is>
          <t>Since 2002</t>
        </is>
      </c>
      <c r="C19" s="68" t="inlineStr">
        <is>
          <t>Supports the Japanese foreign manufacturer registration file and answers the quality objection in every market.</t>
        </is>
      </c>
    </row>
    <row r="20" ht="30" customHeight="1" s="114">
      <c r="A20" s="68" t="inlineStr">
        <is>
          <t>ISO 13485</t>
        </is>
      </c>
      <c r="B20" s="68" t="inlineStr">
        <is>
          <t>Current</t>
        </is>
      </c>
      <c r="C20" s="68" t="inlineStr">
        <is>
          <t>Required or expected in most veterinary filings, including the Korean import quality management specification.</t>
        </is>
      </c>
    </row>
    <row r="21" ht="30" customHeight="1" s="114">
      <c r="A21" s="68" t="inlineStr">
        <is>
          <t>FDA 510(k) K201968 / K201971</t>
        </is>
      </c>
      <c r="B21" s="68" t="inlineStr">
        <is>
          <t>2021</t>
        </is>
      </c>
      <c r="C21" s="68" t="inlineStr">
        <is>
          <t>SonoEye P3/P5 family lineage. The strongest supporting file for a veterinary notification or item approval.</t>
        </is>
      </c>
    </row>
    <row r="22" ht="30" customHeight="1" s="114">
      <c r="A22" s="68" t="inlineStr">
        <is>
          <t>FDA 510(k) K162172</t>
        </is>
      </c>
      <c r="B22" s="68" t="inlineStr">
        <is>
          <t>2016</t>
        </is>
      </c>
      <c r="C22" s="68" t="inlineStr">
        <is>
          <t>EBit platform lineage — EBit 30, 50 and 60 VET derive from it.</t>
        </is>
      </c>
    </row>
    <row r="23" ht="30" customHeight="1" s="114">
      <c r="A23" s="68" t="inlineStr">
        <is>
          <t>FDA 510(k) K170374</t>
        </is>
      </c>
      <c r="B23" s="68" t="inlineStr">
        <is>
          <t>2017</t>
        </is>
      </c>
      <c r="C23" s="68" t="inlineStr">
        <is>
          <t>SonoBook platform lineage — SonoBook 6 VET and 8 VET.</t>
        </is>
      </c>
    </row>
    <row r="24" ht="30" customHeight="1" s="114">
      <c r="A24" s="68" t="inlineStr">
        <is>
          <t>FDA 510(k) K223570</t>
        </is>
      </c>
      <c r="B24" s="68" t="inlineStr">
        <is>
          <t>2023</t>
        </is>
      </c>
      <c r="C24" s="68" t="inlineStr">
        <is>
          <t>SonoAir platform lineage. Note the SKU discrepancy: the clearance covers SonoAir 60/80 while the veterinary catalogue lists SonoAir 70 VET. Resolve before filing.</t>
        </is>
      </c>
    </row>
    <row r="25" ht="30" customHeight="1" s="114">
      <c r="A25" s="68" t="inlineStr">
        <is>
          <t>Veterinary registration in JP, KR, TW or SG</t>
        </is>
      </c>
      <c r="B25" s="68" t="inlineStr">
        <is>
          <t>NONE HELD</t>
        </is>
      </c>
      <c r="C25" s="68" t="inlineStr">
        <is>
          <t>This is the starting position in all four markets. Every one requires either a filing or a written confirmation that none is needed.</t>
        </is>
      </c>
    </row>
    <row r="26"/>
    <row r="27" ht="43.5" customHeight="1" s="114">
      <c r="A27" s="94" t="inlineStr">
        <is>
          <t>Sources: MAFF National Veterinary Assay Laboratory, 動物用医療機器製造販売の承認申請・届出等について (maff.go.jp/nval/iyakutou/iryoukiki/seizouhannbaitodoke.html), opened 5 August 2026 · Korean Animal and Plant Quarantine Agency 동물용의료기기 허가 등에 관한 규정 and the Government24 item-approval service record · Taiwan 動物用藥品管理法 (law.moa.gov.tw) · Singapore Health Products Act 2007 and AVS/NParks published import scope. Human-side comparisons from the internal CHISON regulatory workbook.</t>
        </is>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40"/>
  <sheetViews>
    <sheetView zoomScaleNormal="100" workbookViewId="0">
      <pane ySplit="4" topLeftCell="A5" activePane="bottomLeft" state="frozen"/>
      <selection pane="bottomLeft" activeCell="A1" sqref="A1"/>
    </sheetView>
  </sheetViews>
  <sheetFormatPr baseColWidth="8" defaultColWidth="8.6640625" defaultRowHeight="14.4"/>
  <cols>
    <col width="7" customWidth="1" style="114" min="1" max="1"/>
    <col width="22" customWidth="1" style="114" min="2" max="2"/>
    <col width="60" customWidth="1" style="114" min="3" max="3"/>
    <col width="86" customWidth="1" style="114" min="4" max="4"/>
    <col width="58" customWidth="1" style="114" min="5" max="5"/>
  </cols>
  <sheetData>
    <row r="1" ht="21.75" customHeight="1" s="114">
      <c r="A1" s="89" t="inlineStr">
        <is>
          <t>CORRECTIONS LOG — WHAT THIS PASS CHANGED AND WHY</t>
        </is>
      </c>
    </row>
    <row r="2" ht="43.5" customHeight="1" s="114">
      <c r="A2" s="90" t="inlineStr">
        <is>
          <t>Every claim in the market report or the Top-10 engagement list that this verification pass contradicted, with what it said before, what it says now, and the evidence. Corrections are recorded visibly rather than silently overwritten, so a reader can see what moved and decide whether to accept it.</t>
        </is>
      </c>
    </row>
    <row r="3"/>
    <row r="4" ht="39.75" customHeight="1" s="114">
      <c r="A4" s="67" t="inlineStr">
        <is>
          <t>#</t>
        </is>
      </c>
      <c r="B4" s="67" t="inlineStr">
        <is>
          <t>Area</t>
        </is>
      </c>
      <c r="C4" s="67" t="inlineStr">
        <is>
          <t>What the earlier documents said</t>
        </is>
      </c>
      <c r="D4" s="67" t="inlineStr">
        <is>
          <t>What this pass concludes</t>
        </is>
      </c>
      <c r="E4" s="67" t="inlineStr">
        <is>
          <t>Evidence and date</t>
        </is>
      </c>
    </row>
    <row r="5" ht="87.75" customHeight="1" s="114">
      <c r="A5" s="68" t="inlineStr">
        <is>
          <t>C-1</t>
        </is>
      </c>
      <c r="B5" s="68" t="inlineStr">
        <is>
          <t>TW dealer tier</t>
        </is>
      </c>
      <c r="C5" s="91" t="inlineStr">
        <is>
          <t>力林國際 Vet Supply: "Priority 1... sells veterinary ultrasound already (ProPet and S-series)... the full CHISON line either complements their carts or replaces ageing stock"</t>
        </is>
      </c>
      <c r="D5" s="68" t="inlineStr">
        <is>
          <t>TIER 2, pocket-tier wedge only. Their imaging category lists ProPet 60/70, S50, X3V, S9V and E1V, updated through February 2026 — a current lineup, not ageing stock. X3V/S9V/E1V correspond to the SonoScape veterinary series.</t>
        </is>
      </c>
      <c r="E5" s="68" t="inlineStr">
        <is>
          <t>vetsupply.com.tw imaging category opened and read in full, 5 August 2026, cross-checked against the published SonoScape veterinary model range</t>
        </is>
      </c>
    </row>
    <row r="6" ht="87.75" customHeight="1" s="114">
      <c r="A6" s="68" t="inlineStr">
        <is>
          <t>C-2</t>
        </is>
      </c>
      <c r="B6" s="68" t="inlineStr">
        <is>
          <t>JP dealer tier</t>
        </is>
      </c>
      <c r="C6" s="91" t="inlineStr">
        <is>
          <t>メディカルスペース Medical Space: "Priority 1... the strongest independent alternative to the Fujifilm-owned channel"</t>
        </is>
      </c>
      <c r="D6" s="68" t="inlineStr">
        <is>
          <t>TIER 2, entry price tier only. They carry GE, Canon Medtech Supply, Fujifilm, Konica Minolta, Aison and Esaote ultrasound simultaneously — 42–56 catalogue entries. They are not an alternative to the Fujifilm channel; they carry it.</t>
        </is>
      </c>
      <c r="E6" s="68" t="inlineStr">
        <is>
          <t>medical-space.co.jp ultrasound category and manufacturer index opened and read in full, 5 August 2026</t>
        </is>
      </c>
    </row>
    <row r="7" ht="87.75" customHeight="1" s="114">
      <c r="A7" s="68" t="inlineStr">
        <is>
          <t>C-3</t>
        </is>
      </c>
      <c r="B7" s="68" t="inlineStr">
        <is>
          <t>KR regulatory — MATERIAL</t>
        </is>
      </c>
      <c r="C7" s="68" t="inlineStr">
        <is>
          <t>"Manufacture or import business licence, then item notification. Stated processing period 10 days for the item step"</t>
        </is>
      </c>
      <c r="D7" s="68" t="inlineStr">
        <is>
          <t>Import business licence, then a CLASS 2 ITEM APPROVAL with technical document review. Statutory processing period 40 WORKING DAYS, reduced from 65 by the 2020 amendment. Not a notification and not 10 days. Korean timeline revised from 2–3 months to 3–4 months.</t>
        </is>
      </c>
      <c r="E7" s="68" t="inlineStr">
        <is>
          <t>QIA 동물용의료기기 허가 등에 관한 규정 and the Government24 item-approval service record, checked 5 August 2026</t>
        </is>
      </c>
    </row>
    <row r="8" ht="87.75" customHeight="1" s="114">
      <c r="A8" s="68" t="inlineStr">
        <is>
          <t>C-4</t>
        </is>
      </c>
      <c r="B8" s="68" t="inlineStr">
        <is>
          <t>SG contact</t>
        </is>
      </c>
      <c r="C8" s="68" t="inlineStr">
        <is>
          <t>VES Hospital telephone recorded as +65 6581 7028 in both the Top-10 list and the report</t>
        </is>
      </c>
      <c r="D8" s="68" t="inlineStr">
        <is>
          <t>+65 6266 0232, at 232 Whitley Road, Singapore 297824</t>
        </is>
      </c>
      <c r="E8" s="68" t="inlineStr">
        <is>
          <t>veshospital.com.sg, 5 August 2026. Note that the two internal documents agreed with each other and both were wrong — the number was copied, not verified</t>
        </is>
      </c>
    </row>
    <row r="9" ht="87.75" customHeight="1" s="114">
      <c r="A9" s="68" t="inlineStr">
        <is>
          <t>C-5</t>
        </is>
      </c>
      <c r="B9" s="68" t="inlineStr">
        <is>
          <t>SG site count</t>
        </is>
      </c>
      <c r="C9" s="68" t="inlineStr">
        <is>
          <t>Mount Pleasant recorded as ≈9 sites in the Top-10 list and ≈10 in the report</t>
        </is>
      </c>
      <c r="D9" s="68" t="inlineStr">
        <is>
          <t>8 clinics islandwide, including a 24-hour tertiary care centre</t>
        </is>
      </c>
      <c r="E9" s="68" t="inlineStr">
        <is>
          <t>The group's own published statement, 5 August 2026</t>
        </is>
      </c>
    </row>
    <row r="10" ht="87.75" customHeight="1" s="114">
      <c r="A10" s="68" t="inlineStr">
        <is>
          <t>C-6</t>
        </is>
      </c>
      <c r="B10" s="68" t="inlineStr">
        <is>
          <t>JP classification</t>
        </is>
      </c>
      <c r="C10" s="91" t="inlineStr">
        <is>
          <t>富士平工業 Fujihira, キリカン洋行 Kirikan Yoko and フクダエム・イー工業 Fukuda M-E listed as Priority 2 and 3 DEALER targets</t>
        </is>
      </c>
      <c r="D10" s="68" t="inlineStr">
        <is>
          <t>All three reclassified MFR — they appear in メディカルスペース's manufacturer index and therefore sell INTO dealers. Kirikan and Fujihira retained as marketing-authorisation-holder candidates instead, which is a more valuable role.</t>
        </is>
      </c>
      <c r="E10" s="68" t="inlineStr">
        <is>
          <t>medical-space.co.jp manufacturer index, 5 August 2026; consistent with the supplier-list correction already recorded in the chison-dealers-vet skill</t>
        </is>
      </c>
    </row>
    <row r="11" ht="87.75" customHeight="1" s="114">
      <c r="A11" s="68" t="inlineStr">
        <is>
          <t>C-7</t>
        </is>
      </c>
      <c r="B11" s="68" t="inlineStr">
        <is>
          <t>KR entity</t>
        </is>
      </c>
      <c r="C11" s="68" t="inlineStr">
        <is>
          <t>Sungwools (Uijeongbu) listed as a Priority 2 veterinary equipment distributor</t>
        </is>
      </c>
      <c r="D11" s="68" t="inlineStr">
        <is>
          <t>NOT VERIFIED. No Korean corporate record, domain or telephone number could be matched. No email issued. Verify against the QIA registered-firm list or delete the row.</t>
        </is>
      </c>
      <c r="E11" s="68" t="inlineStr">
        <is>
          <t>Verification attempted and failed, 5 August 2026</t>
        </is>
      </c>
    </row>
    <row r="12" ht="87.75" customHeight="1" s="114">
      <c r="A12" s="68" t="inlineStr">
        <is>
          <t>C-8</t>
        </is>
      </c>
      <c r="B12" s="68" t="inlineStr">
        <is>
          <t>TW entity</t>
        </is>
      </c>
      <c r="C12" s="68" t="inlineStr">
        <is>
          <t>EASTECH 動物超音波 listed as a Priority 2 "veterinary ultrasound supplier"</t>
        </is>
      </c>
      <c r="D12" s="68" t="inlineStr">
        <is>
          <t>NOT VERIFIED, and the description is self-defeating: a veterinary ultrasound supplier is a competitor or a competitor's agent, not a distribution candidate. No email issued.</t>
        </is>
      </c>
      <c r="E12" s="68" t="inlineStr">
        <is>
          <t>Verification attempted and failed, 5 August 2026</t>
        </is>
      </c>
    </row>
    <row r="13" ht="87.75" customHeight="1" s="114">
      <c r="A13" s="68" t="inlineStr">
        <is>
          <t>C-9</t>
        </is>
      </c>
      <c r="B13" s="68" t="inlineStr">
        <is>
          <t>KR channel map</t>
        </is>
      </c>
      <c r="C13" s="68" t="inlineStr">
        <is>
          <t>No record of Mindray having a Korean veterinary channel</t>
        </is>
      </c>
      <c r="D13" s="91" t="inlineStr">
        <is>
          <t>프로벳 Provet holds the EXCLUSIVE Korean distribution contract for Mindray Animal Care — ultrasound, anaesthesia monitors and haematology. Expect a contractual block on any second ultrasound line; their sub-dealers are the recruitment pool.</t>
        </is>
      </c>
      <c r="E13" s="68" t="inlineStr">
        <is>
          <t>Korean veterinary trade press (dailyvet.co.kr, dailygaewon.com), 5 August 2026</t>
        </is>
      </c>
    </row>
    <row r="14" ht="87.75" customHeight="1" s="114">
      <c r="A14" s="68" t="inlineStr">
        <is>
          <t>C-10</t>
        </is>
      </c>
      <c r="B14" s="68" t="inlineStr">
        <is>
          <t>JP competitive picture</t>
        </is>
      </c>
      <c r="C14" s="68" t="inlineStr">
        <is>
          <t>Canon named in the competitor set without detail</t>
        </is>
      </c>
      <c r="D14" s="68" t="inlineStr">
        <is>
          <t>Canon Medtech Supply sells a PURPOSE-BUILT ANIMAL-LABELLED range in Japan: Aplio go V, Aplio me, Aplio flex V, and previously Xario 100GV/200GV. Not human systems with a veterinary preset. This is a stronger competitive position than the report implies.</t>
        </is>
      </c>
      <c r="E14" s="68" t="inlineStr">
        <is>
          <t>Canon animal ultrasound pages and the Medical Space catalogue, 5 August 2026</t>
        </is>
      </c>
    </row>
    <row r="15" ht="87.75" customHeight="1" s="114">
      <c r="A15" s="68" t="inlineStr">
        <is>
          <t>C-11</t>
        </is>
      </c>
      <c r="B15" s="68" t="inlineStr">
        <is>
          <t>KR tier</t>
        </is>
      </c>
      <c r="C15" s="91" t="inlineStr">
        <is>
          <t>베트컴코리아 VetCom: "Priority 1... second national candidate and the necessary hedge if Woorien declines"</t>
        </is>
      </c>
      <c r="D15" s="68" t="inlineStr">
        <is>
          <t>TIER 2, diagnostics archetype. Korean corporate records show a sixteen-person laboratory-diagnostics house in Gwacheon: antibody test kits from 1999, haematology analysers from 2004. A real candidate, but not a national imaging channel and not an equal alternative to Woorien.</t>
        </is>
      </c>
      <c r="E15" s="68" t="inlineStr">
        <is>
          <t>Korean corporate records, 5 August 2026. The company's own site returned a bot-protection page rather than content</t>
        </is>
      </c>
    </row>
    <row r="16" ht="87.75" customHeight="1" s="114">
      <c r="A16" s="68" t="inlineStr">
        <is>
          <t>C-12</t>
        </is>
      </c>
      <c r="B16" s="68" t="inlineStr">
        <is>
          <t>TW tier</t>
        </is>
      </c>
      <c r="C16" s="91" t="inlineStr">
        <is>
          <t>巨研科技 GETECH: Priority 1, with a correct note about the Philips conflict</t>
        </is>
      </c>
      <c r="D16" s="68" t="inlineStr">
        <is>
          <t>TIER 2. The Philips conflict was identified correctly but the tier did not follow from it. Wedge sharpened: avoid the cardiac pitch, which runs straight into their Philips flagship; lead with the entry portable tier and high-frequency linear.</t>
        </is>
      </c>
      <c r="E16" s="68" t="inlineStr">
        <is>
          <t>getech.com.tw company profile and Philips animal ultrasound page, 5 August 2026</t>
        </is>
      </c>
    </row>
    <row r="17" ht="87.75" customHeight="1" s="114">
      <c r="A17" s="68" t="inlineStr">
        <is>
          <t>C-13</t>
        </is>
      </c>
      <c r="B17" s="68" t="inlineStr">
        <is>
          <t>JP regulatory — actionable</t>
        </is>
      </c>
      <c r="C17" s="68" t="inlineStr">
        <is>
          <t>Foreign manufacturer registration and marketing notification described, without operational detail</t>
        </is>
      </c>
      <c r="D17" s="68" t="inlineStr">
        <is>
          <t>NVAL requires PRIOR CONTACT with the 審査調整課 where TEN OR MORE items are notified at once. CHISON has TWELVE veterinary SKUs, so filing the range together crosses the threshold and the advance enquiry is mandatory. NVAL: 〒305-8535 茨城県つくば市観音台2-1-22, +81 29-811-6380.</t>
        </is>
      </c>
      <c r="E17" s="68" t="inlineStr">
        <is>
          <t>maff.go.jp/nval/iyakutou/iryoukiki/seizouhannbaitodoke.html, opened 5 August 2026</t>
        </is>
      </c>
    </row>
    <row r="18" ht="87.75" customHeight="1" s="114">
      <c r="A18" s="68" t="inlineStr">
        <is>
          <t>C-14</t>
        </is>
      </c>
      <c r="B18" s="68" t="inlineStr">
        <is>
          <t>TW and SG regulatory — risk</t>
        </is>
      </c>
      <c r="C18" s="68" t="inlineStr">
        <is>
          <t>The veterinary regulatory advantage stated without a labelling condition</t>
        </is>
      </c>
      <c r="D18" s="68" t="inlineStr">
        <is>
          <t>The ENTIRE advantage in Taiwan and Singapore depends on the equipment being ANIMAL-LABELLED. A human-labelled unit sold into a veterinary account is a medical device — TFDA registration in Taiwan (agent, quality system dossier, product registration) and SMDR listing in Singapore. Confirm veterinary labelling with Wuxi for all twelve SKUs before any filing or shipment.</t>
        </is>
      </c>
      <c r="E18" s="68" t="inlineStr">
        <is>
          <t>Taiwan 動物用藥品管理法 scope and Singapore Health Products Act scope, 5 August 2026</t>
        </is>
      </c>
    </row>
    <row r="19" ht="87.75" customHeight="1" s="114">
      <c r="A19" s="68" t="inlineStr">
        <is>
          <t>C-15</t>
        </is>
      </c>
      <c r="B19" s="68" t="inlineStr">
        <is>
          <t>Product line card</t>
        </is>
      </c>
      <c r="C19" s="68" t="inlineStr">
        <is>
          <t>Range described in the report as twelve SKUs at USD 5,299–21,200 with no veterinary cart</t>
        </is>
      </c>
      <c r="D19" s="68" t="inlineStr">
        <is>
          <t>CONFIRMED unchanged against source. Twelve veterinary SKUs: SonoAir 70 VET 21,200 · EBit 60 VET 19,079 · SonoBook 8 VET and EBit 50 VET 16,959 · EBit 30 VET 14,839 · SonoBook 6 VET 13,779 · ECO 6 VET 8,373 · SonoEye P2/P3/P5/P6/P7 VET 5,299 each. No veterinary-labelled cart. Decision D-2 stands.</t>
        </is>
      </c>
      <c r="E19" s="68" t="inlineStr">
        <is>
          <t>chisonultrasound.com/collections/veterinary, opened and read in full, 5 August 2026</t>
        </is>
      </c>
    </row>
    <row r="20" ht="87.75" customHeight="1" s="114">
      <c r="A20" s="68" t="inlineStr">
        <is>
          <t>C-16</t>
        </is>
      </c>
      <c r="B20" s="68" t="inlineStr">
        <is>
          <t>SG account status</t>
        </is>
      </c>
      <c r="C20" s="68" t="inlineStr">
        <is>
          <t>Singapore Turf Club Equine Hospital listed as an institutional account</t>
        </is>
      </c>
      <c r="D20" s="68" t="inlineStr">
        <is>
          <t>VERIFY FIRST. Turf Club racing operations have been winding down and the Kranji site is subject to return to government. Whether the equine hospital still operates was not established. Do not carry a possibly defunct account on an outreach list.</t>
        </is>
      </c>
      <c r="E20" s="68" t="inlineStr">
        <is>
          <t>Flagged in this pass; status NOT confirmed either way. Requires a direct check before any approach</t>
        </is>
      </c>
    </row>
    <row r="21" ht="87.75" customHeight="1" s="114">
      <c r="A21" s="68" t="inlineStr">
        <is>
          <t>C-17</t>
        </is>
      </c>
      <c r="B21" s="68" t="inlineStr">
        <is>
          <t>Workbook integrity — MATERIAL</t>
        </is>
      </c>
      <c r="C21" s="68" t="inlineStr">
        <is>
          <t>v8 reported tier, priority, buying-potential and contact-confidence counts under every target table.</t>
        </is>
      </c>
      <c r="D21" s="68" t="inlineStr">
        <is>
          <t>ALL OF THEM WERE WRONG, and nearly all read zero. Inserting the four pipeline columns at D in v8 shifted every column from D rightwards by four, but the COUNTIF ranges were not moved. Tiers were being counted in the contact-confidence column, priorities in the email column. All 66 formulas repointed in v9.</t>
        </is>
      </c>
      <c r="E21" s="68" t="inlineStr">
        <is>
          <t>Audit of the v8 formula cells against the current header row, 8 August 2026</t>
        </is>
      </c>
    </row>
    <row r="22" ht="87.75" customHeight="1" s="114">
      <c r="A22" s="68" t="inlineStr">
        <is>
          <t>C-18</t>
        </is>
      </c>
      <c r="B22" s="68" t="inlineStr">
        <is>
          <t>Workbook usability</t>
        </is>
      </c>
      <c r="C22" s="68" t="inlineStr">
        <is>
          <t>Column widths were carried over from the pre-v8 layout.</t>
        </is>
      </c>
      <c r="D22" s="68" t="inlineStr">
        <is>
          <t>Stale by the same four columns. 'Email template' (one letter) was 88 wide; 'Email body', the column you copy from, was 13; 'CONTACT CONFIDENCE', which holds a full sentence, was 9. Realigned on all seven target tabs in v9.</t>
        </is>
      </c>
      <c r="E22" s="68" t="inlineStr">
        <is>
          <t>Same audit, 8 August 2026</t>
        </is>
      </c>
    </row>
    <row r="23" ht="87.75" customHeight="1" s="114">
      <c r="A23" s="68" t="inlineStr">
        <is>
          <t>C-19</t>
        </is>
      </c>
      <c r="B23" s="68" t="inlineStr">
        <is>
          <t>Workbook usability</t>
        </is>
      </c>
      <c r="C23" s="68" t="inlineStr">
        <is>
          <t>The v8 READ ME states column D sits inside the frozen panes on all seven target tabs.</t>
        </is>
      </c>
      <c r="D23" s="68" t="inlineStr">
        <is>
          <t>It did not. Japan Dealers and Singapore End Users had NO freeze pane at all, and Korea End Users &amp; KOL was frozen at R21 — mid-table, in the middle of the email columns. All seven set to H5 in v9.</t>
        </is>
      </c>
      <c r="E23" s="68" t="inlineStr">
        <is>
          <t>Same audit, 8 August 2026</t>
        </is>
      </c>
    </row>
    <row r="24" ht="87.75" customHeight="1" s="114">
      <c r="A24" s="68" t="inlineStr">
        <is>
          <t>C-20</t>
        </is>
      </c>
      <c r="B24" s="68" t="inlineStr">
        <is>
          <t>KR dealer — NEW</t>
        </is>
      </c>
      <c r="C24" s="68" t="inlineStr">
        <is>
          <t>JPI Healthcare appeared only in the human-diagnostic Market Development list, as a Korean X-ray/DR maker with an imaging dealer channel and 'no known US line'.</t>
        </is>
      </c>
      <c r="D24" s="68" t="inlineStr">
        <is>
          <t>They run a full VETERINARY business under their own brand, JPI Animal Health — DirectVet, DynaVue Duo, DeteCT Vet, ExamVue Duo, JPI Cloud PACS — and Korean trade press reports they are expanding the animal-hospital lineup into veterinary anaesthesia and monitoring with an All-in-One turnkey strategy. Still no ultrasound anywhere. Added to Korea Dealers as TIER 1 / HIGH with grade-A contacts.</t>
        </is>
      </c>
      <c r="E24" s="68" t="inlineStr">
        <is>
          <t>jpi-korea.com and jpianimalhealth.com opened 8 August 2026; Korean pharma/medtech trade press (팜이데일리 / edaily)</t>
        </is>
      </c>
    </row>
    <row r="25" ht="87.75" customHeight="1" s="114">
      <c r="A25" s="68" t="inlineStr">
        <is>
          <t>C-21</t>
        </is>
      </c>
      <c r="B25" s="68" t="inlineStr">
        <is>
          <t>KR dealer — NEW</t>
        </is>
      </c>
      <c r="C25" s="68" t="inlineStr">
        <is>
          <t>Mediana appeared only as a Korean patient-monitor and AED maker with 'no known diagnostic US'.</t>
        </is>
      </c>
      <c r="D25" s="68" t="inlineStr">
        <is>
          <t>They publish an animal-labelled monitor range — M20 Vet, M40 Vet, M50 Vet — so they already sell into Korean animal hospitals. No imaging of any kind. Added to Korea Dealers as TIER 2 / MEDIUM, complementary-line and co-sell, not a distribution appointment: they are a manufacturer.</t>
        </is>
      </c>
      <c r="E25" s="68" t="inlineStr">
        <is>
          <t>mediana.co.kr and mediana-global.com veterinary product pages, 8 August 2026</t>
        </is>
      </c>
    </row>
    <row r="26" ht="87.75" customHeight="1" s="114">
      <c r="A26" s="68" t="inlineStr">
        <is>
          <t>C-22</t>
        </is>
      </c>
      <c r="B26" s="68" t="inlineStr">
        <is>
          <t>KR dealer — CORRECTION</t>
        </is>
      </c>
      <c r="C26" s="68" t="inlineStr">
        <is>
          <t>DK Medical Systems was graded Tier 1 in the Market Development list on the strength of being 'ALSO registered for veterinary devices (동물용의료용구)'.</t>
        </is>
      </c>
      <c r="D26" s="68" t="inlineStr">
        <is>
          <t>THE VETERINARY REGISTRATION COULD NOT BE VERIFIED. dk.co.kr would not open at all — the TLS certificate was rejected as too weak — and no veterinary page or QIA register entry could be found. Carried at TIER 3 / VERIFY FIRST with a grade-D contact. The action is a QIA register lookup, not a call: re-tier to TIER 1 if it confirms, delete the row if it does not.</t>
        </is>
      </c>
      <c r="E26" s="68" t="inlineStr">
        <is>
          <t>Verification attempted and failed, 8 August 2026</t>
        </is>
      </c>
    </row>
    <row r="27" ht="87.75" customHeight="1" s="114">
      <c r="A27" s="68" t="inlineStr">
        <is>
          <t>C-23</t>
        </is>
      </c>
      <c r="B27" s="68" t="inlineStr">
        <is>
          <t>TW dealer — NEW</t>
        </is>
      </c>
      <c r="C27" s="95" t="inlineStr">
        <is>
          <t>愛樺企業 (Best Digital) was recorded as a Siemens ultrasound distributor that 'also handles veterinary equipment', brand unknown.</t>
        </is>
      </c>
      <c r="D27" s="68" t="inlineStr">
        <is>
          <t>Their published 動物醫療設備 category carries 西門子動物用超音波儀 — SIEMENS VETERINARY ULTRASOUND — plus animal CT and an animal CPAP mask, sold from three offices covering north, central and south Taiwan. So the brand is identified and the console tier is closed. Added to Taiwan Dealers as TIER 2, POCKET TIER ONLY, with grade-A contacts for all three offices.</t>
        </is>
      </c>
      <c r="E27" s="68" t="inlineStr">
        <is>
          <t>bestdigital.com.tw home and product pages opened and read, 8 August 2026</t>
        </is>
      </c>
    </row>
    <row r="28" ht="87.75" customHeight="1" s="114">
      <c r="A28" s="68" t="inlineStr">
        <is>
          <t>C-24</t>
        </is>
      </c>
      <c r="B28" s="68" t="inlineStr">
        <is>
          <t>JP dealer — NEW / TW — REFERENCE</t>
        </is>
      </c>
      <c r="C28" s="95" t="inlineStr">
        <is>
          <t>インターメディカル was recorded as a Nagoya refurbished-imaging dealer for the human market. 派瑞勒生醫 (Petrichor) was recorded as a Taiwanese POCUS-native distributor carrying ASUS handhelds.</t>
        </is>
      </c>
      <c r="D28" s="68" t="inlineStr">
        <is>
          <t>INTER MEDICAL states it holds a 動物用高度管理医療機器等販売・賃貸業許可 — the licence to sell and lease animal high-grade devices — and runs a 動物病院関連機器 category whose own listings mark veterinary ultrasound 中古希少, scarce in used stock. Added to Japan Dealers as TIER 2 / HIGH. PETRICHOR distributes ASUS, which publishes a handheld explicitly for veterinary care and is already on our Reference tab as a competitor — so their distributor competes at exactly CHISON's lead tier. Moved to Reference — Do Not Contact, with a name correction: the trading entity is 倍可有限公司 / 蓓果健康照護.</t>
        </is>
      </c>
      <c r="E28" s="68" t="inlineStr">
        <is>
          <t>intermedical.jp product and licence pages, and ASUS veterinary handheld product pages, opened 8 August 2026</t>
        </is>
      </c>
    </row>
    <row r="29"/>
    <row r="30" ht="14.25" customHeight="1" s="114">
      <c r="A30" s="96" t="inlineStr">
        <is>
          <t>TOTAL CORRECTIONS</t>
        </is>
      </c>
      <c r="B30" s="96">
        <f>COUNTA(B5:B28)</f>
        <v/>
      </c>
    </row>
    <row r="31">
      <c r="A31" s="96" t="inlineStr">
        <is>
          <t>C-v11-1</t>
        </is>
      </c>
      <c r="B31" s="96" t="inlineStr">
        <is>
          <t>JP dealer tier</t>
        </is>
      </c>
      <c r="C31" t="inlineStr">
        <is>
          <t>Tokushima Iryoki: Tier 1, no ultrasound identified</t>
        </is>
      </c>
      <c r="D31" t="inlineStr">
        <is>
          <t>TIER 2, archetype B. Company page lists Hitachi Aloka, Konica Minolta, Canon and Fujifilm among 50 plus makers.</t>
        </is>
      </c>
      <c r="E31" t="inlineStr">
        <is>
          <t>tokushima-iryoki.co.jp/company opened 27 Sep 2026</t>
        </is>
      </c>
    </row>
    <row r="32">
      <c r="A32" s="96" t="inlineStr">
        <is>
          <t>C-v11-2</t>
        </is>
      </c>
      <c r="B32" s="96" t="inlineStr">
        <is>
          <t>JP dealer contact</t>
        </is>
      </c>
      <c r="C32" t="inlineStr">
        <is>
          <t>MUNATEX: D, not verified</t>
        </is>
      </c>
      <c r="D32" t="inlineStr">
        <is>
          <t>A. Phone, fax and address confirmed; X-ray, CR and DR listed, no ultrasound, so archetype F.</t>
        </is>
      </c>
      <c r="E32" t="inlineStr">
        <is>
          <t>munatex.com/products opened 27 Sep 2026</t>
        </is>
      </c>
    </row>
    <row r="33">
      <c r="A33" s="96" t="inlineStr">
        <is>
          <t>C-v11-3</t>
        </is>
      </c>
      <c r="B33" s="96" t="inlineStr">
        <is>
          <t>TW dealer tier</t>
        </is>
      </c>
      <c r="C33" t="inlineStr">
        <is>
          <t>KogiPet (Hong Wei Medical): Tier 2</t>
        </is>
      </c>
      <c r="D33" t="inlineStr">
        <is>
          <t>TIER 3. Site sells consumer pet litter, food and supplements, no clinical devices.</t>
        </is>
      </c>
      <c r="E33" t="inlineStr">
        <is>
          <t>kogipet.com opened 27 Sep 2026</t>
        </is>
      </c>
    </row>
    <row r="34">
      <c r="A34" s="96" t="inlineStr">
        <is>
          <t>C-v11-4</t>
        </is>
      </c>
      <c r="B34" s="96" t="inlineStr">
        <is>
          <t>TW dealer tier</t>
        </is>
      </c>
      <c r="C34" t="inlineStr">
        <is>
          <t>Pinyork: Tier 2, human ultrasound</t>
        </is>
      </c>
      <c r="D34" t="inlineStr">
        <is>
          <t>TIER 3. Human medicine only, carries Fujifilm ARIETTA and Hitachi Aloka.</t>
        </is>
      </c>
      <c r="E34" t="inlineStr">
        <is>
          <t>pinyork.com.tw opened 27 Sep 2026</t>
        </is>
      </c>
    </row>
    <row r="35">
      <c r="A35" s="96" t="inlineStr">
        <is>
          <t>C-v11-5</t>
        </is>
      </c>
      <c r="B35" s="96" t="inlineStr">
        <is>
          <t>TW contacts</t>
        </is>
      </c>
      <c r="C35" t="inlineStr">
        <is>
          <t>Seven Taiwan rows with email NOT CONFIRMED</t>
        </is>
      </c>
      <c r="D35" t="inlineStr">
        <is>
          <t>Emails now confirmed for Shine Kochi, OpenVet, GETECH, KogiPet, Pinyork, Yu Chiang (Rongchun) and Hungan.</t>
        </is>
      </c>
      <c r="E35" t="inlineStr">
        <is>
          <t>company sites opened 27 Sep 2026</t>
        </is>
      </c>
    </row>
    <row r="36">
      <c r="A36" s="96" t="inlineStr">
        <is>
          <t>C-v11-6</t>
        </is>
      </c>
      <c r="B36" s="96" t="inlineStr">
        <is>
          <t>SG end user emails</t>
        </is>
      </c>
      <c r="C36" t="inlineStr">
        <is>
          <t>Animal Infirmary info@aivet.com.sg; The Pet Doctors enquiry@petdoctors.com.sg</t>
        </is>
      </c>
      <c r="D36" t="inlineStr">
        <is>
          <t>Both domains do not exist (DNS NXDOMAIN). Emails removed; use contact form or Facebook.</t>
        </is>
      </c>
      <c r="E36" t="inlineStr">
        <is>
          <t>DNS MX check 27 Sep 2026</t>
        </is>
      </c>
    </row>
    <row r="37">
      <c r="A37" s="96" t="inlineStr">
        <is>
          <t>C-v11-7</t>
        </is>
      </c>
      <c r="B37" s="96" t="inlineStr">
        <is>
          <t>SG channel model</t>
        </is>
      </c>
      <c r="C37" t="inlineStr">
        <is>
          <t>Singapore: DIRECT, no dealer</t>
        </is>
      </c>
      <c r="D37" t="inlineStr">
        <is>
          <t>Dealer led in all four markets, as agreed with Jerry. New Singapore Dealers tab; Sage Healthcare moved there; end user emails no longer promise direct supply.</t>
        </is>
      </c>
      <c r="E37" t="inlineStr">
        <is>
          <t>Channel agreement with Jerry, Sept 2026</t>
        </is>
      </c>
    </row>
    <row r="38">
      <c r="A38" s="96" t="inlineStr">
        <is>
          <t>C-v11-8</t>
        </is>
      </c>
      <c r="B38" s="96" t="inlineStr">
        <is>
          <t>All emails</t>
        </is>
      </c>
      <c r="C38" t="inlineStr">
        <is>
          <t>Signature chinhuattan24@gmail.com, no title; em dashes throughout; offer of dealer pricing</t>
        </is>
      </c>
      <c r="D38" t="inlineStr">
        <is>
          <t>Signature is now Senior Regional Sales Manager, AstraMed Healthcare (a subsidiary of CHISON), casper@astramed.sg, +65 8719 0121. All em and en dashes removed. Pricing offer removed from JP, KR and TW emails.</t>
        </is>
      </c>
      <c r="E38" t="inlineStr">
        <is>
          <t>v11 edit, 27 Sep 2026</t>
        </is>
      </c>
    </row>
    <row r="39">
      <c r="A39" s="96" t="inlineStr">
        <is>
          <t>C-v11-9</t>
        </is>
      </c>
      <c r="B39" s="96" t="inlineStr">
        <is>
          <t>KR process</t>
        </is>
      </c>
      <c r="C39" t="inlineStr">
        <is>
          <t>Korea rows marked Send</t>
        </is>
      </c>
      <c r="D39" t="inlineStr">
        <is>
          <t>Every Korea row now carries Next Action: clear with Jerry before first contact.</t>
        </is>
      </c>
      <c r="E39" t="inlineStr">
        <is>
          <t>Rule agreed with Jerry</t>
        </is>
      </c>
    </row>
    <row r="40">
      <c r="A40" s="96" t="inlineStr">
        <is>
          <t>C-v11-10</t>
        </is>
      </c>
      <c r="B40" s="96" t="inlineStr">
        <is>
          <t>Former dealers</t>
        </is>
      </c>
      <c r="C40" t="inlineStr">
        <is>
          <t>AJJ, Medical Plus, AMF, Smitch Tech: re-engage</t>
        </is>
      </c>
      <c r="D40" t="inlineStr">
        <is>
          <t>Do not appoint. Added to the Reference tab.</t>
        </is>
      </c>
      <c r="E40" t="inlineStr">
        <is>
          <t>Decision 20 Sep 2026</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F48"/>
  <sheetViews>
    <sheetView zoomScaleNormal="100" workbookViewId="0">
      <pane ySplit="4" topLeftCell="A5" activePane="bottomLeft" state="frozen"/>
      <selection pane="bottomLeft" activeCell="A1" sqref="A1"/>
    </sheetView>
  </sheetViews>
  <sheetFormatPr baseColWidth="8" defaultColWidth="8.6640625" defaultRowHeight="14.4"/>
  <cols>
    <col width="26" customWidth="1" style="114" min="1" max="1"/>
    <col width="12" customWidth="1" style="114" min="2" max="2"/>
    <col width="52" customWidth="1" style="114" min="3" max="3"/>
    <col width="44" customWidth="1" style="114" min="4" max="4"/>
    <col width="22" customWidth="1" style="114" min="5" max="5"/>
    <col width="62" customWidth="1" style="114" min="6" max="6"/>
  </cols>
  <sheetData>
    <row r="1" ht="25.5" customHeight="1" s="114">
      <c r="A1" s="120" t="inlineStr">
        <is>
          <t>v9 RECONCILIATION — CHISON_Market_Development_Target_List_v3 TRACED INTO THIS WORKBOOK</t>
        </is>
      </c>
    </row>
    <row r="2" ht="57.75" customHeight="1" s="114">
      <c r="A2" s="119" t="inlineStr">
        <is>
          <t>Every row of the source file is accounted for below: already present, added in v9, corrected in v9, moved to Reference, or deliberately left as an open task. The source file exists in two copies — the one in DEALER_VET holds the four VET tabs only; the one in DEALER_DIAGNOSTICS holds those same four VET tabs PLUS the human-diagnostic dealer tabs. Both were read. THE HEADLINE: the veterinary tabs were already fully merged into this workbook at v6, so they produced nothing new — all six new companies came out of the HUMAN tabs, which had never been read for veterinary relevance. Reconciled 8 August 2026.</t>
        </is>
      </c>
    </row>
    <row r="3"/>
    <row r="4" ht="33.75" customHeight="1" s="114">
      <c r="A4" s="97" t="inlineStr">
        <is>
          <t>Source tab in Market Dev v3</t>
        </is>
      </c>
      <c r="B4" s="97" t="inlineStr">
        <is>
          <t>Rows</t>
        </is>
      </c>
      <c r="C4" s="97" t="inlineStr">
        <is>
          <t>What is there</t>
        </is>
      </c>
      <c r="D4" s="97" t="inlineStr">
        <is>
          <t>Where it is in this workbook now</t>
        </is>
      </c>
      <c r="E4" s="97" t="inlineStr">
        <is>
          <t>Status</t>
        </is>
      </c>
      <c r="F4" s="97" t="inlineStr">
        <is>
          <t>Note</t>
        </is>
      </c>
    </row>
    <row r="5" ht="73.5" customHeight="1" s="114">
      <c r="A5" s="63" t="inlineStr">
        <is>
          <t>VET Taiwan</t>
        </is>
      </c>
      <c r="B5" s="63" t="inlineStr">
        <is>
          <t>1–5</t>
        </is>
      </c>
      <c r="C5" s="63" t="inlineStr">
        <is>
          <t>Dealer candidates: 力林國際 Vet Supply · 巨研科技 GETECH · EASTECH · Folibio · 總騰儀器 SOAR</t>
        </is>
      </c>
      <c r="D5" s="63" t="inlineStr">
        <is>
          <t>Taiwan Dealers (Vet Supply, GETECH, Folibio, SOAR) · Reference — Do Not Contact (EASTECH)</t>
        </is>
      </c>
      <c r="E5" s="98" t="inlineStr">
        <is>
          <t>ALREADY PRESENT</t>
        </is>
      </c>
      <c r="F5" s="63" t="inlineStr">
        <is>
          <t>EASTECH was reclassified in v7 as the sole Taiwan agent for Esaote. Nothing to add.</t>
        </is>
      </c>
    </row>
    <row r="6" ht="73.5" customHeight="1" s="114">
      <c r="A6" s="63" t="inlineStr">
        <is>
          <t>VET Taiwan</t>
        </is>
      </c>
      <c r="B6" s="63" t="inlineStr">
        <is>
          <t>6–9</t>
        </is>
      </c>
      <c r="C6" s="63" t="inlineStr">
        <is>
          <t>University teaching hospitals: NTU · NCHU · NPUST · NCYU</t>
        </is>
      </c>
      <c r="D6" s="63" t="inlineStr">
        <is>
          <t>Taiwan End Users &amp; KOL rows 3–6</t>
        </is>
      </c>
      <c r="E6" s="98" t="inlineStr">
        <is>
          <t>ALREADY PRESENT</t>
        </is>
      </c>
      <c r="F6" s="63" t="inlineStr">
        <is>
          <t>—</t>
        </is>
      </c>
    </row>
    <row r="7" ht="73.5" customHeight="1" s="114">
      <c r="A7" s="63" t="inlineStr">
        <is>
          <t>VET Taiwan</t>
        </is>
      </c>
      <c r="B7" s="63" t="inlineStr">
        <is>
          <t>10–15</t>
        </is>
      </c>
      <c r="C7" s="63" t="inlineStr">
        <is>
          <t>Chains and referral hospitals: 全國 NVH · 慈愛 · 全民 Formosa · 太僕 · 亞幸 · 豆皮</t>
        </is>
      </c>
      <c r="D7" s="63" t="inlineStr">
        <is>
          <t>Taiwan End Users &amp; KOL rows 1, 2, 7, 8, 9, 10</t>
        </is>
      </c>
      <c r="E7" s="98" t="inlineStr">
        <is>
          <t>ALREADY PRESENT</t>
        </is>
      </c>
      <c r="F7" s="63" t="inlineStr">
        <is>
          <t>—</t>
        </is>
      </c>
    </row>
    <row r="8" ht="73.5" customHeight="1" s="114">
      <c r="A8" s="63" t="inlineStr">
        <is>
          <t>VET Taiwan</t>
        </is>
      </c>
      <c r="B8" s="63" t="inlineStr">
        <is>
          <t>16–52</t>
        </is>
      </c>
      <c r="C8" s="63" t="inlineStr">
        <is>
          <t>37 TPVMA-registered Taipei clinics with phone numbers</t>
        </is>
      </c>
      <c r="D8" s="63" t="inlineStr">
        <is>
          <t>Taiwan End Users &amp; KOL rows 11–47</t>
        </is>
      </c>
      <c r="E8" s="98" t="inlineStr">
        <is>
          <t>ALREADY PRESENT</t>
        </is>
      </c>
      <c r="F8" s="63" t="inlineStr">
        <is>
          <t>All 37 present, one-for-one.</t>
        </is>
      </c>
    </row>
    <row r="9" ht="73.5" customHeight="1" s="114">
      <c r="A9" s="63" t="inlineStr">
        <is>
          <t>VET Taiwan</t>
        </is>
      </c>
      <c r="B9" s="63" t="inlineStr">
        <is>
          <t>53–54</t>
        </is>
      </c>
      <c r="C9" s="63" t="inlineStr">
        <is>
          <t>TPVMA and the national veterinary association</t>
        </is>
      </c>
      <c r="D9" s="63" t="inlineStr">
        <is>
          <t>Channel Resources rows 1 and 2</t>
        </is>
      </c>
      <c r="E9" s="98" t="inlineStr">
        <is>
          <t>ALREADY PRESENT</t>
        </is>
      </c>
      <c r="F9" s="63" t="inlineStr">
        <is>
          <t>Correctly held as resources, not outreach rows.</t>
        </is>
      </c>
    </row>
    <row r="10" ht="73.5" customHeight="1" s="114">
      <c r="A10" s="63" t="inlineStr">
        <is>
          <t>VET Korea</t>
        </is>
      </c>
      <c r="B10" s="63" t="inlineStr">
        <is>
          <t>1–3</t>
        </is>
      </c>
      <c r="C10" s="63" t="inlineStr">
        <is>
          <t>Dealer candidates: Woorien · VetCom · Sungwools</t>
        </is>
      </c>
      <c r="D10" s="63" t="inlineStr">
        <is>
          <t>Korea Dealers</t>
        </is>
      </c>
      <c r="E10" s="98" t="inlineStr">
        <is>
          <t>ALREADY PRESENT</t>
        </is>
      </c>
      <c r="F10" s="63" t="inlineStr">
        <is>
          <t>Sungwools remains unverified — see correction C-7.</t>
        </is>
      </c>
    </row>
    <row r="11" ht="73.5" customHeight="1" s="114">
      <c r="A11" s="63" t="inlineStr">
        <is>
          <t>VET Korea</t>
        </is>
      </c>
      <c r="B11" s="63" t="inlineStr">
        <is>
          <t>4–16</t>
        </is>
      </c>
      <c r="C11" s="63" t="inlineStr">
        <is>
          <t>Haemaru · VIP ×5 · Shine · Western · Poom · 사람앤동물 · Royal AMC ×3</t>
        </is>
      </c>
      <c r="D11" s="63" t="inlineStr">
        <is>
          <t>Korea End Users &amp; KOL</t>
        </is>
      </c>
      <c r="E11" s="98" t="inlineStr">
        <is>
          <t>ALREADY PRESENT</t>
        </is>
      </c>
      <c r="F11" s="63" t="inlineStr">
        <is>
          <t>Group overlaps already flagged on those rows.</t>
        </is>
      </c>
    </row>
    <row r="12" ht="73.5" customHeight="1" s="114">
      <c r="A12" s="63" t="inlineStr">
        <is>
          <t>VET Korea</t>
        </is>
      </c>
      <c r="B12" s="63" t="inlineStr">
        <is>
          <t>17–27</t>
        </is>
      </c>
      <c r="C12" s="63" t="inlineStr">
        <is>
          <t>SNU VMTH, Konkuk and nine regional university hospitals, plus 청담우리</t>
        </is>
      </c>
      <c r="D12" s="63" t="inlineStr">
        <is>
          <t>Korea End Users &amp; KOL</t>
        </is>
      </c>
      <c r="E12" s="98" t="inlineStr">
        <is>
          <t>ALREADY PRESENT</t>
        </is>
      </c>
      <c r="F12" s="63" t="inlineStr">
        <is>
          <t>—</t>
        </is>
      </c>
    </row>
    <row r="13" ht="73.5" customHeight="1" s="114">
      <c r="A13" s="63" t="inlineStr">
        <is>
          <t>VET Korea</t>
        </is>
      </c>
      <c r="B13" s="63" t="inlineStr">
        <is>
          <t>43–45</t>
        </is>
      </c>
      <c r="C13" s="63" t="inlineStr">
        <is>
          <t>Chansaem · Songpawon · 벳아너스 MSO platform</t>
        </is>
      </c>
      <c r="D13" s="63" t="inlineStr">
        <is>
          <t>Korea End Users &amp; KOL (Chansaem, Songpawon) · Korea Dealers (IMDT — VetHonors)</t>
        </is>
      </c>
      <c r="E13" s="98" t="inlineStr">
        <is>
          <t>ALREADY PRESENT</t>
        </is>
      </c>
      <c r="F13" s="63" t="inlineStr">
        <is>
          <t>—</t>
        </is>
      </c>
    </row>
    <row r="14" ht="73.5" customHeight="1" s="114">
      <c r="A14" s="63" t="inlineStr">
        <is>
          <t>VET Korea</t>
        </is>
      </c>
      <c r="B14" s="63" t="inlineStr">
        <is>
          <t>29–42</t>
        </is>
      </c>
      <c r="C14" s="63" t="inlineStr">
        <is>
          <t>animal.go.kr · QIA · KVMA · Seoul VMA/KVC · KAHA · DailyVet · imaging study group · clinical society · insurer networks · IDEXX sub-dealers</t>
        </is>
      </c>
      <c r="D14" s="63" t="inlineStr">
        <is>
          <t>Channel Resources rows 6–13, 22, 23</t>
        </is>
      </c>
      <c r="E14" s="98" t="inlineStr">
        <is>
          <t>ALREADY PRESENT</t>
        </is>
      </c>
      <c r="F14" s="63" t="inlineStr">
        <is>
          <t>—</t>
        </is>
      </c>
    </row>
    <row r="15" ht="73.5" customHeight="1" s="114">
      <c r="A15" s="63" t="inlineStr">
        <is>
          <t>VET Korea</t>
        </is>
      </c>
      <c r="B15" s="63" t="inlineStr">
        <is>
          <t>28</t>
        </is>
      </c>
      <c r="C15" s="63" t="inlineStr">
        <is>
          <t>Busan / Daegu 24-hour centres — 'qualify names via registry'</t>
        </is>
      </c>
      <c r="D15" s="63" t="inlineStr">
        <is>
          <t>Reference — Do Not Contact (recorded as a task, not an account)</t>
        </is>
      </c>
      <c r="E15" s="98" t="inlineStr">
        <is>
          <t>ALREADY HANDLED</t>
        </is>
      </c>
      <c r="F15" s="63" t="inlineStr">
        <is>
          <t>Correctly held as a research task. Extract the names from animal.go.kr when Korea is worked.</t>
        </is>
      </c>
    </row>
    <row r="16" ht="73.5" customHeight="1" s="114">
      <c r="A16" s="63" t="inlineStr">
        <is>
          <t>VET Korea</t>
        </is>
      </c>
      <c r="B16" s="63" t="inlineStr">
        <is>
          <t>38, 42, 46</t>
        </is>
      </c>
      <c r="C16" s="63" t="inlineStr">
        <is>
          <t>Southern-region dealers 'to identify' · Gyeonggi-North &amp; Incheon veterinary associations · 쿨펫/웰펫 franchise names 'to identify'</t>
        </is>
      </c>
      <c r="D16" s="63" t="inlineStr">
        <is>
          <t>NOT ADDED — open tasks</t>
        </is>
      </c>
      <c r="E16" s="99" t="inlineStr">
        <is>
          <t>OPEN TASK</t>
        </is>
      </c>
      <c r="F16" s="63" t="inlineStr">
        <is>
          <t>Deliberate. None of the three names a confirmed entity, so none can carry a contact or an email. Resolve at the KVMA / KVC congress or from the QIA registered-firm list, then add.</t>
        </is>
      </c>
    </row>
    <row r="17" ht="73.5" customHeight="1" s="114">
      <c r="A17" s="63" t="inlineStr">
        <is>
          <t>VET Korea</t>
        </is>
      </c>
      <c r="B17" s="63" t="inlineStr">
        <is>
          <t>39</t>
        </is>
      </c>
      <c r="C17" s="63" t="inlineStr">
        <is>
          <t>VIP / Haemaru intern and resident programmes</t>
        </is>
      </c>
      <c r="D17" s="63" t="inlineStr">
        <is>
          <t>Covered by the parent hospital rows</t>
        </is>
      </c>
      <c r="E17" s="98" t="inlineStr">
        <is>
          <t>ALREADY PRESENT</t>
        </is>
      </c>
      <c r="F17" s="63" t="inlineStr">
        <is>
          <t>A programme inside an account already on the tab, not a separate organisation.</t>
        </is>
      </c>
    </row>
    <row r="18" ht="73.5" customHeight="1" s="114">
      <c r="A18" s="63" t="inlineStr">
        <is>
          <t>VET Japan</t>
        </is>
      </c>
      <c r="B18" s="63" t="inlineStr">
        <is>
          <t>1–9</t>
        </is>
      </c>
      <c r="C18" s="63" t="inlineStr">
        <is>
          <t>Fujifilm VET Systems · Medical Space · AS-1 · Fujihira · Kyoritsu · Zenoaq · Fukuda M-E · Kirikan · PETMEDIC PRO</t>
        </is>
      </c>
      <c r="D18" s="63" t="inlineStr">
        <is>
          <t>Japan Dealers (8 of them) · Reference — Do Not Contact (Fujifilm VET Systems)</t>
        </is>
      </c>
      <c r="E18" s="98" t="inlineStr">
        <is>
          <t>ALREADY PRESENT</t>
        </is>
      </c>
      <c r="F18" s="63" t="inlineStr">
        <is>
          <t>Fujihira, Kirikan and Fukuda M-E were reclassified MFR in v6 — see correction C-6.</t>
        </is>
      </c>
    </row>
    <row r="19" ht="73.5" customHeight="1" s="114">
      <c r="A19" s="63" t="inlineStr">
        <is>
          <t>VET Japan</t>
        </is>
      </c>
      <c r="B19" s="63" t="inlineStr">
        <is>
          <t>10–21</t>
        </is>
      </c>
      <c r="C19" s="63" t="inlineStr">
        <is>
          <t>JARMeC ×4 · AEON Pet · JSAMC · NeoVets · TRVA · DVMs · Kariya · Daktari · Matsunami</t>
        </is>
      </c>
      <c r="D19" s="63" t="inlineStr">
        <is>
          <t>Japan End Users &amp; KOL rows 1–12</t>
        </is>
      </c>
      <c r="E19" s="98" t="inlineStr">
        <is>
          <t>ALREADY PRESENT</t>
        </is>
      </c>
      <c r="F19" s="63" t="inlineStr">
        <is>
          <t>—</t>
        </is>
      </c>
    </row>
    <row r="20" ht="73.5" customHeight="1" s="114">
      <c r="A20" s="63" t="inlineStr">
        <is>
          <t>VET Japan</t>
        </is>
      </c>
      <c r="B20" s="63" t="inlineStr">
        <is>
          <t>22–37</t>
        </is>
      </c>
      <c r="C20" s="63" t="inlineStr">
        <is>
          <t>Sixteen university teaching hospitals</t>
        </is>
      </c>
      <c r="D20" s="63" t="inlineStr">
        <is>
          <t>Japan End Users &amp; KOL rows 13–28</t>
        </is>
      </c>
      <c r="E20" s="98" t="inlineStr">
        <is>
          <t>ALREADY PRESENT</t>
        </is>
      </c>
      <c r="F20" s="63" t="inlineStr">
        <is>
          <t>All sixteen present.</t>
        </is>
      </c>
    </row>
    <row r="21" ht="73.5" customHeight="1" s="114">
      <c r="A21" s="63" t="inlineStr">
        <is>
          <t>VET Japan</t>
        </is>
      </c>
      <c r="B21" s="63" t="inlineStr">
        <is>
          <t>38–43, 46, 47</t>
        </is>
      </c>
      <c r="C21" s="63" t="inlineStr">
        <is>
          <t>JAHA · JVMA · 動物臨床医学会 · Interpets · imaging society · pet insurers · clinic-opening consultants · competitor sub-dealers</t>
        </is>
      </c>
      <c r="D21" s="63" t="inlineStr">
        <is>
          <t>Channel Resources rows 14–21</t>
        </is>
      </c>
      <c r="E21" s="98" t="inlineStr">
        <is>
          <t>ALREADY PRESENT</t>
        </is>
      </c>
      <c r="F21" s="63" t="inlineStr">
        <is>
          <t>—</t>
        </is>
      </c>
    </row>
    <row r="22" ht="73.5" customHeight="1" s="114">
      <c r="A22" s="63" t="inlineStr">
        <is>
          <t>VET Japan</t>
        </is>
      </c>
      <c r="B22" s="63" t="inlineStr">
        <is>
          <t>44, 45, 48, 49, 50</t>
        </is>
      </c>
      <c r="C22" s="63" t="inlineStr">
        <is>
          <t>Tokyo 24-hour cluster 'to identify' · 'ONE for Animals'-style consolidators · online CE platforms · prefectural veterinary associations · Royal Canin / Hill's rep networks</t>
        </is>
      </c>
      <c r="D22" s="63" t="inlineStr">
        <is>
          <t>NOT ADDED — open tasks</t>
        </is>
      </c>
      <c r="E22" s="99" t="inlineStr">
        <is>
          <t>OPEN TASK</t>
        </is>
      </c>
      <c r="F22" s="63" t="inlineStr">
        <is>
          <t>Deliberate, same reason as the Korean three: no confirmed entity behind any of them. Qualify via the JAHA roster and the 動物臨床医学会 exhibitor list, then add.</t>
        </is>
      </c>
    </row>
    <row r="23" ht="73.5" customHeight="1" s="114">
      <c r="A23" s="63" t="inlineStr">
        <is>
          <t>VET Singapore</t>
        </is>
      </c>
      <c r="B23" s="63" t="inlineStr">
        <is>
          <t>1–9</t>
        </is>
      </c>
      <c r="C23" s="63" t="inlineStr">
        <is>
          <t>Mount Pleasant HQ and eight branches</t>
        </is>
      </c>
      <c r="D23" s="63" t="inlineStr">
        <is>
          <t>Singapore End Users row 1 (one group account)</t>
        </is>
      </c>
      <c r="E23" s="98" t="inlineStr">
        <is>
          <t>ALREADY PRESENT — COLLAPSED</t>
        </is>
      </c>
      <c r="F23" s="63" t="inlineStr">
        <is>
          <t>Nine v3 rows are one buying decision. Correction C-5 also fixed the site count from 9/10 to 8.</t>
        </is>
      </c>
    </row>
    <row r="24" ht="73.5" customHeight="1" s="114">
      <c r="A24" s="63" t="inlineStr">
        <is>
          <t>VET Singapore</t>
        </is>
      </c>
      <c r="B24" s="63" t="inlineStr">
        <is>
          <t>10–16</t>
        </is>
      </c>
      <c r="C24" s="63" t="inlineStr">
        <is>
          <t>VES · Mars regional · Advanced Vet Care · Animal Recovery · Landon · Westside · Pet Space</t>
        </is>
      </c>
      <c r="D24" s="63" t="inlineStr">
        <is>
          <t>Singapore End Users rows 2–6 and 73</t>
        </is>
      </c>
      <c r="E24" s="98" t="inlineStr">
        <is>
          <t>ALREADY PRESENT — ONE MERGE</t>
        </is>
      </c>
      <c r="F24" s="63" t="inlineStr">
        <is>
          <t>Animal Recovery and Pet Space were found in v7 to be the same company and are one row. VES phone corrected — C-4.</t>
        </is>
      </c>
    </row>
    <row r="25" ht="73.5" customHeight="1" s="114">
      <c r="A25" s="63" t="inlineStr">
        <is>
          <t>VET Singapore</t>
        </is>
      </c>
      <c r="B25" s="63" t="inlineStr">
        <is>
          <t>21–41</t>
        </is>
      </c>
      <c r="C25" s="63" t="inlineStr">
        <is>
          <t>Multi-site practices carried one row per branch: Animal Ark, Amber, The Animal Doctors, The Animal Clinic, Island, Joyous, Vet Central, Vets for Life, Vet Practice, Point, Stars</t>
        </is>
      </c>
      <c r="D25" s="63" t="inlineStr">
        <is>
          <t>Singapore End Users — one row per GROUP</t>
        </is>
      </c>
      <c r="E25" s="98" t="inlineStr">
        <is>
          <t>ALREADY PRESENT — COLLAPSED</t>
        </is>
      </c>
      <c r="F25" s="63" t="inlineStr">
        <is>
          <t>Deliberate: a two-site practice makes one decision. No account was lost.</t>
        </is>
      </c>
    </row>
    <row r="26" ht="73.5" customHeight="1" s="114">
      <c r="A26" s="63" t="inlineStr">
        <is>
          <t>VET Singapore</t>
        </is>
      </c>
      <c r="B26" s="63" t="inlineStr">
        <is>
          <t>18–20, 42–54</t>
        </is>
      </c>
      <c r="C26" s="63" t="inlineStr">
        <is>
          <t>Mandai Wildlife · SPCA · RehabVet and the independent clinic long tail</t>
        </is>
      </c>
      <c r="D26" s="63" t="inlineStr">
        <is>
          <t>Singapore End Users</t>
        </is>
      </c>
      <c r="E26" s="98" t="inlineStr">
        <is>
          <t>ALREADY PRESENT</t>
        </is>
      </c>
      <c r="F26" s="63" t="inlineStr">
        <is>
          <t>—</t>
        </is>
      </c>
    </row>
    <row r="27" ht="73.5" customHeight="1" s="114">
      <c r="A27" s="63" t="inlineStr">
        <is>
          <t>VET Singapore</t>
        </is>
      </c>
      <c r="B27" s="63" t="inlineStr">
        <is>
          <t>17</t>
        </is>
      </c>
      <c r="C27" s="63" t="inlineStr">
        <is>
          <t>Singapore Turf Club Equine Hospital</t>
        </is>
      </c>
      <c r="D27" s="63" t="inlineStr">
        <is>
          <t>Reference — Do Not Contact</t>
        </is>
      </c>
      <c r="E27" s="98" t="inlineStr">
        <is>
          <t>ALREADY HANDLED</t>
        </is>
      </c>
      <c r="F27" s="63" t="inlineStr">
        <is>
          <t>Racing in Singapore ended 5 October 2024 — removed from outreach in v7.</t>
        </is>
      </c>
    </row>
    <row r="28" ht="73.5" customHeight="1" s="114">
      <c r="A28" s="63" t="inlineStr">
        <is>
          <t>VET Singapore</t>
        </is>
      </c>
      <c r="B28" s="63" t="inlineStr">
        <is>
          <t>55</t>
        </is>
      </c>
      <c r="C28" s="63" t="inlineStr">
        <is>
          <t>Singapore Veterinary Association</t>
        </is>
      </c>
      <c r="D28" s="63" t="inlineStr">
        <is>
          <t>Channel Resources row 24</t>
        </is>
      </c>
      <c r="E28" s="98" t="inlineStr">
        <is>
          <t>ALREADY PRESENT</t>
        </is>
      </c>
      <c r="F28" s="63" t="inlineStr">
        <is>
          <t>—</t>
        </is>
      </c>
    </row>
    <row r="29" ht="73.5" customHeight="1" s="114">
      <c r="A29" s="63" t="inlineStr">
        <is>
          <t>Taiwan Dealers (HUMAN)</t>
        </is>
      </c>
      <c r="B29" s="63" t="inlineStr">
        <is>
          <t>70</t>
        </is>
      </c>
      <c r="C29" s="64" t="inlineStr">
        <is>
          <t>愛樺企業 (Best Digital) — 'Siemens ultrasound distributor, also handles veterinary equipment'</t>
        </is>
      </c>
      <c r="D29" s="63" t="inlineStr">
        <is>
          <t>Taiwan Dealers — NEW ROW 24</t>
        </is>
      </c>
      <c r="E29" s="100" t="inlineStr">
        <is>
          <t>ADDED IN v9</t>
        </is>
      </c>
      <c r="F29" s="63" t="inlineStr">
        <is>
          <t>The veterinary brand is Siemens: 西門子動物用超音波儀, plus animal CT and animal CPAP. Three offices, north/central/south. Grade A contacts throughout. TIER 2 — POCKET TIER ONLY.</t>
        </is>
      </c>
    </row>
    <row r="30" ht="73.5" customHeight="1" s="114">
      <c r="A30" s="63" t="inlineStr">
        <is>
          <t>Taiwan Dealers (HUMAN)</t>
        </is>
      </c>
      <c r="B30" s="63" t="inlineStr">
        <is>
          <t>5</t>
        </is>
      </c>
      <c r="C30" s="64" t="inlineStr">
        <is>
          <t>派瑞勒生醫 Petrichor Biomed — 'POCUS-native channel, ASUS handheld'</t>
        </is>
      </c>
      <c r="D30" s="63" t="inlineStr">
        <is>
          <t>Reference — Do Not Contact row 14</t>
        </is>
      </c>
      <c r="E30" s="101" t="inlineStr">
        <is>
          <t>MOVED TO REFERENCE</t>
        </is>
      </c>
      <c r="F30" s="63" t="inlineStr">
        <is>
          <t>ASUS publishes a handheld explicitly for veterinary care and is already on our Reference tab. Their distributor competes at exactly CHISON's lead tier. Name corrected to 倍可有限公司 / 蓓果健康照護.</t>
        </is>
      </c>
    </row>
    <row r="31" ht="73.5" customHeight="1" s="114">
      <c r="A31" s="63" t="inlineStr">
        <is>
          <t>Taiwan Dealers (HUMAN)</t>
        </is>
      </c>
      <c r="B31" s="63" t="inlineStr">
        <is>
          <t>60, 61, 73, 74, 78, 95</t>
        </is>
      </c>
      <c r="C31" s="64" t="inlineStr">
        <is>
          <t>上鉅實業 (SuperSonic) · 博宣寧 (Mindray) · 沃醫學 (Alpinion) · 理工科技 (Konica Minolta) · 達勝 (SIUI) · 德瑪凱 (Caresono)</t>
        </is>
      </c>
      <c r="D31" s="63" t="inlineStr">
        <is>
          <t>NOT ADDED</t>
        </is>
      </c>
      <c r="E31" s="102" t="inlineStr">
        <is>
          <t>SCREENED OUT</t>
        </is>
      </c>
      <c r="F31" s="63" t="inlineStr">
        <is>
          <t>All six were checked. Each represents a human ultrasound brand and none publishes a veterinary channel of its own; SIUI and Caresono have veterinary lines at the MANUFACTURER, which makes their Taiwanese distributors competitor channels rather than recruits. Re-open only if one of them advertises a veterinary line.</t>
        </is>
      </c>
    </row>
    <row r="32" ht="73.5" customHeight="1" s="114">
      <c r="A32" s="63" t="inlineStr">
        <is>
          <t>Taiwan Dealers (HUMAN)</t>
        </is>
      </c>
      <c r="B32" s="63" t="inlineStr">
        <is>
          <t>9, 28, and the TFDA registry block</t>
        </is>
      </c>
      <c r="C32" s="63" t="inlineStr">
        <is>
          <t>DKSH Taiwan · Getz Healthcare Taiwan · ~50 registry-sourced importers</t>
        </is>
      </c>
      <c r="D32" s="63" t="inlineStr">
        <is>
          <t>NOT ADDED</t>
        </is>
      </c>
      <c r="E32" s="102" t="inlineStr">
        <is>
          <t>SCREENED OUT</t>
        </is>
      </c>
      <c r="F32" s="63" t="inlineStr">
        <is>
          <t>No veterinary business identified for either DKSH Taiwan or Getz Healthcare Taiwan. The registry block is single-brand human importers — ophthalmic, IVUS, bladder-scan, accessories — with no animal-hospital channel.</t>
        </is>
      </c>
    </row>
    <row r="33" ht="73.5" customHeight="1" s="114">
      <c r="A33" s="63" t="inlineStr">
        <is>
          <t>Korea Dealers (HUMAN)</t>
        </is>
      </c>
      <c r="B33" s="63" t="inlineStr">
        <is>
          <t>54</t>
        </is>
      </c>
      <c r="C33" s="63" t="inlineStr">
        <is>
          <t>JPI Healthcare — 'Korean X-ray/DR maker, no known US line'</t>
        </is>
      </c>
      <c r="D33" s="63" t="inlineStr">
        <is>
          <t>Korea Dealers — NEW ROW 27</t>
        </is>
      </c>
      <c r="E33" s="100" t="inlineStr">
        <is>
          <t>ADDED IN v9</t>
        </is>
      </c>
      <c r="F33" s="63" t="inlineStr">
        <is>
          <t>THE BEST FIND OF THE PASS. Own veterinary brand (JPI Animal Health), DirectVet / DeteCT Vet, and a published turnkey strategy for animal hospitals — with no ultrasound. TIER 1 / HIGH, grade A.</t>
        </is>
      </c>
    </row>
    <row r="34" ht="73.5" customHeight="1" s="114">
      <c r="A34" s="63" t="inlineStr">
        <is>
          <t>Korea Dealers (HUMAN)</t>
        </is>
      </c>
      <c r="B34" s="63" t="inlineStr">
        <is>
          <t>23</t>
        </is>
      </c>
      <c r="C34" s="63" t="inlineStr">
        <is>
          <t>Mediana — 'Korean patient-monitor and AED maker'</t>
        </is>
      </c>
      <c r="D34" s="63" t="inlineStr">
        <is>
          <t>Korea Dealers — NEW ROW 28</t>
        </is>
      </c>
      <c r="E34" s="100" t="inlineStr">
        <is>
          <t>ADDED IN v9</t>
        </is>
      </c>
      <c r="F34" s="63" t="inlineStr">
        <is>
          <t>Animal-labelled monitor range M20/M40/M50 Vet. No imaging. TIER 2, complementary line — they are a manufacturer, so this is a co-sell conversation, not a distribution appointment.</t>
        </is>
      </c>
    </row>
    <row r="35" ht="73.5" customHeight="1" s="114">
      <c r="A35" s="63" t="inlineStr">
        <is>
          <t>Korea Dealers (HUMAN)</t>
        </is>
      </c>
      <c r="B35" s="63" t="inlineStr">
        <is>
          <t>21</t>
        </is>
      </c>
      <c r="C35" s="63" t="inlineStr">
        <is>
          <t>DK Medical Systems — 'ALSO registered for veterinary devices', graded Tier 1 there</t>
        </is>
      </c>
      <c r="D35" s="63" t="inlineStr">
        <is>
          <t>Korea Dealers — NEW ROW 29, at TIER 3 / VERIFY FIRST</t>
        </is>
      </c>
      <c r="E35" s="103" t="inlineStr">
        <is>
          <t>ADDED WITH CORRECTION</t>
        </is>
      </c>
      <c r="F35" s="63" t="inlineStr">
        <is>
          <t>The veterinary registration could NOT be verified — the site would not open (TLS certificate rejected) and no QIA entry was found. Look it up on the QIA register: re-tier to TIER 1 if it confirms, delete the row if it does not.</t>
        </is>
      </c>
    </row>
    <row r="36" ht="73.5" customHeight="1" s="114">
      <c r="A36" s="63" t="inlineStr">
        <is>
          <t>Korea Dealers (HUMAN)</t>
        </is>
      </c>
      <c r="B36" s="63" t="inlineStr">
        <is>
          <t>22, 53, 56, 58 and the eMEDI importer block</t>
        </is>
      </c>
      <c r="C36" s="63" t="inlineStr">
        <is>
          <t>Listem · Soelim · DKSH Korea · JPI-adjacent makers · ~20 multi-brand MFDS importers</t>
        </is>
      </c>
      <c r="D36" s="63" t="inlineStr">
        <is>
          <t>NOT ADDED</t>
        </is>
      </c>
      <c r="E36" s="102" t="inlineStr">
        <is>
          <t>SCREENED OUT</t>
        </is>
      </c>
      <c r="F36" s="63" t="inlineStr">
        <is>
          <t>Checked for a veterinary line; none published one. Note DAIWHA (row 56): their DT-400P electrosurgical unit is resold on WithVet, which is already on the Korea Dealers tab — so that channel is already covered from the other end. Re-open DAIWHA if a direct veterinary line appears.</t>
        </is>
      </c>
    </row>
    <row r="37" ht="73.5" customHeight="1" s="114">
      <c r="A37" s="63" t="inlineStr">
        <is>
          <t>Korea Dealers (HUMAN)</t>
        </is>
      </c>
      <c r="B37" s="63" t="inlineStr">
        <is>
          <t>1, 2, 3, 38, 39, 40, 65</t>
        </is>
      </c>
      <c r="C37" s="63" t="inlineStr">
        <is>
          <t>JW Medical · Technomart · Howell · Samsung Medison · Alpinion · Healcerion · SG Healthcare</t>
        </is>
      </c>
      <c r="D37" s="63" t="inlineStr">
        <is>
          <t>NOT ADDED</t>
        </is>
      </c>
      <c r="E37" s="102" t="inlineStr">
        <is>
          <t>SCREENED OUT / ALREADY REFERENCE</t>
        </is>
      </c>
      <c r="F37" s="63" t="inlineStr">
        <is>
          <t>All carry or make ultrasound. Samsung Medison and Healcerion are already on the Reference tab.</t>
        </is>
      </c>
    </row>
    <row r="38" ht="73.5" customHeight="1" s="114">
      <c r="A38" s="63" t="inlineStr">
        <is>
          <t>Japan Dealers (HUMAN)</t>
        </is>
      </c>
      <c r="B38" s="63" t="inlineStr">
        <is>
          <t>10</t>
        </is>
      </c>
      <c r="C38" s="64" t="inlineStr">
        <is>
          <t>インターメディカル — 'US/CT/MRI/endoscope incl. refurbished, Nagoya'</t>
        </is>
      </c>
      <c r="D38" s="63" t="inlineStr">
        <is>
          <t>Japan Dealers — NEW ROW 28</t>
        </is>
      </c>
      <c r="E38" s="100" t="inlineStr">
        <is>
          <t>ADDED IN v9</t>
        </is>
      </c>
      <c r="F38" s="63" t="inlineStr">
        <is>
          <t>Holds a 動物用高度管理医療機器等販売・賃貸業許可 and runs a 動物病院関連機器 category whose own listings mark veterinary ultrasound 中古希少. TIER 2 / HIGH. Contact not yet confirmed — grade C.</t>
        </is>
      </c>
    </row>
    <row r="39" ht="73.5" customHeight="1" s="114">
      <c r="A39" s="63" t="inlineStr">
        <is>
          <t>Japan Dealers (HUMAN)</t>
        </is>
      </c>
      <c r="B39" s="63" t="inlineStr">
        <is>
          <t>—</t>
        </is>
      </c>
      <c r="C39" s="64" t="inlineStr">
        <is>
          <t>本郷いわしや Hongo Iwashiya (already on the Japan Dealers tab as MFR)</t>
        </is>
      </c>
      <c r="D39" s="63" t="inlineStr">
        <is>
          <t>Japan Dealers — EXISTING ROW, contacts upgraded</t>
        </is>
      </c>
      <c r="E39" s="103" t="inlineStr">
        <is>
          <t>CORRECTED IN v9</t>
        </is>
      </c>
      <c r="F39" s="63" t="inlineStr">
        <is>
          <t>Their own site runs a direct animal-hospital business — new and used equipment sales AND used-equipment buy-back — so they are both a supplier into Medical Space and a direct dealer. Contact upgraded to grade A: 03-5800-1848, fax 03-5800-2225, info@hongo-iwashiya.co.jp, 〒113-0001 東京都文京区白山1-21-13.</t>
        </is>
      </c>
    </row>
    <row r="40" ht="73.5" customHeight="1" s="114">
      <c r="A40" s="63" t="inlineStr">
        <is>
          <t>Japan Dealers (HUMAN)</t>
        </is>
      </c>
      <c r="B40" s="63" t="inlineStr">
        <is>
          <t>1, 4, 20, 64, 65, 66 and the JAHID regional block</t>
        </is>
      </c>
      <c r="C40" s="63" t="inlineStr">
        <is>
          <t>Century Medical · Muranaka · Matsuyoshi · Green Medical · Fair Medical · HOYU · ~40 JAHID regional dealers</t>
        </is>
      </c>
      <c r="D40" s="63" t="inlineStr">
        <is>
          <t>NOT ADDED</t>
        </is>
      </c>
      <c r="E40" s="102" t="inlineStr">
        <is>
          <t>SCREENED OUT</t>
        </is>
      </c>
      <c r="F40" s="63" t="inlineStr">
        <is>
          <t>No published veterinary business found for any of them. The JAHID regional dealers are hospital-channel houses; the Japanese veterinary channel is a separate trade, already represented on this tab by the animal-drug wholesalers and the veterinary trading houses.</t>
        </is>
      </c>
    </row>
    <row r="41" ht="73.5" customHeight="1" s="114">
      <c r="A41" s="63" t="inlineStr">
        <is>
          <t>Japan Dealers (HUMAN)</t>
        </is>
      </c>
      <c r="B41" s="63" t="inlineStr">
        <is>
          <t>11, 63</t>
        </is>
      </c>
      <c r="C41" s="63" t="inlineStr">
        <is>
          <t>Fukuda Denshi · Canon Medical</t>
        </is>
      </c>
      <c r="D41" s="63" t="inlineStr">
        <is>
          <t>NOT ADDED</t>
        </is>
      </c>
      <c r="E41" s="102" t="inlineStr">
        <is>
          <t>SCREENED OUT</t>
        </is>
      </c>
      <c r="F41" s="63" t="inlineStr">
        <is>
          <t>Both make ultrasound. Note Fukuda Denshi (maker) is a DIFFERENT company from Fukuda M-E Kogyo, which is on the Japan Dealers tab — do not merge the two.</t>
        </is>
      </c>
    </row>
    <row r="42" ht="73.5" customHeight="1" s="114">
      <c r="A42" s="63" t="inlineStr">
        <is>
          <t>Singapore End-Users (HUMAN)</t>
        </is>
      </c>
      <c r="B42" s="63" t="inlineStr">
        <is>
          <t>all 61</t>
        </is>
      </c>
      <c r="C42" s="63" t="inlineStr">
        <is>
          <t>Human GP chains, private hospitals, O&amp;G groups, imaging chains and public hospitals</t>
        </is>
      </c>
      <c r="D42" s="63" t="inlineStr">
        <is>
          <t>NOT ADDED</t>
        </is>
      </c>
      <c r="E42" s="102" t="inlineStr">
        <is>
          <t>OUT OF SCOPE</t>
        </is>
      </c>
      <c r="F42" s="63" t="inlineStr">
        <is>
          <t>Human-medicine accounts. They belong to the diagnostic workbook, not this one.</t>
        </is>
      </c>
    </row>
    <row r="43" ht="73.5" customHeight="1" s="114">
      <c r="A43" s="63" t="inlineStr">
        <is>
          <t>(not in v3)</t>
        </is>
      </c>
      <c r="B43" s="63" t="inlineStr">
        <is>
          <t>—</t>
        </is>
      </c>
      <c r="C43" s="63" t="inlineStr">
        <is>
          <t>Sage Healthcare Pte Ltd — Singapore veterinary distributor</t>
        </is>
      </c>
      <c r="D43" s="63" t="inlineStr">
        <is>
          <t>Singapore End Users — NEW ROW 74</t>
        </is>
      </c>
      <c r="E43" s="100" t="inlineStr">
        <is>
          <t>ADDED IN v9 — NOT A v3 ROW</t>
        </is>
      </c>
      <c r="F43" s="63" t="inlineStr">
        <is>
          <t>Surfaced while verifying the v3 'Getz Healthcare' row. Verified grade A, no imaging line, reps already inside the clinics on this tab. Singapore stays DIRECT — this is a co-sell and referral row, flagged as such in the Type column, not a distribution appointment.</t>
        </is>
      </c>
    </row>
    <row r="44"/>
    <row r="45" ht="15" customHeight="1" s="114">
      <c r="A45" s="104">
        <f>COUNTA(A5:A43)</f>
        <v/>
      </c>
      <c r="B45" s="10" t="inlineStr">
        <is>
          <t>Reconciliation lines covering every row of Market Development Target List v3</t>
        </is>
      </c>
    </row>
    <row r="46" ht="15" customHeight="1" s="114">
      <c r="A46" s="104">
        <f>COUNTIF(E5:E43,"ADDED*")</f>
        <v/>
      </c>
      <c r="B46" s="9" t="inlineStr">
        <is>
          <t>Lines that produced a NEW row in this workbook</t>
        </is>
      </c>
    </row>
    <row r="47" ht="15" customHeight="1" s="114">
      <c r="A47" s="104">
        <f>COUNTIF(E5:E43,"OPEN TASK")</f>
        <v/>
      </c>
      <c r="B47" s="9" t="inlineStr">
        <is>
          <t>Lines left as open research tasks — no confirmed entity, so no row and no email</t>
        </is>
      </c>
    </row>
    <row r="48" ht="15" customHeight="1" s="114">
      <c r="A48" s="104">
        <f>COUNTIF(E5:E43,"ALREADY*")</f>
        <v/>
      </c>
      <c r="B48" s="9" t="inlineStr">
        <is>
          <t>Lines already fully present in the workbook before this pass</t>
        </is>
      </c>
    </row>
  </sheetData>
  <autoFilter ref="A4:F43"/>
  <mergeCells count="2">
    <mergeCell ref="A2:F2"/>
    <mergeCell ref="A1:F1"/>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G38"/>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640625" defaultRowHeight="14.4"/>
  <cols>
    <col width="22" customWidth="1" style="114" min="1" max="1"/>
    <col width="40" customWidth="1" style="114" min="2" max="2"/>
    <col width="50" customWidth="1" style="114" min="3" max="3"/>
    <col width="52" customWidth="1" style="114" min="4" max="4"/>
    <col width="42" customWidth="1" style="114" min="5" max="5"/>
    <col width="30" customWidth="1" style="114" min="6" max="6"/>
    <col width="86" customWidth="1" style="114" min="7" max="7"/>
  </cols>
  <sheetData>
    <row r="1" ht="21.75" customHeight="1" s="114">
      <c r="A1" s="89" t="inlineStr">
        <is>
          <t>RECONCILIATION — MARKET REPORT vs TOP-10 ENGAGEMENT LIST vs THIS WORKBOOK</t>
        </is>
      </c>
    </row>
    <row r="2" ht="48" customHeight="1" s="114">
      <c r="A2" s="90" t="inlineStr">
        <is>
          <t>Every account and dealer named in CHISON_NEA_Veterinary_Ultrasound_Market_Report_2026 and in CHISON_Vet_Top10_Engagement_List.xlsx, matched line by line. Status TALLIES = the three documents agree. DISCREPANCY = they do not, and the resolution column says which is right and why. MISSING = the account appears in one document and not the other. Every discrepancy below is carried through into the market report v2.0 and into this workbook; the uploaded Top-10 list is preserved unchanged so the two versions can be compared.</t>
        </is>
      </c>
    </row>
    <row r="3"/>
    <row r="4" ht="42" customHeight="1" s="114">
      <c r="A4" s="67" t="inlineStr">
        <is>
          <t>Where it appears</t>
        </is>
      </c>
      <c r="B4" s="67" t="inlineStr">
        <is>
          <t>Account or company</t>
        </is>
      </c>
      <c r="C4" s="67" t="inlineStr">
        <is>
          <t>In CHISON_Vet_Top10_Engagement_List.xlsx</t>
        </is>
      </c>
      <c r="D4" s="67" t="inlineStr">
        <is>
          <t>In the market report 2026 (v1.0)</t>
        </is>
      </c>
      <c r="E4" s="67" t="inlineStr">
        <is>
          <t>In this workbook v2.0</t>
        </is>
      </c>
      <c r="F4" s="67" t="inlineStr">
        <is>
          <t>Status</t>
        </is>
      </c>
      <c r="G4" s="67" t="inlineStr">
        <is>
          <t>Resolution and evidence</t>
        </is>
      </c>
    </row>
    <row r="5" ht="111.75" customHeight="1" s="114">
      <c r="A5" s="68" t="inlineStr">
        <is>
          <t>Top-10 rank 1</t>
        </is>
      </c>
      <c r="B5" s="68" t="inlineStr">
        <is>
          <t>Mars Veterinary Health — Mount Pleasant</t>
        </is>
      </c>
      <c r="C5" s="68" t="inlineStr">
        <is>
          <t>Rank 1, ≈9 GP sites, +65 6251 7666, mpvc@mountpleasant.com.sg</t>
        </is>
      </c>
      <c r="D5" s="68" t="inlineStr">
        <is>
          <t>Table 2 and Table 28 Priority 1; Table 24 buyer map says ≈10 sites</t>
        </is>
      </c>
      <c r="E5" s="68" t="inlineStr">
        <is>
          <t>Singapore End Users row 1, P1</t>
        </is>
      </c>
      <c r="F5" s="105" t="inlineStr">
        <is>
          <t>DISCREPANCY — site count</t>
        </is>
      </c>
      <c r="G5" s="68" t="inlineStr">
        <is>
          <t>Three documents give three different site counts: ≈9 (Top-10), ≈10 (report Table 24), and 8 (the group's own published statement). RESOLVED to 8 clinics on the company's own authority. Phone and email TALLY across all three and are confirmed correct.</t>
        </is>
      </c>
    </row>
    <row r="6" ht="111.75" customHeight="1" s="114">
      <c r="A6" s="68" t="inlineStr">
        <is>
          <t>Top-10 rank 2</t>
        </is>
      </c>
      <c r="B6" s="68" t="inlineStr">
        <is>
          <t>VES Hospital</t>
        </is>
      </c>
      <c r="C6" s="68" t="inlineStr">
        <is>
          <t>Rank 2, 1 site, +65 6581 7028</t>
        </is>
      </c>
      <c r="D6" s="68" t="inlineStr">
        <is>
          <t>Table 2 and Table 28 Priority 1, listed as 65817028</t>
        </is>
      </c>
      <c r="E6" s="68" t="inlineStr">
        <is>
          <t>Singapore End Users row 2, P1</t>
        </is>
      </c>
      <c r="F6" s="105" t="inlineStr">
        <is>
          <t>DISCREPANCY — telephone number</t>
        </is>
      </c>
      <c r="G6" s="68" t="inlineStr">
        <is>
          <t>The report and the Top-10 list agree with each other but BOTH disagree with the hospital. VES publishes +65 6266 0232 at 232 Whitley Road. RESOLVED to +65 6266 0232. This is the kind of error that agrees with itself across documents because it was copied, not verified.</t>
        </is>
      </c>
    </row>
    <row r="7" ht="111.75" customHeight="1" s="114">
      <c r="A7" s="68" t="inlineStr">
        <is>
          <t>Top-10 rank 3</t>
        </is>
      </c>
      <c r="B7" s="68" t="inlineStr">
        <is>
          <t>Advanced Vet Care &amp; Pet Emergency</t>
        </is>
      </c>
      <c r="C7" s="68" t="inlineStr">
        <is>
          <t>Rank 3, +65 6636 1788, SonoEye P3 VET, 30-day evaluation</t>
        </is>
      </c>
      <c r="D7" s="68" t="inlineStr">
        <is>
          <t>Table 28 Priority 1, same phone, same product</t>
        </is>
      </c>
      <c r="E7" s="68" t="inlineStr">
        <is>
          <t>Singapore End Users row 3, P1</t>
        </is>
      </c>
      <c r="F7" s="92" t="inlineStr">
        <is>
          <t>TALLIES</t>
        </is>
      </c>
      <c r="G7" s="68" t="inlineStr">
        <is>
          <t>Account, priority, product and approach are consistent across all three documents. Only caveat added: the telephone number derives from the SVA registry May 2024 edition and is graded confidence C until reconfirmed on the call.</t>
        </is>
      </c>
    </row>
    <row r="8" ht="111.75" customHeight="1" s="114">
      <c r="A8" s="68" t="inlineStr">
        <is>
          <t>Top-10 rank 4</t>
        </is>
      </c>
      <c r="B8" s="68" t="inlineStr">
        <is>
          <t>Landon Veterinary Specialist Hospital</t>
        </is>
      </c>
      <c r="C8" s="68" t="inlineStr">
        <is>
          <t>Rank 4, +65 6463 7228, "SonoEye P3 VET · EBit 60 VET"</t>
        </is>
      </c>
      <c r="D8" s="68" t="inlineStr">
        <is>
          <t>Table 28 Priority 1, same phone; Table 24 says "EBit 60 VET or SonoAir 70 VET"</t>
        </is>
      </c>
      <c r="E8" s="68" t="inlineStr">
        <is>
          <t>Singapore End Users row 4, P1</t>
        </is>
      </c>
      <c r="F8" s="92" t="inlineStr">
        <is>
          <t>TALLIES — product wording aligned</t>
        </is>
      </c>
      <c r="G8" s="68" t="inlineStr">
        <is>
          <t>Account and priority tally. The product recommendation was worded three slightly different ways; aligned to SonoEye P3 VET on evaluation with EBit 60 VET as the room system. Both SKUs confirmed to exist on CHISON's catalogue.</t>
        </is>
      </c>
    </row>
    <row r="9" ht="111.75" customHeight="1" s="114">
      <c r="A9" s="68" t="inlineStr">
        <is>
          <t>Top-10 rank 5</t>
        </is>
      </c>
      <c r="B9" s="91" t="inlineStr">
        <is>
          <t>全國動物醫院連鎖體系 National Veterinary Hospital group</t>
        </is>
      </c>
      <c r="C9" s="68" t="inlineStr">
        <is>
          <t>Rank 5, 16 branches per internal list — marked CONFIRM</t>
        </is>
      </c>
      <c r="D9" s="68" t="inlineStr">
        <is>
          <t>Table 46 buyer map, 16 branches, cardiology and oncology departments</t>
        </is>
      </c>
      <c r="E9" s="68" t="inlineStr">
        <is>
          <t>NOT on the dealer sheets — this is an END USER, correctly excluded from a dealer workbook</t>
        </is>
      </c>
      <c r="F9" s="92" t="inlineStr">
        <is>
          <t>TALLIES — with the branch count still unconfirmed</t>
        </is>
      </c>
      <c r="G9" s="68" t="inlineStr">
        <is>
          <t>Correctly recorded in both documents as an end-user chain, not a dealer. The 16-branch figure remains unconfirmed by the group's own site in both documents and is still unconfirmed here. Note it cannot be invoiced until the Taiwan customs position clears — both documents state this correctly.</t>
        </is>
      </c>
    </row>
    <row r="10" ht="111.75" customHeight="1" s="114">
      <c r="A10" s="68" t="inlineStr">
        <is>
          <t>Top-10 rank 6</t>
        </is>
      </c>
      <c r="B10" s="91" t="inlineStr">
        <is>
          <t>慈愛動物醫院集團 Ci-Ai Animal Hospital Group</t>
        </is>
      </c>
      <c r="C10" s="68" t="inlineStr">
        <is>
          <t>Rank 6, Taipei/Taichung/Tainan, 50+ vets</t>
        </is>
      </c>
      <c r="D10" s="68" t="inlineStr">
        <is>
          <t>Table 46 buyer map, same detail</t>
        </is>
      </c>
      <c r="E10" s="68" t="inlineStr">
        <is>
          <t>NOT on the dealer sheets — END USER</t>
        </is>
      </c>
      <c r="F10" s="92" t="inlineStr">
        <is>
          <t>TALLIES</t>
        </is>
      </c>
      <c r="G10" s="68" t="inlineStr">
        <is>
          <t>Consistent. Both documents flag the vet count as internal-list sourced and unverified; that remains true.</t>
        </is>
      </c>
    </row>
    <row r="11" ht="111.75" customHeight="1" s="114">
      <c r="A11" s="68" t="inlineStr">
        <is>
          <t>Top-10 rank 7</t>
        </is>
      </c>
      <c r="B11" s="91" t="inlineStr">
        <is>
          <t>台大動物醫院 NTU Veterinary Hospital</t>
        </is>
      </c>
      <c r="C11" s="68" t="inlineStr">
        <is>
          <t>Rank 7, KOL and evaluation not invoice</t>
        </is>
      </c>
      <c r="D11" s="68" t="inlineStr">
        <is>
          <t>Table 46 university teaching hospital row</t>
        </is>
      </c>
      <c r="E11" s="68" t="inlineStr">
        <is>
          <t>NOT on the dealer sheets — END USER / KOL</t>
        </is>
      </c>
      <c r="F11" s="92" t="inlineStr">
        <is>
          <t>TALLIES</t>
        </is>
      </c>
      <c r="G11" s="68" t="inlineStr">
        <is>
          <t>Consistent. Both correctly note the cart-tier gap (decision D-2) for referral and university accounts.</t>
        </is>
      </c>
    </row>
    <row r="12" ht="111.75" customHeight="1" s="114">
      <c r="A12" s="68" t="inlineStr">
        <is>
          <t>Top-10 rank 8</t>
        </is>
      </c>
      <c r="B12" s="91" t="inlineStr">
        <is>
          <t>해마루 이차진료 동물병원 Haemaru</t>
        </is>
      </c>
      <c r="C12" s="68" t="inlineStr">
        <is>
          <t>Rank 8, "SonoAir 70 VET + SonoEye P5 VET ward fleet"</t>
        </is>
      </c>
      <c r="D12" s="68" t="inlineStr">
        <is>
          <t>Table 38 referral flagship row, same products</t>
        </is>
      </c>
      <c r="E12" s="68" t="inlineStr">
        <is>
          <t>NOT on the dealer sheets — END USER</t>
        </is>
      </c>
      <c r="F12" s="92" t="inlineStr">
        <is>
          <t>TALLIES</t>
        </is>
      </c>
      <c r="G12" s="68" t="inlineStr">
        <is>
          <t>Consistent. Both correctly state that no sale is possible until a QIA-licensed importer is appointed.</t>
        </is>
      </c>
    </row>
    <row r="13" ht="111.75" customHeight="1" s="114">
      <c r="A13" s="68" t="inlineStr">
        <is>
          <t>Top-10 rank 9</t>
        </is>
      </c>
      <c r="B13" s="68" t="inlineStr">
        <is>
          <t>VIP동물의료센터 VIP Animal Medical Center</t>
        </is>
      </c>
      <c r="C13" s="68" t="inlineStr">
        <is>
          <t>Rank 9, 5 Seoul sites</t>
        </is>
      </c>
      <c r="D13" s="68" t="inlineStr">
        <is>
          <t>Table 38 24-hour metropolitan group row, same 5 sites</t>
        </is>
      </c>
      <c r="E13" s="68" t="inlineStr">
        <is>
          <t>NOT on the dealer sheets — END USER</t>
        </is>
      </c>
      <c r="F13" s="92" t="inlineStr">
        <is>
          <t>TALLIES</t>
        </is>
      </c>
      <c r="G13" s="68" t="inlineStr">
        <is>
          <t>Consistent.</t>
        </is>
      </c>
    </row>
    <row r="14" ht="111.75" customHeight="1" s="114">
      <c r="A14" s="68" t="inlineStr">
        <is>
          <t>Top-10 rank 10</t>
        </is>
      </c>
      <c r="B14" s="68" t="inlineStr">
        <is>
          <t>JARMeC 日本動物高度医療センター</t>
        </is>
      </c>
      <c r="C14" s="68" t="inlineStr">
        <is>
          <t>Rank 10, 4 hospitals, &gt;4,800 partner hospitals, no emergency outpatient service</t>
        </is>
      </c>
      <c r="D14" s="68" t="inlineStr">
        <is>
          <t>Table 31 advanced referral group row, same 4 hospitals</t>
        </is>
      </c>
      <c r="E14" s="68" t="inlineStr">
        <is>
          <t>NOT on the dealer sheets — END USER</t>
        </is>
      </c>
      <c r="F14" s="92" t="inlineStr">
        <is>
          <t>TALLIES</t>
        </is>
      </c>
      <c r="G14" s="68" t="inlineStr">
        <is>
          <t>Consistent, and this is the one account where the earlier verification pass demonstrably worked: the "do not pitch emergency scanning" correction is carried in both documents.</t>
        </is>
      </c>
    </row>
    <row r="15" ht="111.75" customHeight="1" s="114">
      <c r="A15" s="68" t="inlineStr">
        <is>
          <t>Report Table 2 / 50</t>
        </is>
      </c>
      <c r="B15" s="91" t="inlineStr">
        <is>
          <t>力林國際 Vet Supply (TW)</t>
        </is>
      </c>
      <c r="C15" s="68" t="inlineStr">
        <is>
          <t>NOT in the Top-10 list — it is a dealer, correctly outside a top-10 end-user list</t>
        </is>
      </c>
      <c r="D15" s="68" t="inlineStr">
        <is>
          <t>PRIORITY 1. "Sells veterinary ultrasound already (ProPet and S-series)... full CHISON line either complements their carts or replaces ageing stock"</t>
        </is>
      </c>
      <c r="E15" s="68" t="inlineStr">
        <is>
          <t>Taiwan Dealers row 3, TIER 2</t>
        </is>
      </c>
      <c r="F15" s="105" t="inlineStr">
        <is>
          <t>DISCREPANCY — tier and rationale</t>
        </is>
      </c>
      <c r="G15" s="68" t="inlineStr">
        <is>
          <t>The report's Priority 1 rating rests on an assumption that their ultrasound stock is ageing and complementable. Their imaging category, opened in this pass, lists ProPet 60 and 70, S50, X3V, S9V and E1V, with pages updated late 2025 and 2026. X3V, S9V and E1V correspond to the SonoScape veterinary series — a direct Chinese-origin competitor at the same price band. RESOLVED to TIER 2, pocket-tier wedge only.</t>
        </is>
      </c>
    </row>
    <row r="16" ht="111.75" customHeight="1" s="114">
      <c r="A16" s="68" t="inlineStr">
        <is>
          <t>Report Table 2 / 50</t>
        </is>
      </c>
      <c r="B16" s="91" t="inlineStr">
        <is>
          <t>巨研科技 GETECH (TW)</t>
        </is>
      </c>
      <c r="C16" s="68" t="inlineStr">
        <is>
          <t>NOT in the Top-10 list — dealer</t>
        </is>
      </c>
      <c r="D16" s="68" t="inlineStr">
        <is>
          <t>PRIORITY 1, with a correct note that they carry Philips veterinary ultrasound and to take the veterinary wedge</t>
        </is>
      </c>
      <c r="E16" s="68" t="inlineStr">
        <is>
          <t>Taiwan Dealers row 4, TIER 2</t>
        </is>
      </c>
      <c r="F16" s="105" t="inlineStr">
        <is>
          <t>DISCREPANCY — tier only</t>
        </is>
      </c>
      <c r="G16" s="68" t="inlineStr">
        <is>
          <t>The report identified the Philips conflict correctly and recommended the right wedge, but still rated it Priority 1. Under the tier rule a dealer with an existing competing ultrasound line is Tier 2 by definition. RESOLVED to TIER 2. The wedge recommendation is retained and sharpened: avoid the cardiac pitch, which runs into their Philips flagship.</t>
        </is>
      </c>
    </row>
    <row r="17" ht="111.75" customHeight="1" s="114">
      <c r="A17" s="68" t="inlineStr">
        <is>
          <t>Report Table 2 / 35</t>
        </is>
      </c>
      <c r="B17" s="91" t="inlineStr">
        <is>
          <t>メディカルスペース Medical Space (JP)</t>
        </is>
      </c>
      <c r="C17" s="68" t="inlineStr">
        <is>
          <t>NOT in the Top-10 list — dealer</t>
        </is>
      </c>
      <c r="D17" s="68" t="inlineStr">
        <is>
          <t>PRIORITY 1. "The strongest independent alternative to the Fujifilm-owned channel"</t>
        </is>
      </c>
      <c r="E17" s="68" t="inlineStr">
        <is>
          <t>Japan Dealers row 5, TIER 2</t>
        </is>
      </c>
      <c r="F17" s="105" t="inlineStr">
        <is>
          <t>DISCREPANCY — tier and rationale</t>
        </is>
      </c>
      <c r="G17" s="68" t="inlineStr">
        <is>
          <t>The strongest contradiction found in this pass. Their catalogue lists 42–56 ultrasound entries across GE, Canon Medtech Supply, Fujifilm, Konica Minolta, Aison and Esaote. They are not an alternative to the Fujifilm channel; they carry Fujifilm alongside five other competitors. RESOLVED to TIER 2, entry price tier only.</t>
        </is>
      </c>
    </row>
    <row r="18" ht="111.75" customHeight="1" s="114">
      <c r="A18" s="68" t="inlineStr">
        <is>
          <t>Report Table 2 / 43</t>
        </is>
      </c>
      <c r="B18" s="68" t="inlineStr">
        <is>
          <t>Woorien 우리엔 (KR)</t>
        </is>
      </c>
      <c r="C18" s="68" t="inlineStr">
        <is>
          <t>NOT in the Top-10 list — dealer</t>
        </is>
      </c>
      <c r="D18" s="68" t="inlineStr">
        <is>
          <t>PRIORITY 1. "Complementary rather than competing portfolio... the cleanest bundle"</t>
        </is>
      </c>
      <c r="E18" s="68" t="inlineStr">
        <is>
          <t>Korea Dealers row 1, TIER 1</t>
        </is>
      </c>
      <c r="F18" s="92" t="inlineStr">
        <is>
          <t>TALLIES — and strengthened</t>
        </is>
      </c>
      <c r="G18" s="68" t="inlineStr">
        <is>
          <t>The report was right about this one and the rating is confirmed. Strengthened with new evidence: Woorien also operates the leading Korean veterinary clinic EMR (PMS365, weWebchart, WeRefer), which is a second lever the report did not record. Full contact detail now verified to confidence A.</t>
        </is>
      </c>
    </row>
    <row r="19" ht="111.75" customHeight="1" s="114">
      <c r="A19" s="68" t="inlineStr">
        <is>
          <t>Report Table 2 / 43</t>
        </is>
      </c>
      <c r="B19" s="68" t="inlineStr">
        <is>
          <t>VetCom 벳컴 (KR)</t>
        </is>
      </c>
      <c r="C19" s="68" t="inlineStr">
        <is>
          <t>NOT in the Top-10 list — dealer</t>
        </is>
      </c>
      <c r="D19" s="68" t="inlineStr">
        <is>
          <t>PRIORITY 1. "Second national candidate and the necessary hedge if Woorien declines"</t>
        </is>
      </c>
      <c r="E19" s="68" t="inlineStr">
        <is>
          <t>Korea Dealers row 2, TIER 2</t>
        </is>
      </c>
      <c r="F19" s="105" t="inlineStr">
        <is>
          <t>DISCREPANCY — tier and characterisation</t>
        </is>
      </c>
      <c r="G19" s="68" t="inlineStr">
        <is>
          <t>Korean corporate records show a sixteen-person laboratory-diagnostics house in Gwacheon, established 1998 and incorporated 2003, whose product line is antibody test kits and haematology analysers. It is a genuine candidate but it is not a national imaging channel and should not be positioned as an equal alternative to Woorien. RESOLVED to TIER 2, diagnostics archetype.</t>
        </is>
      </c>
    </row>
    <row r="20" ht="111.75" customHeight="1" s="114">
      <c r="A20" s="68" t="inlineStr">
        <is>
          <t>Report Table 35</t>
        </is>
      </c>
      <c r="B20" s="68" t="inlineStr">
        <is>
          <t>Kyoritsu Seiyaku 共立製薬 (JP)</t>
        </is>
      </c>
      <c r="C20" s="68" t="inlineStr">
        <is>
          <t>NOT in the Top-10 list — dealer</t>
        </is>
      </c>
      <c r="D20" s="68" t="inlineStr">
        <is>
          <t>PRIORITY 1, source status "To verify"</t>
        </is>
      </c>
      <c r="E20" s="68" t="inlineStr">
        <is>
          <t>Japan Dealers row 1, TIER 1</t>
        </is>
      </c>
      <c r="F20" s="92" t="inlineStr">
        <is>
          <t>TALLIES — now verified</t>
        </is>
      </c>
      <c r="G20" s="68" t="inlineStr">
        <is>
          <t>Verified: established 1955, Japan's largest domestic animal-drug company by sales, part of Kyoritsu Holdings, pet and livestock divisions. No ultrasound line identified. Tier 1 confirmed and source status upgraded from "To verify" to confidence B.</t>
        </is>
      </c>
    </row>
    <row r="21" ht="111.75" customHeight="1" s="114">
      <c r="A21" s="68" t="inlineStr">
        <is>
          <t>Report Table 35</t>
        </is>
      </c>
      <c r="B21" s="68" t="inlineStr">
        <is>
          <t>Fujihira 富士平工業 · Kirikan Yoko キリカン洋行 · Fukuda M-E フクダエム・イー工業 (JP)</t>
        </is>
      </c>
      <c r="C21" s="68" t="inlineStr">
        <is>
          <t>NOT in the Top-10 list</t>
        </is>
      </c>
      <c r="D21" s="68" t="inlineStr">
        <is>
          <t>Priority 2 and 3 DEALER targets</t>
        </is>
      </c>
      <c r="E21" s="68" t="inlineStr">
        <is>
          <t>Japan Dealers rows 12, 13 and 14 — all reclassified MFR</t>
        </is>
      </c>
      <c r="F21" s="105" t="inlineStr">
        <is>
          <t>DISCREPANCY — classification</t>
        </is>
      </c>
      <c r="G21" s="68" t="inlineStr">
        <is>
          <t>All three appear in メディカルスペース's manufacturer index, which means they sell INTO Japanese veterinary dealers rather than competing with them. A distribution appointment is the wrong instrument. RESOLVED to MFR. Kirikan Yoko and Fujihira are retained as strong marketing-authorisation-holder candidates, which is a more valuable role than a dealership.</t>
        </is>
      </c>
    </row>
    <row r="22" ht="111.75" customHeight="1" s="114">
      <c r="A22" s="68" t="inlineStr">
        <is>
          <t>Report Table 43</t>
        </is>
      </c>
      <c r="B22" s="68" t="inlineStr">
        <is>
          <t>Sungwools, Uijeongbu (KR)</t>
        </is>
      </c>
      <c r="C22" s="68" t="inlineStr">
        <is>
          <t>NOT in the Top-10 list</t>
        </is>
      </c>
      <c r="D22" s="68" t="inlineStr">
        <is>
          <t>Priority 2, "confirm legal name and domain before any approach"</t>
        </is>
      </c>
      <c r="E22" s="68" t="inlineStr">
        <is>
          <t>Korea Dealers row 9, TIER 3, confidence D, NO EMAIL</t>
        </is>
      </c>
      <c r="F22" s="105" t="inlineStr">
        <is>
          <t>DISCREPANCY — entity not confirmed to exist</t>
        </is>
      </c>
      <c r="G22" s="68" t="inlineStr">
        <is>
          <t>The report asked for confirmation before approach. Confirmation was attempted in this pass and failed: no Korean corporate record, no domain and no telephone number could be matched. RESOLVED to NOT VERIFIED with no email. Check the QIA registered-firm list for a licensed importer in Uijeongbu; if none matches, delete the row.</t>
        </is>
      </c>
    </row>
    <row r="23" ht="111.75" customHeight="1" s="114">
      <c r="A23" s="68" t="inlineStr">
        <is>
          <t>Report Table 50</t>
        </is>
      </c>
      <c r="B23" s="68" t="inlineStr">
        <is>
          <t>EASTECH 動物超音波 (TW)</t>
        </is>
      </c>
      <c r="C23" s="68" t="inlineStr">
        <is>
          <t>NOT in the Top-10 list</t>
        </is>
      </c>
      <c r="D23" s="68" t="inlineStr">
        <is>
          <t>Priority 2, "named veterinary ultrasound channel candidate"</t>
        </is>
      </c>
      <c r="E23" s="68" t="inlineStr">
        <is>
          <t>Taiwan Dealers row 7, TIER 3, confidence D, NO EMAIL</t>
        </is>
      </c>
      <c r="F23" s="105" t="inlineStr">
        <is>
          <t>DISCREPANCY — entity not confirmed, and the description is self-contradictory</t>
        </is>
      </c>
      <c r="G23" s="68" t="inlineStr">
        <is>
          <t>No corporate record, domain or telephone number could be matched. Separately, a company described as a "veterinary ultrasound supplier" is by definition a competitor or a competitor's agent, not a distribution candidate. RESOLVED to NOT VERIFIED, do not approach as a dealer target.</t>
        </is>
      </c>
    </row>
    <row r="24" ht="111.75" customHeight="1" s="114">
      <c r="A24" s="68" t="inlineStr">
        <is>
          <t>Report Table 43</t>
        </is>
      </c>
      <c r="B24" s="68" t="inlineStr">
        <is>
          <t>Ubcare (KR)</t>
        </is>
      </c>
      <c r="C24" s="68" t="inlineStr">
        <is>
          <t>NOT in the Top-10 list</t>
        </is>
      </c>
      <c r="D24" s="68" t="inlineStr">
        <is>
          <t>Priority 3, "unusual door-opener... leverage if it works is high"</t>
        </is>
      </c>
      <c r="E24" s="68" t="inlineStr">
        <is>
          <t>Korea Dealers row 8, TIER 3, downgraded</t>
        </is>
      </c>
      <c r="F24" s="105" t="inlineStr">
        <is>
          <t>DISCREPANCY — superseded</t>
        </is>
      </c>
      <c r="G24" s="68" t="inlineStr">
        <is>
          <t>The EMR door-opener logic is sound but is better served by Woorien, which already runs the leading veterinary clinic EMR AND sells imaging. Ubcare's veterinary presence was not confirmed. RESOLVED: deprioritise, do not delete.</t>
        </is>
      </c>
    </row>
    <row r="25" ht="111.75" customHeight="1" s="114">
      <c r="A25" s="68" t="inlineStr">
        <is>
          <t>Report Tables 2, 35</t>
        </is>
      </c>
      <c r="B25" s="68" t="inlineStr">
        <is>
          <t>Fujifilm VET Systems (JP)</t>
        </is>
      </c>
      <c r="C25" s="68" t="inlineStr">
        <is>
          <t>NOT in the Top-10 list</t>
        </is>
      </c>
      <c r="D25" s="68" t="inlineStr">
        <is>
          <t>REFERENCE ONLY — do not approach. Fujifilm-owned and conflicted</t>
        </is>
      </c>
      <c r="E25" s="68" t="inlineStr">
        <is>
          <t>Japan Dealers row 15, REF, NO EMAIL</t>
        </is>
      </c>
      <c r="F25" s="92" t="inlineStr">
        <is>
          <t>TALLIES</t>
        </is>
      </c>
      <c r="G25" s="68" t="inlineStr">
        <is>
          <t>Correct in the report and carried through unchanged. Its sub-dealers remain the recruitment pool.</t>
        </is>
      </c>
    </row>
    <row r="26" ht="111.75" customHeight="1" s="114">
      <c r="A26" s="68" t="inlineStr">
        <is>
          <t>NOT IN EITHER DOCUMENT</t>
        </is>
      </c>
      <c r="B26" s="68" t="inlineStr">
        <is>
          <t>SonoScape (TW, via 力林國際)</t>
        </is>
      </c>
      <c r="C26" s="68" t="inlineStr">
        <is>
          <t>Absent</t>
        </is>
      </c>
      <c r="D26" s="68" t="inlineStr">
        <is>
          <t>Absent — SonoScape is named in the report's competitor set but its Taiwanese veterinary distribution is not</t>
        </is>
      </c>
      <c r="E26" s="68" t="inlineStr">
        <is>
          <t>Taiwan Dealers row 13, REF</t>
        </is>
      </c>
      <c r="F26" s="106" t="inlineStr">
        <is>
          <t>MISSING FROM BOTH</t>
        </is>
      </c>
      <c r="G26" s="68" t="inlineStr">
        <is>
          <t>New competitive intelligence. CHISON's closest structural competitor is already established in Taiwan through the dealer the report ranked Priority 1. This changes the Taiwanese competitive argument materially and is carried into the market report v2.0.</t>
        </is>
      </c>
    </row>
    <row r="27" ht="111.75" customHeight="1" s="114">
      <c r="A27" s="68" t="inlineStr">
        <is>
          <t>NOT IN EITHER DOCUMENT</t>
        </is>
      </c>
      <c r="B27" s="68" t="inlineStr">
        <is>
          <t>Canon Medtech Supply (JP)</t>
        </is>
      </c>
      <c r="C27" s="68" t="inlineStr">
        <is>
          <t>Absent</t>
        </is>
      </c>
      <c r="D27" s="68" t="inlineStr">
        <is>
          <t>Named in the competitor set but the dedicated ANIMAL-labelled range is not recorded</t>
        </is>
      </c>
      <c r="E27" s="68" t="inlineStr">
        <is>
          <t>Japan Dealers row 16, REF</t>
        </is>
      </c>
      <c r="F27" s="106" t="inlineStr">
        <is>
          <t>MISSING FROM BOTH</t>
        </is>
      </c>
      <c r="G27" s="68" t="inlineStr">
        <is>
          <t>Canon sells a purpose-built animal ultrasound range in Japan — Aplio go V, Aplio me, Aplio flex V — not human systems with a veterinary preset. Prepare the answer to "why not Canon, with Japanese service" before the first Japanese call.</t>
        </is>
      </c>
    </row>
    <row r="28" ht="111.75" customHeight="1" s="114">
      <c r="A28" s="68" t="inlineStr">
        <is>
          <t>NOT IN EITHER DOCUMENT</t>
        </is>
      </c>
      <c r="B28" s="91" t="inlineStr">
        <is>
          <t>프로벳 Provet (KR)</t>
        </is>
      </c>
      <c r="C28" s="68" t="inlineStr">
        <is>
          <t>Absent</t>
        </is>
      </c>
      <c r="D28" s="68" t="inlineStr">
        <is>
          <t>Absent</t>
        </is>
      </c>
      <c r="E28" s="68" t="inlineStr">
        <is>
          <t>Korea Dealers row 3, TIER 2</t>
        </is>
      </c>
      <c r="F28" s="106" t="inlineStr">
        <is>
          <t>MISSING FROM BOTH</t>
        </is>
      </c>
      <c r="G28" s="68" t="inlineStr">
        <is>
          <t>Holds the exclusive Korean contract for Mindray Animal Care. A significant omission from the earlier channel map: the report recommends approaching Korean distributors without recording that the closest competitor already has an exclusive Korean channel.</t>
        </is>
      </c>
    </row>
    <row r="29" ht="111.75" customHeight="1" s="114">
      <c r="A29" s="68" t="inlineStr">
        <is>
          <t>NOT IN EITHER DOCUMENT</t>
        </is>
      </c>
      <c r="B29" s="91" t="inlineStr">
        <is>
          <t>富邦國際生醫 AHOSS (TW)</t>
        </is>
      </c>
      <c r="C29" s="68" t="inlineStr">
        <is>
          <t>Absent</t>
        </is>
      </c>
      <c r="D29" s="68" t="inlineStr">
        <is>
          <t>Absent</t>
        </is>
      </c>
      <c r="E29" s="68" t="inlineStr">
        <is>
          <t>Taiwan Dealers row 1, TIER 1</t>
        </is>
      </c>
      <c r="F29" s="106" t="inlineStr">
        <is>
          <t>MISSING FROM BOTH</t>
        </is>
      </c>
      <c r="G29" s="68" t="inlineStr">
        <is>
          <t>The strongest genuinely unconflicted Taiwanese candidate found in this pass. Sole KRUUSE agent, imports class-4 laser and PEMF capital equipment, runs a named-specialist CE webinar programme, and carries no ultrasound line at all.</t>
        </is>
      </c>
    </row>
    <row r="30" ht="111.75" customHeight="1" s="114">
      <c r="A30" s="68" t="inlineStr">
        <is>
          <t>NOT IN EITHER DOCUMENT</t>
        </is>
      </c>
      <c r="B30" s="91" t="inlineStr">
        <is>
          <t>翔翼國際 Shine Kochi (TW)</t>
        </is>
      </c>
      <c r="C30" s="68" t="inlineStr">
        <is>
          <t>Absent</t>
        </is>
      </c>
      <c r="D30" s="68" t="inlineStr">
        <is>
          <t>Absent</t>
        </is>
      </c>
      <c r="E30" s="68" t="inlineStr">
        <is>
          <t>Taiwan Dealers row 5, TIER 2</t>
        </is>
      </c>
      <c r="F30" s="106" t="inlineStr">
        <is>
          <t>MISSING FROM BOTH</t>
        </is>
      </c>
      <c r="G30" s="68" t="inlineStr">
        <is>
          <t>Carries the ASUS veterinary handheld and nothing above it, which leaves the entire portable and laptop tier open. The only inverse wedge in the workbook — lead with EBit, never with SonoEye.</t>
        </is>
      </c>
    </row>
    <row r="31" ht="111.75" customHeight="1" s="114">
      <c r="A31" s="68" t="inlineStr">
        <is>
          <t>NOT IN EITHER DOCUMENT</t>
        </is>
      </c>
      <c r="B31" s="68" t="inlineStr">
        <is>
          <t>Japanese animal-drug wholesaler tier (JP)</t>
        </is>
      </c>
      <c r="C31" s="68" t="inlineStr">
        <is>
          <t>Absent</t>
        </is>
      </c>
      <c r="D31" s="68" t="inlineStr">
        <is>
          <t>Only Kyoritsu and Zenoaq are named</t>
        </is>
      </c>
      <c r="E31" s="68" t="inlineStr">
        <is>
          <t>Japan Dealers rows 2, 3, 4, 8, 9, 10</t>
        </is>
      </c>
      <c r="F31" s="106" t="inlineStr">
        <is>
          <t>MISSING FROM BOTH</t>
        </is>
      </c>
      <c r="G31" s="68" t="inlineStr">
        <is>
          <t>MP Agro, Finess, Morikubo, Agro Japan, Sun Daiko and ASCO are the top of the published Japanese animal-drug wholesaler revenue ranking. Finess and Morikubo already handle medical devices, which makes them the two strongest additions.</t>
        </is>
      </c>
    </row>
    <row r="32" ht="111.75" customHeight="1" s="114">
      <c r="A32" s="68" t="inlineStr">
        <is>
          <t>REPORT-WIDE</t>
        </is>
      </c>
      <c r="B32" s="68" t="inlineStr">
        <is>
          <t>Product registration required per country</t>
        </is>
      </c>
      <c r="C32" s="68" t="inlineStr">
        <is>
          <t>Engagement rules sheet covers what you may and may not do, but not the documents, classification or timeline</t>
        </is>
      </c>
      <c r="D32" s="68" t="inlineStr">
        <is>
          <t>Sections 5.11, 6.4, 7.4, 8.4, 9.3, 15.2 and Appendix A cover the pathway at a high level</t>
        </is>
      </c>
      <c r="E32" s="68" t="inlineStr">
        <is>
          <t>Product Registration sheet, all four markets</t>
        </is>
      </c>
      <c r="F32" s="105" t="inlineStr">
        <is>
          <t>DISCREPANCY — Korea materially wrong; detail missing everywhere</t>
        </is>
      </c>
      <c r="G32" s="68" t="inlineStr">
        <is>
          <t>The report states the Korean item step is "a notification with a stated 10-day processing period". It is a Class 2 item APPROVAL with technical document review and a 40-working-day statutory processing period. Neither document lists the documents required, the classification basis, or the human-labelling trap. All now carried on the Product Registration sheet and in the market report v2.0.</t>
        </is>
      </c>
    </row>
    <row r="33"/>
    <row r="34" ht="15" customHeight="1" s="114">
      <c r="A34" s="16" t="inlineStr">
        <is>
          <t>STATUS COUNTS</t>
        </is>
      </c>
    </row>
    <row r="35" ht="15" customHeight="1" s="114">
      <c r="A35" s="107" t="inlineStr">
        <is>
          <t>TALLIES</t>
        </is>
      </c>
      <c r="B35" s="10">
        <f>COUNTIF(F5:F33,"TALLIES*")</f>
        <v/>
      </c>
    </row>
    <row r="36" ht="15" customHeight="1" s="114">
      <c r="A36" s="107" t="inlineStr">
        <is>
          <t>DISCREPANCY</t>
        </is>
      </c>
      <c r="B36" s="10">
        <f>COUNTIF(F5:F33,"DISCREPANCY*")</f>
        <v/>
      </c>
    </row>
    <row r="37" ht="15" customHeight="1" s="114">
      <c r="A37" s="107" t="inlineStr">
        <is>
          <t>MISSING FROM BOTH</t>
        </is>
      </c>
      <c r="B37" s="10">
        <f>COUNTIF(F5:F33,"MISSING*")</f>
        <v/>
      </c>
    </row>
    <row r="38" ht="15" customHeight="1" s="114">
      <c r="A38" s="10" t="inlineStr">
        <is>
          <t>TOTAL LINES RECONCILED</t>
        </is>
      </c>
      <c r="B38" s="10">
        <f>COUNTA(B5:B33)</f>
        <v/>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E38"/>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114" min="1" max="1"/>
    <col width="44" customWidth="1" style="114" min="2" max="2"/>
    <col width="56" customWidth="1" style="114" min="3" max="3"/>
    <col width="70" customWidth="1" style="114" min="4" max="4"/>
    <col width="34" customWidth="1" style="114" min="5" max="5"/>
  </cols>
  <sheetData>
    <row r="1" ht="18" customHeight="1" s="114">
      <c r="A1" s="16" t="inlineStr">
        <is>
          <t>MERGE LOG — HOW v6 WAS BUILT FROM FOUR WORKBOOKS</t>
        </is>
      </c>
    </row>
    <row r="2" ht="30" customHeight="1" s="114">
      <c r="A2" s="17" t="inlineStr">
        <is>
          <t>Every source row is accounted for below: carried in, collapsed into an existing row as a duplicate, or reclassified. Where two sources disagreed, the newer v5 judgement was kept and the conflict is recorded. Merged 6 August 2026.</t>
        </is>
      </c>
    </row>
    <row r="3"/>
    <row r="4" ht="14.25" customHeight="1" s="114">
      <c r="A4" s="18" t="inlineStr">
        <is>
          <t>#</t>
        </is>
      </c>
      <c r="B4" s="18" t="inlineStr">
        <is>
          <t>Source file</t>
        </is>
      </c>
      <c r="C4" s="18" t="inlineStr">
        <is>
          <t>What was there</t>
        </is>
      </c>
      <c r="D4" s="18" t="inlineStr">
        <is>
          <t>What v6 did with it</t>
        </is>
      </c>
      <c r="E4" s="18" t="inlineStr">
        <is>
          <t>Where it is now</t>
        </is>
      </c>
    </row>
    <row r="5" ht="60" customHeight="1" s="114">
      <c r="A5" s="113" t="n">
        <v>1</v>
      </c>
      <c r="B5" s="113" t="inlineStr">
        <is>
          <t>CHISON_Vet_Dealer_and_EndUser_TargetList_v5</t>
        </is>
      </c>
      <c r="C5" s="113" t="inlineStr">
        <is>
          <t>All dealer and Singapore end-user rows, Search Terms, Email Templates, Top 10, Bench, Engagement rules, Verification</t>
        </is>
      </c>
      <c r="D5" s="113" t="inlineStr">
        <is>
          <t>Used as the base workbook and the format standard. Every row and every ready-to-send email preserved unchanged.</t>
        </is>
      </c>
      <c r="E5" s="113" t="inlineStr">
        <is>
          <t>All tabs</t>
        </is>
      </c>
    </row>
    <row r="6" ht="60" customHeight="1" s="114">
      <c r="A6" s="113" t="n">
        <v>2</v>
      </c>
      <c r="B6" s="113" t="inlineStr">
        <is>
          <t>CHISON_Vet_Top10_Engagement_List</t>
        </is>
      </c>
      <c r="C6" s="113" t="inlineStr">
        <is>
          <t>Top 10 Engage Now, Bench 11-20, Engagement rules, Verification</t>
        </is>
      </c>
      <c r="D6" s="113" t="inlineStr">
        <is>
          <t>Compared row by row against v5 — v5 already contained the same four tabs, with a longer Verification log. Nothing unique found. No duplicate tabs created.</t>
        </is>
      </c>
      <c r="E6" s="113" t="inlineStr">
        <is>
          <t>Top 10 Engage Now / Bench 11-20 / Engagement rules / Verification</t>
        </is>
      </c>
    </row>
    <row r="7" ht="60" customHeight="1" s="114">
      <c r="A7" s="113" t="n">
        <v>3</v>
      </c>
      <c r="B7" s="113" t="inlineStr">
        <is>
          <t>CHISON_VET_Dealer_and_EndUser_Workbook_v2.0</t>
        </is>
      </c>
      <c r="C7" s="113" t="inlineStr">
        <is>
          <t>Japan dealers: Fujihira Industry, Fukuda M-E, PETMEDIC PRO</t>
        </is>
      </c>
      <c r="D7" s="113" t="inlineStr">
        <is>
          <t>Not present in v5. Carried in as new rows with their v2.0 tier judgements preserved.</t>
        </is>
      </c>
      <c r="E7" s="113" t="inlineStr">
        <is>
          <t>Japan Dealers rows 28-30</t>
        </is>
      </c>
    </row>
    <row r="8" ht="60" customHeight="1" s="114">
      <c r="A8" s="113" t="n">
        <v>4</v>
      </c>
      <c r="B8" s="113" t="inlineStr">
        <is>
          <t>CHISON_VET_Dealer_and_EndUser_Workbook_v2.0</t>
        </is>
      </c>
      <c r="C8" s="113" t="inlineStr">
        <is>
          <t>Japan dealers: Kyoritsu, MP Agro, Finess, Morikubo, Medical Space, Munatex, Zenoaq, Agro Japan, ASCO, Sun Daiko, Kirikan, Fujifilm VET, Canon Medtech, Honda Electronics</t>
        </is>
      </c>
      <c r="D8" s="113" t="inlineStr">
        <is>
          <t>Duplicates of v5 rows. Collapsed — the richer v5 row (verified contacts, graded confidence, written email) was kept.</t>
        </is>
      </c>
      <c r="E8" s="113" t="inlineStr">
        <is>
          <t>Japan Dealers, existing rows</t>
        </is>
      </c>
    </row>
    <row r="9" ht="60" customHeight="1" s="114">
      <c r="A9" s="113" t="n">
        <v>5</v>
      </c>
      <c r="B9" s="113" t="inlineStr">
        <is>
          <t>CHISON_VET_Dealer_and_EndUser_Workbook_v2.0</t>
        </is>
      </c>
      <c r="C9" s="113" t="inlineStr">
        <is>
          <t>Kirikan Yoko graded MFR in v2.0, TIER 1 in v5</t>
        </is>
      </c>
      <c r="D9" s="113" t="inlineStr">
        <is>
          <t>CONFLICT. v5 is the later judgement and is backed by a verified site, so TIER 1 was kept. Recorded here rather than silently resolved.</t>
        </is>
      </c>
      <c r="E9" s="113" t="inlineStr">
        <is>
          <t>Japan Dealers, existing row 3</t>
        </is>
      </c>
    </row>
    <row r="10" ht="60" customHeight="1" s="114">
      <c r="A10" s="113" t="n">
        <v>6</v>
      </c>
      <c r="B10" s="113" t="inlineStr">
        <is>
          <t>CHISON_VET_Dealer_and_EndUser_Workbook_v2.0</t>
        </is>
      </c>
      <c r="C10" s="113" t="inlineStr">
        <is>
          <t>Korea dealers: Vetplace, Vetto, PetOp, UBcare, Samsung Medison</t>
        </is>
      </c>
      <c r="D10" s="113" t="inlineStr">
        <is>
          <t>Not present in v5. Carried in as new rows; Samsung Medison classified REF (competitor, no email).</t>
        </is>
      </c>
      <c r="E10" s="113" t="inlineStr">
        <is>
          <t>Korea Dealers rows 24-28</t>
        </is>
      </c>
    </row>
    <row r="11" ht="60" customHeight="1" s="114">
      <c r="A11" s="113" t="n">
        <v>7</v>
      </c>
      <c r="B11" s="113" t="inlineStr">
        <is>
          <t>CHISON_VET_Dealer_and_EndUser_Workbook_v2.0</t>
        </is>
      </c>
      <c r="C11" s="113" t="inlineStr">
        <is>
          <t>Korea: Vetcom Korea, Vetsmall, Woorien, Healcerion</t>
        </is>
      </c>
      <c r="D11" s="113" t="inlineStr">
        <is>
          <t>Duplicates of v5 rows (VETCOM, Vetsmall, Woorien, Healcerion/SONON). Collapsed to the v5 row.</t>
        </is>
      </c>
      <c r="E11" s="113" t="inlineStr">
        <is>
          <t>Korea Dealers, existing rows</t>
        </is>
      </c>
    </row>
    <row r="12" ht="60" customHeight="1" s="114">
      <c r="A12" s="113" t="n">
        <v>8</v>
      </c>
      <c r="B12" s="113" t="inlineStr">
        <is>
          <t>CHISON_VET_Dealer_and_EndUser_Workbook_v2.0</t>
        </is>
      </c>
      <c r="C12" s="113" t="inlineStr">
        <is>
          <t>ProVet graded TIER 2 in v2.0, REF in v5</t>
        </is>
      </c>
      <c r="D12" s="113" t="inlineStr">
        <is>
          <t>CONFLICT. v5's REF classification was kept — a competitor is not a recruitment target and the cost of being wrong the other way is higher. Verify if you disagree.</t>
        </is>
      </c>
      <c r="E12" s="113" t="inlineStr">
        <is>
          <t>Korea Dealers, existing row 13</t>
        </is>
      </c>
    </row>
    <row r="13" ht="60" customHeight="1" s="114">
      <c r="A13" s="113" t="n">
        <v>9</v>
      </c>
      <c r="B13" s="113" t="inlineStr">
        <is>
          <t>CHISON_VET_Dealer_and_EndUser_Workbook_v2.0</t>
        </is>
      </c>
      <c r="C13" s="113" t="inlineStr">
        <is>
          <t>Taiwan dealers: SOAR Instrument-Tech, Top Prior Trading, ASUS, SonoScape</t>
        </is>
      </c>
      <c r="D13" s="113" t="inlineStr">
        <is>
          <t>Not present in v5. Carried in; SOAR graded TIER 1 on the adjacent-segment logic (CT and anaesthesia, no ultrasound found). ASUS and SonoScape are REF.</t>
        </is>
      </c>
      <c r="E13" s="113" t="inlineStr">
        <is>
          <t>Taiwan Dealers rows 21-24, 26-27</t>
        </is>
      </c>
    </row>
    <row r="14" ht="60" customHeight="1" s="114">
      <c r="A14" s="113" t="n">
        <v>10</v>
      </c>
      <c r="B14" s="113" t="inlineStr">
        <is>
          <t>CHISON_VET_Dealer_and_EndUser_Workbook_v2.0</t>
        </is>
      </c>
      <c r="C14" s="113" t="inlineStr">
        <is>
          <t>Taiwan: Fubon/AHOSS, GETECH, Shine Kochi</t>
        </is>
      </c>
      <c r="D14" s="113" t="inlineStr">
        <is>
          <t>Duplicates of v5 rows. Collapsed to the v5 row.</t>
        </is>
      </c>
      <c r="E14" s="113" t="inlineStr">
        <is>
          <t>Taiwan Dealers, existing rows</t>
        </is>
      </c>
    </row>
    <row r="15" ht="60" customHeight="1" s="114">
      <c r="A15" s="113" t="n">
        <v>11</v>
      </c>
      <c r="B15" s="113" t="inlineStr">
        <is>
          <t>CHISON_VET_Dealer_and_EndUser_Workbook_v2.0</t>
        </is>
      </c>
      <c r="C15" s="113" t="inlineStr">
        <is>
          <t>Taiwan: TPVMA, TMBIA, data.taipei register</t>
        </is>
      </c>
      <c r="D15" s="113" t="inlineStr">
        <is>
          <t>Reclassified. These are registries and associations, not dealers — they were sitting on a dealer tab as REF rows. Moved to Channel Resources.</t>
        </is>
      </c>
      <c r="E15" s="113" t="inlineStr">
        <is>
          <t>Channel Resources</t>
        </is>
      </c>
    </row>
    <row r="16" ht="60" customHeight="1" s="114">
      <c r="A16" s="113" t="n">
        <v>12</v>
      </c>
      <c r="B16" s="113" t="inlineStr">
        <is>
          <t>CHISON_VET_Dealer_and_EndUser_Workbook_v2.0</t>
        </is>
      </c>
      <c r="C16" s="113" t="inlineStr">
        <is>
          <t>Korea: QIA, DailyVet listed as REF rows on the dealer tab</t>
        </is>
      </c>
      <c r="D16" s="113" t="inlineStr">
        <is>
          <t>Reclassified. A regulator and a trade publication are data sources, not competitors. Moved to Channel Resources with instructions on how to use each.</t>
        </is>
      </c>
      <c r="E16" s="113" t="inlineStr">
        <is>
          <t>Channel Resources</t>
        </is>
      </c>
    </row>
    <row r="17" ht="60" customHeight="1" s="114">
      <c r="A17" s="113" t="n">
        <v>13</v>
      </c>
      <c r="B17" s="113" t="inlineStr">
        <is>
          <t>CHISON_VET_Dealer_and_EndUser_Workbook_v2.0</t>
        </is>
      </c>
      <c r="C17" s="113" t="inlineStr">
        <is>
          <t>Singapore: Pet Space Singapore, Singapore Veterinary Association</t>
        </is>
      </c>
      <c r="D17" s="113" t="inlineStr">
        <is>
          <t>Pet Space carried to the Singapore tab flagged VERIFY FIRST (never confirmed against the SVA register). SVA moved to Channel Resources.</t>
        </is>
      </c>
      <c r="E17" s="113" t="inlineStr">
        <is>
          <t>Singapore End Users row 75 · Channel Resources</t>
        </is>
      </c>
    </row>
    <row r="18" ht="60" customHeight="1" s="114">
      <c r="A18" s="113" t="n">
        <v>14</v>
      </c>
      <c r="B18" s="113" t="inlineStr">
        <is>
          <t>CHISON_VET_Dealer_and_EndUser_Workbook_v2.0</t>
        </is>
      </c>
      <c r="C18" s="113" t="inlineStr">
        <is>
          <t>Product Registration, Corrections Log, Reconciliation tabs</t>
        </is>
      </c>
      <c r="D18" s="113" t="inlineStr">
        <is>
          <t>Preserved unchanged at the right-hand end of the workbook, as required when merging a prior version.</t>
        </is>
      </c>
      <c r="E18" s="113" t="inlineStr">
        <is>
          <t>Product Registration · Corrections Log · Reconciliation (v2.0)</t>
        </is>
      </c>
    </row>
    <row r="19" ht="60" customHeight="1" s="114">
      <c r="A19" s="113" t="n">
        <v>15</v>
      </c>
      <c r="B19" s="113" t="inlineStr">
        <is>
          <t>CHISON_Market_Development_Target_List_v2</t>
        </is>
      </c>
      <c r="C19" s="113" t="inlineStr">
        <is>
          <t>VET Japan: AS-1 Co. (Osaka)</t>
        </is>
      </c>
      <c r="D19" s="113" t="inlineStr">
        <is>
          <t>Carried in as a Japan dealer row, FLAGGED as a possible duplicate of ASCO Corporation. Not silently merged and not silently dropped — verify before contacting either.</t>
        </is>
      </c>
      <c r="E19" s="113" t="inlineStr">
        <is>
          <t>Japan Dealers row 31</t>
        </is>
      </c>
    </row>
    <row r="20" ht="60" customHeight="1" s="114">
      <c r="A20" s="113" t="n">
        <v>16</v>
      </c>
      <c r="B20" s="113" t="inlineStr">
        <is>
          <t>CHISON_Market_Development_Target_List_v2</t>
        </is>
      </c>
      <c r="C20" s="113" t="inlineStr">
        <is>
          <t>VET Taiwan: Vet Supply (力林國際), EASTECH, Folibio</t>
        </is>
      </c>
      <c r="D20" s="113" t="inlineStr">
        <is>
          <t>Carried in as Taiwan dealer rows. Vet Supply is graded TIER 2 pocket-tier-only because it already sells SonoScape and ProPet ultrasound. EASTECH's classification is unresolved and flagged.</t>
        </is>
      </c>
      <c r="E20" s="113" t="inlineStr">
        <is>
          <t>Taiwan Dealers rows 22, 25, 28</t>
        </is>
      </c>
    </row>
    <row r="21" ht="60" customHeight="1" s="114">
      <c r="A21" s="113" t="n">
        <v>17</v>
      </c>
      <c r="B21" s="113" t="inlineStr">
        <is>
          <t>CHISON_Market_Development_Target_List_v2</t>
        </is>
      </c>
      <c r="C21" s="113" t="inlineStr">
        <is>
          <t>VET Korea: Sungwools (Uijeongbu)</t>
        </is>
      </c>
      <c r="D21" s="113" t="inlineStr">
        <is>
          <t>Carried in as a Korea dealer row. The individual named in the source ('Jane Cho') is UNVERIFIED and is recorded as unusable rather than presented as a contact.</t>
        </is>
      </c>
      <c r="E21" s="113" t="inlineStr">
        <is>
          <t>Korea Dealers row 29</t>
        </is>
      </c>
    </row>
    <row r="22" ht="60" customHeight="1" s="114">
      <c r="A22" s="113" t="n">
        <v>18</v>
      </c>
      <c r="B22" s="113" t="inlineStr">
        <is>
          <t>CHISON_Market_Development_Target_List_v2</t>
        </is>
      </c>
      <c r="C22" s="113" t="inlineStr">
        <is>
          <t>Named individuals: 'Jane Cho' (Sungwools), 'Jovi Peng' (Folibio), 'Yutaro Yasuda' (AS-1)</t>
        </is>
      </c>
      <c r="D22" s="113" t="inlineStr">
        <is>
          <t>NONE of these has been verified. They are recorded in the contact column as unverified and explicitly marked do-not-use, rather than being carried forward as if they were real contacts.</t>
        </is>
      </c>
      <c r="E22" s="113" t="inlineStr">
        <is>
          <t>Korea Dealers · Taiwan Dealers · Japan Dealers</t>
        </is>
      </c>
    </row>
    <row r="23" ht="60" customHeight="1" s="114">
      <c r="A23" s="113" t="n">
        <v>19</v>
      </c>
      <c r="B23" s="113" t="inlineStr">
        <is>
          <t>CHISON_Market_Development_Target_List_v2</t>
        </is>
      </c>
      <c r="C23" s="113" t="inlineStr">
        <is>
          <t>VET Japan: JARMeC x4, AEON Pet, NeoVets, TRVA, DVMs Yokohama, Kariya, Daktari, Matsunami, Japan Small Animal Medical Center, 16 university teaching hospitals</t>
        </is>
      </c>
      <c r="D23" s="113" t="inlineStr">
        <is>
          <t>Not dealers. Moved to a new Japan End Users &amp; KOL tab in the v5 end-user format, with a ready-to-send email written for each. JARMeC's four hospitals are flagged as one group, not four approaches.</t>
        </is>
      </c>
      <c r="E23" s="113" t="inlineStr">
        <is>
          <t>Japan End Users &amp; KOL</t>
        </is>
      </c>
    </row>
    <row r="24" ht="60" customHeight="1" s="114">
      <c r="A24" s="113" t="n">
        <v>20</v>
      </c>
      <c r="B24" s="113" t="inlineStr">
        <is>
          <t>CHISON_Market_Development_Target_List_v2</t>
        </is>
      </c>
      <c r="C24" s="113" t="inlineStr">
        <is>
          <t>VET Korea: Haemaru, VIP x5, Shine, Western, Poom, Saram&amp;Animal, Royal x3, SNU, Konkuk, 8 regional universities, Cheongdam Woori, Songpawon, Chansaem</t>
        </is>
      </c>
      <c r="D24" s="113" t="inlineStr">
        <is>
          <t>Not dealers. Moved to a new Korea End Users &amp; KOL tab. The VIP and Royal branch rows are flagged as group overlaps so you do not email five doors of one company.</t>
        </is>
      </c>
      <c r="E24" s="113" t="inlineStr">
        <is>
          <t>Korea End Users &amp; KOL</t>
        </is>
      </c>
    </row>
    <row r="25" ht="60" customHeight="1" s="114">
      <c r="A25" s="113" t="n">
        <v>21</v>
      </c>
      <c r="B25" s="113" t="inlineStr">
        <is>
          <t>CHISON_Market_Development_Target_List_v2</t>
        </is>
      </c>
      <c r="C25" s="113" t="inlineStr">
        <is>
          <t>VET Taiwan: National Veterinary Hospital group, Ci-Ai, Formosa Vet Center, NTU, NCHU, NPUST, NCYU, Tai Pu, Ya Xing, Peace Vet, and 37 TPVMA-registered Taipei clinics</t>
        </is>
      </c>
      <c r="D25" s="113" t="inlineStr">
        <is>
          <t>Not dealers. Moved to a new Taiwan End Users &amp; KOL tab, each with a ready-to-send email. The 37 TPVMA clinics keep their directory phone numbers and are graded C — DIRECTORY.</t>
        </is>
      </c>
      <c r="E25" s="113" t="inlineStr">
        <is>
          <t>Taiwan End Users &amp; KOL</t>
        </is>
      </c>
    </row>
    <row r="26" ht="60" customHeight="1" s="114">
      <c r="A26" s="113" t="n">
        <v>22</v>
      </c>
      <c r="B26" s="113" t="inlineStr">
        <is>
          <t>CHISON_Market_Development_Target_List_v2</t>
        </is>
      </c>
      <c r="C26" s="113" t="inlineStr">
        <is>
          <t>VET Singapore: 55 rows, mostly individual branches of Mount Pleasant, Animal Ark, The Animal Clinic, The Animal Doctors, Island, Joyous, Vet Central, Vets for Life, Vet Practice, Point, Stars</t>
        </is>
      </c>
      <c r="D26" s="113" t="inlineStr">
        <is>
          <t>Duplicates. v5 had already collapsed these into one row per group with the branch detail inside. Re-adding the branches would have produced exactly the repeats you asked to avoid, so they were collapsed.</t>
        </is>
      </c>
      <c r="E26" s="113" t="inlineStr">
        <is>
          <t>Singapore End Users, existing rows</t>
        </is>
      </c>
    </row>
    <row r="27" ht="60" customHeight="1" s="114">
      <c r="A27" s="113" t="n">
        <v>23</v>
      </c>
      <c r="B27" s="113" t="inlineStr">
        <is>
          <t>CHISON_Market_Development_Target_List_v2</t>
        </is>
      </c>
      <c r="C27" s="113" t="inlineStr">
        <is>
          <t>VET Singapore: Mars Veterinary Health (regional)</t>
        </is>
      </c>
      <c r="D27" s="113" t="inlineStr">
        <is>
          <t>Carried in as a P1 row flagged GROUP OVERLAP — Mount Pleasant and VES are both Mars-owned, so the email asks which entity should own the conversation rather than pitching a third time.</t>
        </is>
      </c>
      <c r="E27" s="113" t="inlineStr">
        <is>
          <t>Singapore End Users row 74</t>
        </is>
      </c>
    </row>
    <row r="28" ht="60" customHeight="1" s="114">
      <c r="A28" s="113" t="n">
        <v>24</v>
      </c>
      <c r="B28" s="113" t="inlineStr">
        <is>
          <t>CHISON_Market_Development_Target_List_v2</t>
        </is>
      </c>
      <c r="C28" s="113" t="inlineStr">
        <is>
          <t>Associations, registries, regulators, congresses, insurer networks, consultants and 'to identify' scouting notes across all four markets</t>
        </is>
      </c>
      <c r="D28" s="113" t="inlineStr">
        <is>
          <t>Consolidated onto the Channel Resources tab with an explicit instruction for each. Regulators and registries carry no email by design; associations and congresses carry a sponsorship enquiry.</t>
        </is>
      </c>
      <c r="E28" s="113" t="inlineStr">
        <is>
          <t>Channel Resources</t>
        </is>
      </c>
    </row>
    <row r="29" ht="60" customHeight="1" s="114">
      <c r="A29" s="113" t="n">
        <v>25</v>
      </c>
      <c r="B29" s="113" t="inlineStr">
        <is>
          <t>CHISON_Market_Development_Target_List_v2</t>
        </is>
      </c>
      <c r="C29" s="113" t="inlineStr">
        <is>
          <t>READ ME tab (coverage claims: Taiwan 59, Korea 65, Japan 62 dealers)</t>
        </is>
      </c>
      <c r="D29" s="113" t="inlineStr">
        <is>
          <t>NOT carried. Those figures counted clinics, universities and associations as 'dealers' and do not reconcile with any tab. Superseded by the coverage block on the v6 READ ME, which counts what is actually in the workbook.</t>
        </is>
      </c>
      <c r="E29" s="113" t="inlineStr">
        <is>
          <t>Discarded — recorded here</t>
        </is>
      </c>
    </row>
    <row r="30" ht="60" customHeight="1" s="114">
      <c r="A30" s="113" t="n">
        <v>26</v>
      </c>
      <c r="B30" s="113" t="inlineStr">
        <is>
          <t>v7 relevance check</t>
        </is>
      </c>
      <c r="C30" s="113" t="inlineStr">
        <is>
          <t>EASTECH (Taiwan Dealers) carried as a Tier 3 dealer candidate</t>
        </is>
      </c>
      <c r="D30" s="113" t="inlineStr">
        <is>
          <t>RECLASSIFIED. eastech-medical.com opened 6 Aug 2026: 華鋒科技, sole Taiwan agent for Esaote, selling handheld, portable and cart veterinary ultrasound plus veterinary MRI; majority-owned by BenQ Medical Technology (Qisda group). A competitor channel, not a recruit.</t>
        </is>
      </c>
      <c r="E30" s="113" t="inlineStr">
        <is>
          <t>Reference — Do Not Contact</t>
        </is>
      </c>
    </row>
    <row r="31" ht="60" customHeight="1" s="114">
      <c r="A31" s="113" t="n">
        <v>27</v>
      </c>
      <c r="B31" s="113" t="inlineStr">
        <is>
          <t>v7 relevance check</t>
        </is>
      </c>
      <c r="C31" s="113" t="inlineStr">
        <is>
          <t>'Animal Recovery Veterinary Referral Centre' and 'Pet Space Singapore' held as two Singapore rows</t>
        </is>
      </c>
      <c r="D31" s="113" t="inlineStr">
        <is>
          <t>MERGED — they are one company. Animal Recovery Veterinary Centre Pte Ltd was formerly Pet Space (Singapore) Pte Ltd. Upgraded to P1: a 12-clinic Hong Kong and Singapore group that already offers ultrasound and a house-call service. New email written around the house-call argument.</t>
        </is>
      </c>
      <c r="E31" s="113" t="inlineStr">
        <is>
          <t>Singapore End Users, one row</t>
        </is>
      </c>
    </row>
    <row r="32" ht="60" customHeight="1" s="114">
      <c r="A32" s="113" t="n">
        <v>28</v>
      </c>
      <c r="B32" s="113" t="inlineStr">
        <is>
          <t>v7 relevance check</t>
        </is>
      </c>
      <c r="C32" s="113" t="inlineStr">
        <is>
          <t>Singapore Turf Club Equine Hospital, carried from the May 2024 SVA register</t>
        </is>
      </c>
      <c r="D32" s="113" t="inlineStr">
        <is>
          <t>REMOVED FROM OUTREACH. Horse racing in Singapore ended 5 Oct 2024 and the Kranji site is being returned to the state. Not a realistic buyer of new imaging equipment.</t>
        </is>
      </c>
      <c r="E32" s="113" t="inlineStr">
        <is>
          <t>Reference — Do Not Contact</t>
        </is>
      </c>
    </row>
    <row r="33" ht="60" customHeight="1" s="114">
      <c r="A33" s="113" t="n">
        <v>29</v>
      </c>
      <c r="B33" s="113" t="inlineStr">
        <is>
          <t>v7 relevance check</t>
        </is>
      </c>
      <c r="C33" s="113" t="inlineStr">
        <is>
          <t>AS-1 (Osaka) flagged in v6 as a possible duplicate of ASCO Corporation</t>
        </is>
      </c>
      <c r="D33" s="113" t="inlineStr">
        <is>
          <t>RESOLVED — they are different companies. ASCO is a Sala Group company in Toyohashi with 22 branches. The Osaka Nishi-ku address points to AS ONE Corporation, a catalogue distributor. Duplicate flag cleared; AS-1 re-graded as a catalogue channel.</t>
        </is>
      </c>
      <c r="E33" s="113" t="inlineStr">
        <is>
          <t>Japan Dealers</t>
        </is>
      </c>
    </row>
    <row r="34" ht="60" customHeight="1" s="114">
      <c r="A34" s="113" t="n">
        <v>30</v>
      </c>
      <c r="B34" s="113" t="inlineStr">
        <is>
          <t>v7 relevance check</t>
        </is>
      </c>
      <c r="C34" s="113" t="inlineStr">
        <is>
          <t>ASCO Corporation described only as a pharmaceuticals and consumables channel</t>
        </is>
      </c>
      <c r="D34" s="113" t="inlineStr">
        <is>
          <t>UPGRADED. Their own corporate site states they sell veterinary drugs, instruments AND equipment/machinery through 22 branches, to both livestock farmers and small-animal hospitals. Buying potential raised to HIGH.</t>
        </is>
      </c>
      <c r="E34" s="113" t="inlineStr">
        <is>
          <t>Japan Dealers</t>
        </is>
      </c>
    </row>
    <row r="35" ht="60" customHeight="1" s="114">
      <c r="A35" s="113" t="n">
        <v>31</v>
      </c>
      <c r="B35" s="113" t="inlineStr">
        <is>
          <t>v7 relevance check</t>
        </is>
      </c>
      <c r="C35" s="113" t="inlineStr">
        <is>
          <t>SOAR Instrument-Tech graded TIER 1 in v6 on 'no ultrasound in the catalogue'</t>
        </is>
      </c>
      <c r="D35" s="113" t="inlineStr">
        <is>
          <t>DOWNGRADED to TIER 2. uni-soar.com returned no content when fetched, so the claim is unverified and the Tier 1 grade was over-confident. Returns to Tier 1 once the catalogue is confirmed.</t>
        </is>
      </c>
      <c r="E35" s="113" t="inlineStr">
        <is>
          <t>Taiwan Dealers</t>
        </is>
      </c>
    </row>
    <row r="36" ht="60" customHeight="1" s="114">
      <c r="A36" s="113" t="n">
        <v>32</v>
      </c>
      <c r="B36" s="113" t="inlineStr">
        <is>
          <t>v7 relevance check</t>
        </is>
      </c>
      <c r="C36" s="113" t="inlineStr">
        <is>
          <t>11 competitor and brand-subsidiary rows (REF) sitting on the three dealer tabs</t>
        </is>
      </c>
      <c r="D36" s="113" t="inlineStr">
        <is>
          <t>MOVED OFF THE OUTREACH TABS. They cannot buy, and leaving them among sendable rows invited a mistake. Kept as intelligence with a background note on what each one tells you.</t>
        </is>
      </c>
      <c r="E36" s="113" t="inlineStr">
        <is>
          <t>Reference — Do Not Contact</t>
        </is>
      </c>
    </row>
    <row r="37" ht="60" customHeight="1" s="114">
      <c r="A37" s="113" t="n">
        <v>33</v>
      </c>
      <c r="B37" s="113" t="inlineStr">
        <is>
          <t>v7 relevance check</t>
        </is>
      </c>
      <c r="C37" s="113" t="inlineStr">
        <is>
          <t>Korea 'Busan / Daegu 24-hour centres — TO IDENTIFY' row</t>
        </is>
      </c>
      <c r="D37" s="113" t="inlineStr">
        <is>
          <t>MOVED. It is a research task, not an organisation, and it was the only row on an outreach tab without an email. Extract the real centres from animal.go.kr, then add real rows.</t>
        </is>
      </c>
      <c r="E37" s="113" t="inlineStr">
        <is>
          <t>Reference — Do Not Contact</t>
        </is>
      </c>
    </row>
    <row r="38" ht="60" customHeight="1" s="114">
      <c r="A38" s="113" t="n">
        <v>34</v>
      </c>
      <c r="B38" s="113" t="inlineStr">
        <is>
          <t>v7 build</t>
        </is>
      </c>
      <c r="C38" s="113" t="inlineStr">
        <is>
          <t>Every outreach row</t>
        </is>
      </c>
      <c r="D38" s="113" t="inlineStr">
        <is>
          <t>Two columns added: a company/organisation background explaining what they do and why they are relevant, and a buying/distribution potential verdict with the regulatory timing. Every outreach row now has both, plus a subject and body.</t>
        </is>
      </c>
      <c r="E38" s="113" t="inlineStr">
        <is>
          <t>All seven outreach tabs</t>
        </is>
      </c>
    </row>
  </sheetData>
  <autoFilter ref="A4:E3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2026-07-29T23:49:54Z</dcterms:created>
  <dcterms:modified xmlns:dcterms="http://purl.org/dc/terms/" xmlns:xsi="http://www.w3.org/2001/XMLSchema-instance" xsi:type="dcterms:W3CDTF">2026-10-10T09:58:26Z</dcterms:modified>
  <cp:lastModifiedBy>Tan chin Huat</cp:lastModifiedBy>
  <cp:revision>0</cp:revision>
</cp:coreProperties>
</file>