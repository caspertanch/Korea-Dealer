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Coverage Summary" sheetId="2" state="visible" r:id="rId4"/>
    <sheet name="Next 60 Days" sheetId="3" state="visible" r:id="rId5"/>
    <sheet name="Diagnostics Events" sheetId="4" state="visible" r:id="rId6"/>
    <sheet name="Vet Events" sheetId="5" state="visible" r:id="rId7"/>
    <sheet name="Competitor and Dealer Intel" sheetId="6" state="visible" r:id="rId8"/>
  </sheets>
  <definedNames>
    <definedName function="false" hidden="true" localSheetId="5" name="_xlnm._FilterDatabase" vbProcedure="false">'Competitor and Dealer Intel'!$A$2:$I$25</definedName>
    <definedName function="false" hidden="true" localSheetId="3" name="_xlnm._FilterDatabase" vbProcedure="false">'Diagnostics Events'!$A$2:$Y$63</definedName>
    <definedName function="false" hidden="true" localSheetId="4" name="_xlnm._FilterDatabase" vbProcedure="false">'Vet Events'!$A$2:$Y$55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<sst xmlns="http://schemas.openxmlformats.org/spreadsheetml/2006/main" count="2932" uniqueCount="1375">
  <si>
    <t xml:space="preserve">CHISON Ultrasound: Radiology and Vet Event Plan | Singapore, Taiwan, South Korea, Japan | Dec 2026 to Dec 2027</t>
  </si>
  <si>
    <t xml:space="preserve">Version 1, prepared 25 Oct 2026 for Casper Tan, Senior Regional Sales Manager and Manager KOL Engagement, AstraMed (CHISON Medical Technologies)</t>
  </si>
  <si>
    <t xml:space="preserve">WHAT THIS WORKBOOK DOES</t>
  </si>
  <si>
    <t xml:space="preserve">Objective</t>
  </si>
  <si>
    <t xml:space="preserve">Find radiology and vet events in Singapore, Taiwan, South Korea and Japan from Dec 2026 to Dec 2027 to recruit distributors, raise CHISON ultrasound publicity and support your KOL engagement.</t>
  </si>
  <si>
    <t xml:space="preserve">Tabs</t>
  </si>
  <si>
    <t xml:space="preserve">Coverage Summary (counts versus your targets, live formulas) | Next 60 Days (events starting soon, live Days Left) | Diagnostics Events | Vet Events | Competitor and Dealer Intel.</t>
  </si>
  <si>
    <t xml:space="preserve">Competitor columns</t>
  </si>
  <si>
    <t xml:space="preserve">Each event row shows which competitors (SonoScape, Mindray, Samsung, Philips, GE and others) are present or expected, and how strong the evidence is. Local dealers of competitors are listed where found.</t>
  </si>
  <si>
    <t xml:space="preserve">Format notes</t>
  </si>
  <si>
    <t xml:space="preserve">Dates are real Excel dates where the organiser has published them. TBC rows show only the month pattern from the last edition. No future date has been invented.</t>
  </si>
  <si>
    <t xml:space="preserve">THE THREE EVENTS TO COMMIT TO FIRST</t>
  </si>
  <si>
    <t xml:space="preserve">1. JRC 2027 with ITEM 2027 (Japan, imaging)</t>
  </si>
  <si>
    <t xml:space="preserve">15 to 18 Apr 2027, Pacifico Yokohama. Japan's biggest imaging floor and radiology KOL meeting in one place (ITEM 2026: 153 exhibitors, 18,180 visitors). Siemens, Canon, Fujifilm and GE were seen at recent editions. Cost: not published (JIRA sets terms). Deadline: ITEM exhibitor window not found, so ask JIRA by end of November.</t>
  </si>
  <si>
    <t xml:space="preserve">2. KIMES 2027 (Korea, dealers)</t>
  </si>
  <si>
    <t xml:space="preserve">18 to 21 Mar 2027, COEX Seoul. Korea's #1 medtech show and the best floor for importer and dealer recruitment. Samsung Medison and GE HealthCare were confirmed at KIMES 2026. Cost: not published. Deadline: booth form not published, so ask Korea E and Ex in November for the early bird rate.</t>
  </si>
  <si>
    <t xml:space="preserve">3. JCVIM 2027 (Japan, vet)</t>
  </si>
  <si>
    <t xml:space="preserve">19 to 21 Feb 2027, Pacifico Yokohama North. The only vet event on this list with a documented sponsorship path (sponsor recruitment opened 7 Jul 2026). Fujifilm VET Systems exhibited at the last three editions. Cost: tiers on smartconf.jp, fees not retrieved. Deadline: closing date not stated, so assume it is close and ask this month.</t>
  </si>
  <si>
    <t xml:space="preserve">COUNTRY ANCHOR EVENTS</t>
  </si>
  <si>
    <t xml:space="preserve">Singapore</t>
  </si>
  <si>
    <t xml:space="preserve">SGCR WIRES 2027 with the 14th Asian Congress of Abdominal Radiology, 19 to 22 Aug 2027 (venue to be announced). Vet: confirm Singapore Vet Show dates with CloserStill.</t>
  </si>
  <si>
    <t xml:space="preserve">Taiwan</t>
  </si>
  <si>
    <t xml:space="preserve">Visit Healthcare+ Expo Taiwan 3 to 6 Dec 2026 as a buyer, then target SUMROC 2027 and TAOG 2027 (both TBC). Vet: AiCVS and AiCVIM Joint Congress, Kaohsiung, 12 to 13 Dec 2026.</t>
  </si>
  <si>
    <t xml:space="preserve">South Korea</t>
  </si>
  <si>
    <t xml:space="preserve">KIMES 2027 (18 to 21 Mar), KSUM 2027 (May, TBC), KCR 2027 (22 to 25 Sep). Vet: 24th KAHA Conference, COEX Magok, 4 to 6 Jun 2027. Samsung Medison has a training partnership with KAHA.</t>
  </si>
  <si>
    <t xml:space="preserve">Japan</t>
  </si>
  <si>
    <t xml:space="preserve">JRC and ITEM (15 to 18 Apr), JSUM 100th (28 to 30 May), JSS 52nd (19 to 20 Jun), Medical Japan Osaka (29 Sep to 1 Oct). Vet: JCVIM (Feb), WJVF (31 Jul to 1 Aug), JBVP Annual (25 to 26 Sep).</t>
  </si>
  <si>
    <t xml:space="preserve">DO THIS IN THE NEXT 30 DAYS</t>
  </si>
  <si>
    <t xml:space="preserve">1</t>
  </si>
  <si>
    <t xml:space="preserve">Korea vet: ask KVECCS for a scanner slot in the POCUS practical at its seminar on 4 to 6 Dec 2026.</t>
  </si>
  <si>
    <t xml:space="preserve">2</t>
  </si>
  <si>
    <t xml:space="preserve">Korea: ask the Korean Association of Clinical Ultrasound about lending scanners to the ISCU 2026 Hands On School, 5 to 6 Dec 2026, COEX Magok.</t>
  </si>
  <si>
    <t xml:space="preserve">3</t>
  </si>
  <si>
    <t xml:space="preserve">Taiwan vet: contact the AiCVS and AiCVIM organisers (aicvs-aicvim2026.tw) about sponsor or imaging session space, event on 12 to 13 Dec 2026 in Kaohsiung.</t>
  </si>
  <si>
    <t xml:space="preserve">4</t>
  </si>
  <si>
    <t xml:space="preserve">Japan vet: ask the JSVDI secretariat if exhibit space remains for 5 to 6 Dec 2026, Fukuoka.</t>
  </si>
  <si>
    <t xml:space="preserve">5</t>
  </si>
  <si>
    <t xml:space="preserve">Taiwan: plan one Kaohsiung trip for 11 to 14 Dec 2026 (Chanchao Pets Show plus AiCVS and AiCVIM), and Taipei for Healthcare+ Expo on 3 to 6 Dec 2026.</t>
  </si>
  <si>
    <t xml:space="preserve">6</t>
  </si>
  <si>
    <t xml:space="preserve">Japan vet: open smartconf.jp/content/jcvim2027/sponsorship and request the sponsor tier list.</t>
  </si>
  <si>
    <t xml:space="preserve">7</t>
  </si>
  <si>
    <t xml:space="preserve">Request 2027 exhibitor guides and prices from: JIRA (ITEM), Korea E and Ex (KIMES), JSUM secretariat, JSS secretariat, CloserStill (Singapore Vet Show), SUMROC, TAOG, KAHA.</t>
  </si>
  <si>
    <t xml:space="preserve">8</t>
  </si>
  <si>
    <t xml:space="preserve">If your diary allows, SUMROC 2026 runs 31 Oct to 1 Nov in Taipei (6 days away, before the window). GE HealthCare Ultrasound, Alpinion and Rotary (Canon agent) support it.</t>
  </si>
  <si>
    <t xml:space="preserve">COMPETITOR HEADLINES</t>
  </si>
  <si>
    <t xml:space="preserve">Samsung in Korea vet</t>
  </si>
  <si>
    <t xml:space="preserve">Samsung Medison signed an MoU with the Korean Animal Hospital Association (KAHA) in Feb 2026 to build a nationwide Samsung Sono VET Academy ultrasound training network, including a KAHA STARTER basic ultrasound course. Expect a strong Samsung presence at KAHA events. The MoU names no event, so attendance at a specific event is not confirmed.</t>
  </si>
  <si>
    <t xml:space="preserve">Fujifilm in Japan</t>
  </si>
  <si>
    <t xml:space="preserve">Fujifilm (including Fujifilm VET Systems) is the benchmark: luncheon seminar at JSUM 2026, booth at ITEM 2026, exhibition and luncheon seminars at JCVIM 2024 to 2026 and JBVP 2025.</t>
  </si>
  <si>
    <t xml:space="preserve">Japan vet dealers</t>
  </si>
  <si>
    <t xml:space="preserve">Shoei Japan is the Japan importer for SonoScape vet models (S6V, A6V, X5V, E2V) and Mindray 6600vet. Mediark, Canon Medtech Supply and Frontier International (livestock) also sell vet ultrasound.</t>
  </si>
  <si>
    <t xml:space="preserve">Taiwan vet dealers</t>
  </si>
  <si>
    <t xml:space="preserve">Uni Soar (GE vet series), Soarmed (VINNO), Eastech (Esaote) and Getech (Philips cardiac) carry other brands, per their websites. No Taiwan vet distributor for Mindray, Samsung or SonoScape was found.</t>
  </si>
  <si>
    <t xml:space="preserve">Taiwan human ultrasound</t>
  </si>
  <si>
    <t xml:space="preserve">The SUMROC 2026 annual meeting page shows GE HealthCare Ultrasound, Alpinion and Rotary Trading (Canon Medical agent) logos. ASUS and Daikso showed handheld ultrasound at Healthcare+ Expo 2025.</t>
  </si>
  <si>
    <t xml:space="preserve">Korea human ultrasound</t>
  </si>
  <si>
    <t xml:space="preserve">KIMES 2026: Samsung Medison and GE HealthCare booths confirmed. KSUM 2026: Canon Medical Korea ran a luncheon symposium. KCR 2026: GE HealthCare ran a luncheon symposium.</t>
  </si>
  <si>
    <t xml:space="preserve">Mindray and SonoScape</t>
  </si>
  <si>
    <t xml:space="preserve">No public evidence was found of either company exhibiting at the human ultrasound congresses checked in the four markets. Absence in search results is not proof, so check each organiser's exhibitor list.</t>
  </si>
  <si>
    <t xml:space="preserve">HOW TO READ THE EVENT TABS</t>
  </si>
  <si>
    <t xml:space="preserve">Priority</t>
  </si>
  <si>
    <t xml:space="preserve">P1 = must attend: top KOL congress or #1 trade show for the market, with an open vendor path or competitors present. P2 = strong value for a specific specialty. P3 = optional, attend if already in town or a deal requires it.</t>
  </si>
  <si>
    <t xml:space="preserve">Segment</t>
  </si>
  <si>
    <t xml:space="preserve">Diagnostics (blue), Vet (green), Both (yellow). Both marks general medtech shows where vet distributors also walk the floor. They appear on both tabs and are counted on both.</t>
  </si>
  <si>
    <t xml:space="preserve">Date Class</t>
  </si>
  <si>
    <t xml:space="preserve">Confirmed = the organiser's own page shows the date (the venue may still be pending). Provisional = a media report or single third party source, an organiser page I could not read directly, conflicting sources, or an unclear listing. TBC = the organiser has not published 2027, and the row shows the last edition's pattern only.</t>
  </si>
  <si>
    <t xml:space="preserve">Competitor Evidence</t>
  </si>
  <si>
    <t xml:space="preserve">Confirmed = a press release, organiser page or sponsor logo was found for that edition. Partly confirmed = some brands confirmed, others not. Likely = normal for this type of event but not seen. Unverified = no information, and the competitor column then starts with Expected, not verified. Gap (Competitor and Dealer Intel tab only) = searched and nothing found.</t>
  </si>
  <si>
    <t xml:space="preserve">KOL and Dealer potential</t>
  </si>
  <si>
    <t xml:space="preserve">High, Medium or Low is my judgement of realistic payoff for CHISON, not the prestige of the event.</t>
  </si>
  <si>
    <t xml:space="preserve">Cost Info</t>
  </si>
  <si>
    <t xml:space="preserve">Exhibitor prices are almost never published. Where blank, request the exhibitor guide from the organiser.</t>
  </si>
  <si>
    <t xml:space="preserve">HONEST GAPS AND CAVEATS</t>
  </si>
  <si>
    <t xml:space="preserve">Counts include optional events</t>
  </si>
  <si>
    <t xml:space="preserve">Counts include P3 optional events, consumer pet shows (Interpets, MEGAZOO, Chanchao, PetExpo, SG Pet Festival) and general medtech shows (Segment = Both). Pet shows are listed because you asked for 10 per country and specialist vet events are scarce, but they are not clinical. The Coverage Summary shows clinical only counts and P1 plus P2 counts so you can see the real number worth a trip. At the time of writing, clinical vet events (no pet or general shows) number about 5 in Singapore, 4 in Taiwan, 9 in South Korea and 19 in Japan.</t>
  </si>
  <si>
    <t xml:space="preserve">Singapore vet is short</t>
  </si>
  <si>
    <t xml:space="preserve">Only 7 genuine Singapore vet entries were found (target 10). Singapore has one trade focused vet show, two consumer pet expos and a few ultrasound courses. Aggregator listings of generic Singapore vet symposia were checked and excluded as low credibility.</t>
  </si>
  <si>
    <t xml:space="preserve">Many 2027 dates are TBC</t>
  </si>
  <si>
    <t xml:space="preserve">Societies publish 2027 dates in 2027. Rows marked TBC show the 2026 pattern. Re check each in January and April 2027.</t>
  </si>
  <si>
    <t xml:space="preserve">Competitor evidence is thin</t>
  </si>
  <si>
    <t xml:space="preserve">Exhibitor lists for 2027 do not exist yet, and many 2026 lists could not be read. Where only the type of event suggests a competitor, the row says Likely or Unverified.</t>
  </si>
  <si>
    <t xml:space="preserve">Conflicting sources</t>
  </si>
  <si>
    <t xml:space="preserve">JOA 100th: organiser site says 13 to 16 May 2027 Yokohama, one JOA PDF says 15 to 16 Jul 2027 Sapporo. PetExpo Singapore: official site 9 to 11 Apr, some listings 2 to 4 Apr. Singapore Vet Show: organiser says dates TBC, a third party lists 24 to 25 Oct 2026. Busan and Yeongnam vet conference merger: Daegu or Busan Haeundae.</t>
  </si>
  <si>
    <t xml:space="preserve">Date read from a search summary</t>
  </si>
  <si>
    <t xml:space="preserve">kimes.kr, radiology.or.kr, rsroc.org.tw and expo.taiwan-healthcare.org returned no usable text to my fetch. The KIMES 2027, KCR 2027 and ASCI TRC 2027 dates were read from search extracts of those official pages (KIMES and ASCI TRC are marked Provisional for that reason). A reviewer confirmed the KCR 2027 dates directly on radiology.or.kr, but its venue text is garbled. JBVP dates come from search summaries because jbvp.org blocked my fetch. Re check these on the organiser sites before booking.</t>
  </si>
  <si>
    <t xml:space="preserve">Left out on purpose</t>
  </si>
  <si>
    <t xml:space="preserve">Medical Fair Asia 2027: an aggregator lists 1 to 3 Sep 2027, but the organiser page shows only the 2026 edition (9 to 11 Sep 2026) and the show has run every second year. Treat as 2028 until the organiser says otherwise. Third party calendars (showsbee, eventseye, 10times) were used to find events, never as proof of a date.</t>
  </si>
  <si>
    <t xml:space="preserve">Not covered</t>
  </si>
  <si>
    <t xml:space="preserve">KOL name directory and detailed product fit per event. Ask for a v2 with KOL names pulled from congress presidents and course chairs.</t>
  </si>
  <si>
    <t xml:space="preserve">Singapore Vet Show 2026</t>
  </si>
  <si>
    <t xml:space="preserve">The organiser page says new dates are to be confirmed, but a third party lists 24 to 25 Oct 2026, which is this weekend. If it is running, visit it in person and check its 2027 plans.</t>
  </si>
  <si>
    <t xml:space="preserve">Research date</t>
  </si>
  <si>
    <t xml:space="preserve">Built on 25 Oct 2026 from organiser pages, press releases and search, then checked by an independent review pass. Verify before booking travel.</t>
  </si>
  <si>
    <t xml:space="preserve">JUST BEFORE THE WINDOW (FOR AWARENESS, NOT COUNTED)</t>
  </si>
  <si>
    <t xml:space="preserve">31 Oct to 1 Nov 2026</t>
  </si>
  <si>
    <t xml:space="preserve">SUMROC Annual Meeting and 8th Asia Pacific Forum, Taipei International Convention Center.</t>
  </si>
  <si>
    <t xml:space="preserve">1 to 3 Nov 2026</t>
  </si>
  <si>
    <t xml:space="preserve">Korean Society of Veterinary Science autumn meeting with East Asia joint symposium, Jeju ICC.</t>
  </si>
  <si>
    <t xml:space="preserve">5 to 7 Nov 2026</t>
  </si>
  <si>
    <t xml:space="preserve">JDDW 2026, Kobe Convention Center.</t>
  </si>
  <si>
    <t xml:space="preserve">7 to 8 Nov 2026</t>
  </si>
  <si>
    <t xml:space="preserve">Gyeonggi North Veterinary Conference with veterinary cardiology society, KINTEX Ilsan.</t>
  </si>
  <si>
    <t xml:space="preserve">13 to 14 Nov 2026</t>
  </si>
  <si>
    <t xml:space="preserve">KSOG autumn congress, Seoul.</t>
  </si>
  <si>
    <t xml:space="preserve">18 to 20 Nov 2026</t>
  </si>
  <si>
    <t xml:space="preserve">HOSPEX Japan 2026, Tokyo Big Sight West 2.</t>
  </si>
  <si>
    <t xml:space="preserve">20 to 22 Nov 2026</t>
  </si>
  <si>
    <t xml:space="preserve">MEGAZOO 2026 Season 2, KINTEX Ilsan.</t>
  </si>
  <si>
    <t xml:space="preserve">VET ALTERNATIVES OUTSIDE THE FOUR MARKETS (NOT COUNTED)</t>
  </si>
  <si>
    <t xml:space="preserve">27 to 29 Jan 2027</t>
  </si>
  <si>
    <t xml:space="preserve">FAVA Congress 2027 (24th), Subic Bay, Philippines. Federation of Asian Veterinary Associations.</t>
  </si>
  <si>
    <t xml:space="preserve">5 to 7 Nov 2027</t>
  </si>
  <si>
    <t xml:space="preserve">WSAVA World Congress 2027, Yashobhoomi, New Delhi, India. Includes large vet equipment exhibition.</t>
  </si>
  <si>
    <t xml:space="preserve">KEY SOURCES</t>
  </si>
  <si>
    <t xml:space="preserve">jsum.or.jp calendar, radiology.jp and convention.co.jp (JRS), congre.co.jp (JCS, JSOG, JOA), jse.gr.jp, c-lef.co.jp (JSS), jddw.jp, jbvp.org (via search), jcvim.org, jsvas.net, jsvdi.com, interpets.jp.messefrankfurt.com, medical-jpn.jp, noma-hs.com.</t>
  </si>
  <si>
    <t xml:space="preserve">ksecho.org, iscu.or.kr, kimes.kr, radiology.or.kr, 2026.ksum.or.kr, khospital.org, ksog.org, circulation.or.kr, dailyvet.co.kr, koreabiomed.com, megazoo.co.kr, svma.or.kr.</t>
  </si>
  <si>
    <t xml:space="preserve">expo.taiwan-healthcare.org, medicaltaiwan.com.tw, rsroc.org.tw, sumroc.org.tw, taog.org.tw, tsoc.org.tw, anesth.org.tw, aicvs-aicvim2026.tw, chanchao.com.tw, tcvs.tw, tavim.org, tpvma.org.tw.</t>
  </si>
  <si>
    <t xml:space="preserve">sgcr-wires.com, shbc.com.sg, nhcs.com.sg, ssr.org.sg, sua.sg, nysora.com, singhealthacademy.edu.sg, vetshow.com, petexposg.com, sgpetfestival.com, sva.org.sg.</t>
  </si>
  <si>
    <t xml:space="preserve">Coverage against your target (live formulas, they update when you edit the event tabs)</t>
  </si>
  <si>
    <t xml:space="preserve">Diagnostics and radiology events (sheet: Diagnostics Events)</t>
  </si>
  <si>
    <t xml:space="preserve">Country</t>
  </si>
  <si>
    <t xml:space="preserve">Target</t>
  </si>
  <si>
    <t xml:space="preserve">Listed</t>
  </si>
  <si>
    <t xml:space="preserve">Clinical or specialist events only (excl. general shows and pet shows)</t>
  </si>
  <si>
    <t xml:space="preserve">General medtech shows (Both)</t>
  </si>
  <si>
    <t xml:space="preserve">Pet industry shows</t>
  </si>
  <si>
    <t xml:space="preserve">Date Confirmed</t>
  </si>
  <si>
    <t xml:space="preserve">Date Provisional (verify)</t>
  </si>
  <si>
    <t xml:space="preserve">Date TBC (annual pattern)</t>
  </si>
  <si>
    <t xml:space="preserve">P1</t>
  </si>
  <si>
    <t xml:space="preserve">P2</t>
  </si>
  <si>
    <t xml:space="preserve">P3</t>
  </si>
  <si>
    <t xml:space="preserve">Worth a trip (P1 plus P2)</t>
  </si>
  <si>
    <t xml:space="preserve">Meets target?</t>
  </si>
  <si>
    <t xml:space="preserve">Total</t>
  </si>
  <si>
    <t xml:space="preserve">Vet events (sheet: Vet Events)</t>
  </si>
  <si>
    <t xml:space="preserve">Blue numbers in the Target column are your targets (10 per country, 20 for Japan). Edit them if the target changes.</t>
  </si>
  <si>
    <t xml:space="preserve">Listed counts every row on the tab, including P3 optional events. General medtech shows (Segment = Both) are on both tabs because vet distributors walk medtech floors. Consumer pet shows are counted as vet events only to reach your target, so read the clinical only column and the P1 plus P2 column for the real number worth a trip.</t>
  </si>
  <si>
    <t xml:space="preserve">Date Confirmed means the organiser's own page shows the date. Provisional means a single or conflicting source. TBC means the organiser has not published 2027 yet, and the row shows the annual pattern only. No future date has been invented.</t>
  </si>
  <si>
    <t xml:space="preserve">Singapore vet is SHORT of 10 because few genuine vet events exist in Singapore. Aggregator listings of generic Singapore vet symposia were checked and excluded as low credibility. See the Read Me for regional alternatives.</t>
  </si>
  <si>
    <t xml:space="preserve">EVENTS STARTING WITHIN 60 DAYS OF THE REFERENCE DATE. Contact organisers this week, because exhibitor windows for these have mostly closed or are closing.</t>
  </si>
  <si>
    <t xml:space="preserve">Reference date (edit)</t>
  </si>
  <si>
    <t xml:space="preserve">Change this date to re age the list. Days Left and Urgency recalculate (CRITICAL = 42 days or less, HIGH = 43 to 56, MEDIUM = more). Rows are events starting within 60 days of 25 Oct 2026.</t>
  </si>
  <si>
    <t xml:space="preserve">Start Date</t>
  </si>
  <si>
    <t xml:space="preserve">Days Left</t>
  </si>
  <si>
    <t xml:space="preserve">Urgency</t>
  </si>
  <si>
    <t xml:space="preserve">Event</t>
  </si>
  <si>
    <t xml:space="preserve">Dates</t>
  </si>
  <si>
    <t xml:space="preserve">City and Venue</t>
  </si>
  <si>
    <t xml:space="preserve">Deadline or Action</t>
  </si>
  <si>
    <t xml:space="preserve">Source</t>
  </si>
  <si>
    <t xml:space="preserve">Both</t>
  </si>
  <si>
    <t xml:space="preserve">Healthcare+ Expo Taiwan 2026</t>
  </si>
  <si>
    <t xml:space="preserve">3 to 6 Dec 2026</t>
  </si>
  <si>
    <t xml:space="preserve">Taipei Nangang Exhibition Center Hall 1 (1F and 4F), Taipei</t>
  </si>
  <si>
    <t xml:space="preserve">Exhibitor sales for 2026 probably closed. Confirm with the organiser. Attend as a visitor. Walk the ultrasound and imaging aisles and collect importer cards. Nearest event on this list.</t>
  </si>
  <si>
    <t xml:space="preserve">https://expo.taiwan-healthcare.org/en/</t>
  </si>
  <si>
    <t xml:space="preserve">Vet</t>
  </si>
  <si>
    <t xml:space="preserve">KVECCS Academic Seminar with RECOVER workshop and POCUS ultrasound practice (Korean Veterinary Emergency and Critical Care Society)</t>
  </si>
  <si>
    <t xml:space="preserve">4 to 6 Dec 2026</t>
  </si>
  <si>
    <t xml:space="preserve">Seoul (venue to be confirmed)</t>
  </si>
  <si>
    <t xml:space="preserve">Event is 6 weeks away. Ask the society now for a scanner loan slot. Contact KVECCS this week: offer 3 to 4 scanners for the POCUS practical session.</t>
  </si>
  <si>
    <t xml:space="preserve">https://www.dailyvet.co.kr/news/academy</t>
  </si>
  <si>
    <t xml:space="preserve">Diagnostics</t>
  </si>
  <si>
    <t xml:space="preserve">KSE 2026, 61st Korean Society of Echocardiography Autumn Meeting</t>
  </si>
  <si>
    <t xml:space="preserve">5 to 6 Dec 2026</t>
  </si>
  <si>
    <t xml:space="preserve">Grand Walkerhill Seoul, Seoul</t>
  </si>
  <si>
    <t xml:space="preserve">Event is 6 weeks away. Ask the society office now. Ask for visitor access. Note names of the hands on session faculty.</t>
  </si>
  <si>
    <t xml:space="preserve">https://www.ksecho.org/academic_event/annual_schedule_all.php</t>
  </si>
  <si>
    <t xml:space="preserve">ISCU 2026 and 29th Regular Meeting of the Korean Association of Clinical Ultrasound, with Hands On School</t>
  </si>
  <si>
    <t xml:space="preserve">COEX Magok, Seoul</t>
  </si>
  <si>
    <t xml:space="preserve">Abstract deadline 30 Oct 2026 (not relevant for vendors). Sponsor terms not found, event is 6 weeks away. Contact KACU this week to ask about equipment loan for the hands on school.</t>
  </si>
  <si>
    <t xml:space="preserve">https://iscu.or.kr/</t>
  </si>
  <si>
    <t xml:space="preserve">JSVDI 79th Japanese Society of Veterinary Diagnostic Imaging Meeting</t>
  </si>
  <si>
    <t xml:space="preserve">Fukuoka International Congress Center, Fukuoka</t>
  </si>
  <si>
    <t xml:space="preserve">Event is 6 weeks away. Ask the secretariat now for any remaining exhibit space. Request an exhibit slot or visit to meet imaging KOLs. Plan the June 2027 meeting as the booth event.</t>
  </si>
  <si>
    <t xml:space="preserve">https://jsvdi.com/conference/3332/</t>
  </si>
  <si>
    <t xml:space="preserve">Chanchao Kaohsiung Pets Show, December 2026 edition</t>
  </si>
  <si>
    <t xml:space="preserve">11 to 14 Dec 2026</t>
  </si>
  <si>
    <t xml:space="preserve">Kaohsiung Exhibition Center, Kaohsiung</t>
  </si>
  <si>
    <t xml:space="preserve">Closed for exhibitors. Optional. Walk it on 12 Dec if attending AiCVS.</t>
  </si>
  <si>
    <t xml:space="preserve">https://www.chanchao.com.tw/PetsShow/kaohsiung/</t>
  </si>
  <si>
    <t xml:space="preserve">TSOC Winter Scientific Meeting 2026 (Taiwan Society of Cardiology)</t>
  </si>
  <si>
    <t xml:space="preserve">12 to 13 Dec 2026</t>
  </si>
  <si>
    <t xml:space="preserve">Taipei International Convention Center (TICC), Taipei</t>
  </si>
  <si>
    <t xml:space="preserve">Not published. Event is 7 weeks away. Optional. Attend only if combined with Healthcare+ Expo trip.</t>
  </si>
  <si>
    <t xml:space="preserve">https://tsocmeeting.org/</t>
  </si>
  <si>
    <t xml:space="preserve">JSUM Kansai 53rd Regional Meeting and 30th Regional Seminar</t>
  </si>
  <si>
    <t xml:space="preserve">12 Dec 2026</t>
  </si>
  <si>
    <t xml:space="preserve">Osaka International Convention Center, Osaka</t>
  </si>
  <si>
    <t xml:space="preserve">Corporate exhibition terms not found. Event is 7 weeks away, so ask the secretariat this week. Email the secretariat for the exhibitor form. If closed, attend as a visitor and map Kansai KOLs and dealers.</t>
  </si>
  <si>
    <t xml:space="preserve">https://www.jsum.or.jp/members/calendar/2026/</t>
  </si>
  <si>
    <t xml:space="preserve">AiCVS and AiCVIM Joint Congress 2026 (Asian veterinary surgery and internal medicine colleges)</t>
  </si>
  <si>
    <t xml:space="preserve">Kaohsiung Exhibition Center, Kaohsiung (venue per host association pages, the congress site names no venue)</t>
  </si>
  <si>
    <t xml:space="preserve">Event is 7 weeks away. Sponsor and exhibitor slots may still be open. Email the organiser (aicvs-aicvim2026.tw) this week. Offer a scanner for the imaging session.</t>
  </si>
  <si>
    <t xml:space="preserve">https://www.aicvs-aicvim2026.tw/</t>
  </si>
  <si>
    <t xml:space="preserve">Skyvets abdominal ultrasound hands on seminar series (monthly, third Wednesday)</t>
  </si>
  <si>
    <t xml:space="preserve">16 Dec 2026, 20 Jan, 17 Feb, 17 Mar 2027</t>
  </si>
  <si>
    <t xml:space="preserve">Not stated (online imaging service with hands on)</t>
  </si>
  <si>
    <t xml:space="preserve">Registration per session. Ask Skyvets which scanners are used.</t>
  </si>
  <si>
    <t xml:space="preserve">https://sky-vets.com/seminar/</t>
  </si>
  <si>
    <t xml:space="preserve">JSVAS 113th Japanese Society of Veterinary Anesthesia and Surgery Meeting</t>
  </si>
  <si>
    <t xml:space="preserve">18 to 20 Dec 2026</t>
  </si>
  <si>
    <t xml:space="preserve">Congress Square Grand Green Osaka, Osaka</t>
  </si>
  <si>
    <t xml:space="preserve">Event is 8 weeks away. Ask the secretariat now. Visit or exhibit if a Kansai vet dealer partner is in place.</t>
  </si>
  <si>
    <t xml:space="preserve">https://www.jsvas.net/conference/index.php</t>
  </si>
  <si>
    <t xml:space="preserve">CHISON Ultrasound Diagnostics Event Plan | Singapore, Taiwan, South Korea, Japan | Dec 2026 to Dec 2027 | v1, prepared 25 Oct 2026</t>
  </si>
  <si>
    <t xml:space="preserve">#</t>
  </si>
  <si>
    <t xml:space="preserve">Event Name</t>
  </si>
  <si>
    <t xml:space="preserve">End Date</t>
  </si>
  <si>
    <t xml:space="preserve">Month (for sorting)</t>
  </si>
  <si>
    <t xml:space="preserve">Date as Published or Expected</t>
  </si>
  <si>
    <t xml:space="preserve">Date Status and Source Note</t>
  </si>
  <si>
    <t xml:space="preserve">Type</t>
  </si>
  <si>
    <t xml:space="preserve">Field or Specialty</t>
  </si>
  <si>
    <t xml:space="preserve">Why It Matters for CHISON (product angle)</t>
  </si>
  <si>
    <t xml:space="preserve">Competitors Present or Expected</t>
  </si>
  <si>
    <t xml:space="preserve">Local Dealers and Distributors to Meet</t>
  </si>
  <si>
    <t xml:space="preserve">KOL Potential</t>
  </si>
  <si>
    <t xml:space="preserve">Dealer Potential</t>
  </si>
  <si>
    <t xml:space="preserve">Scale or Attendance</t>
  </si>
  <si>
    <t xml:space="preserve">Cost Info (published)</t>
  </si>
  <si>
    <t xml:space="preserve">Deadlines That Bite</t>
  </si>
  <si>
    <t xml:space="preserve">Recommended Action</t>
  </si>
  <si>
    <t xml:space="preserve">Singapore LIVE 2027 (National Heart Centre Singapore)</t>
  </si>
  <si>
    <t xml:space="preserve">28 to 30 Jan 2027</t>
  </si>
  <si>
    <t xml:space="preserve">Confirmed</t>
  </si>
  <si>
    <t xml:space="preserve">Confirmed per organiser page</t>
  </si>
  <si>
    <t xml:space="preserve">Singapore (venue not stated)</t>
  </si>
  <si>
    <t xml:space="preserve">Live case course</t>
  </si>
  <si>
    <t xml:space="preserve">Interventional cardiology, imaging</t>
  </si>
  <si>
    <t xml:space="preserve">Cardiology KOLs at NHCS. Interventional focus, so ultrasound relevance is limited.</t>
  </si>
  <si>
    <t xml:space="preserve">Expected, not verified: Philips, GE HealthCare, Abbott expected.</t>
  </si>
  <si>
    <t xml:space="preserve">Unverified. Exhibitor list not published.</t>
  </si>
  <si>
    <t xml:space="preserve">Singapore distributors and regional ASEAN distributors who attend Singapore congresses.</t>
  </si>
  <si>
    <t xml:space="preserve">Medium</t>
  </si>
  <si>
    <t xml:space="preserve">Low</t>
  </si>
  <si>
    <t xml:space="preserve">Not published</t>
  </si>
  <si>
    <t xml:space="preserve">Not published. Request the exhibitor guide from the organiser.</t>
  </si>
  <si>
    <t xml:space="preserve">Not published.</t>
  </si>
  <si>
    <t xml:space="preserve">Optional. Contact NHCS only if a cardiology KOL is on the target list.</t>
  </si>
  <si>
    <t xml:space="preserve">https://www.nhcs.com.sg/singlivecourse</t>
  </si>
  <si>
    <t xml:space="preserve">SSR 10th Annual Scientific Meeting (Singapore Society of Radiographers)</t>
  </si>
  <si>
    <t xml:space="preserve">2 to 3 Apr 2027</t>
  </si>
  <si>
    <t xml:space="preserve">Provisional</t>
  </si>
  <si>
    <t xml:space="preserve">Listed by the society. Location and theme to be confirmed</t>
  </si>
  <si>
    <t xml:space="preserve">Singapore (to be confirmed)</t>
  </si>
  <si>
    <t xml:space="preserve">Society annual meeting</t>
  </si>
  <si>
    <t xml:space="preserve">Radiography and sonography</t>
  </si>
  <si>
    <t xml:space="preserve">Radiographers and sonographers who evaluate ultrasound in public hospitals.</t>
  </si>
  <si>
    <t xml:space="preserve">Brands normally active in Singapore (market knowledge, not verified per event): Philips, GE HealthCare, Siemens Healthineers, Canon Medical, Samsung Medison, Mindray, SonoScape. No event specific exhibitor list found.</t>
  </si>
  <si>
    <t xml:space="preserve">Not published. Society page age looks stale, so verify.</t>
  </si>
  <si>
    <t xml:space="preserve">Email SSR to confirm the date and sponsor options.</t>
  </si>
  <si>
    <t xml:space="preserve">https://www.ssr.org.sg/conference-list</t>
  </si>
  <si>
    <t xml:space="preserve">SingHealth Academy Basic POCUS Workshop, session 1</t>
  </si>
  <si>
    <t xml:space="preserve">7 May 2027</t>
  </si>
  <si>
    <t xml:space="preserve">Provisional. Course page lists both sessions but its date format is unclear, verify</t>
  </si>
  <si>
    <t xml:space="preserve">Academia, 20 College Road, Singapore</t>
  </si>
  <si>
    <t xml:space="preserve">CME course</t>
  </si>
  <si>
    <t xml:space="preserve">Point of care ultrasound</t>
  </si>
  <si>
    <t xml:space="preserve">Residents in emergency, internal medicine and anaesthesia train here. Scanner supply for hands on is a practical opening for SonoEye and SonoAir.</t>
  </si>
  <si>
    <t xml:space="preserve">Training equipment supplier not stated.</t>
  </si>
  <si>
    <t xml:space="preserve">High</t>
  </si>
  <si>
    <t xml:space="preserve">Small class</t>
  </si>
  <si>
    <t xml:space="preserve">Participant fee S$420 incl GST.</t>
  </si>
  <si>
    <t xml:space="preserve">Registration closes before each session.</t>
  </si>
  <si>
    <t xml:space="preserve">Contact SingHealth Academy to ask who supplies the scanners and whether CHISON can lend units.</t>
  </si>
  <si>
    <t xml:space="preserve">https://www.singhealthacademy.edu.sg/sims/events-programmes/academia/point-of-care-ultrasound</t>
  </si>
  <si>
    <t xml:space="preserve">NYSORA Regional Anesthesia Conference Singapore 2027</t>
  </si>
  <si>
    <t xml:space="preserve">8 to 9 May 2027</t>
  </si>
  <si>
    <t xml:space="preserve">Confirmed per organiser listing</t>
  </si>
  <si>
    <t xml:space="preserve">Hands on conference</t>
  </si>
  <si>
    <t xml:space="preserve">Ultrasound guided regional anaesthesia</t>
  </si>
  <si>
    <t xml:space="preserve">Hands on ultrasound nerve block training. Handheld and portable ultrasound fit. Sponsor tables are common at NYSORA courses.</t>
  </si>
  <si>
    <t xml:space="preserve">Expected, not verified: Fujifilm Sonosite, GE HealthCare (Vscan), Butterfly typical at NYSORA events. Unverified for this event.</t>
  </si>
  <si>
    <t xml:space="preserve">Hands on course, under 300 (est.)</t>
  </si>
  <si>
    <t xml:space="preserve">Ask NYSORA for the industry sponsor pack. A scanner loan for the workshop is the cheapest option.</t>
  </si>
  <si>
    <t xml:space="preserve">https://nysora.com/event/conferences/regional-anesthesia-conference-singapore-2027/</t>
  </si>
  <si>
    <t xml:space="preserve">Asia Healthcare Week 2027 (IQPC)</t>
  </si>
  <si>
    <t xml:space="preserve">25 to 28 May 2027</t>
  </si>
  <si>
    <t xml:space="preserve">Listed by an aggregator</t>
  </si>
  <si>
    <t xml:space="preserve">Singapore (venue not found)</t>
  </si>
  <si>
    <t xml:space="preserve">Conference</t>
  </si>
  <si>
    <t xml:space="preserve">Hospital planning and care journey</t>
  </si>
  <si>
    <t xml:space="preserve">Hospital planners and administrators. Useful for contacts, light on ultrasound.</t>
  </si>
  <si>
    <t xml:space="preserve">Not documented.</t>
  </si>
  <si>
    <t xml:space="preserve">Optional.</t>
  </si>
  <si>
    <t xml:space="preserve">https://www.iqpc.com/events-asiahealthcareweek</t>
  </si>
  <si>
    <t xml:space="preserve">HealthTechX Asia 2027 (3rd edition)</t>
  </si>
  <si>
    <t xml:space="preserve">9 to 10 Jun 2027</t>
  </si>
  <si>
    <t xml:space="preserve">Listed on organiser and 10times pages</t>
  </si>
  <si>
    <t xml:space="preserve">Sands Expo and Convention Centre, Marina Bay Sands, Singapore</t>
  </si>
  <si>
    <t xml:space="preserve">Digital health trade show</t>
  </si>
  <si>
    <t xml:space="preserve">Health tech</t>
  </si>
  <si>
    <t xml:space="preserve">Digital health. AI ultrasound software partners rather than distributors.</t>
  </si>
  <si>
    <t xml:space="preserve">Not relevant for ultrasound OEMs.</t>
  </si>
  <si>
    <t xml:space="preserve">Over 90 exhibitors (organiser)</t>
  </si>
  <si>
    <t xml:space="preserve">Skip unless AI partnerships are in scope.</t>
  </si>
  <si>
    <t xml:space="preserve">https://www.healthtechx-asia.com/</t>
  </si>
  <si>
    <t xml:space="preserve">Smart Health Asia 2027</t>
  </si>
  <si>
    <t xml:space="preserve">7 to 8 Jul 2027</t>
  </si>
  <si>
    <t xml:space="preserve">Listed by organiser (Messe Berlin Singapore)</t>
  </si>
  <si>
    <t xml:space="preserve">Sands Expo and Convention Centre, Singapore</t>
  </si>
  <si>
    <t xml:space="preserve">Digital health</t>
  </si>
  <si>
    <t xml:space="preserve">Digital health; small imaging share.</t>
  </si>
  <si>
    <t xml:space="preserve">150+ exhibitors, 5,000+ visitors (organiser claim)</t>
  </si>
  <si>
    <t xml:space="preserve">Skip.</t>
  </si>
  <si>
    <t xml:space="preserve">https://smarthealthasia.com/</t>
  </si>
  <si>
    <t xml:space="preserve">UROFAIR 2027 (Singapore Urological Association)</t>
  </si>
  <si>
    <t xml:space="preserve">15 to 17 Jul 2027</t>
  </si>
  <si>
    <t xml:space="preserve">Confirmed per society page</t>
  </si>
  <si>
    <t xml:space="preserve">Grand Copthorne Waterfront Hotel, Singapore</t>
  </si>
  <si>
    <t xml:space="preserve">Society meeting with fair</t>
  </si>
  <si>
    <t xml:space="preserve">Urology</t>
  </si>
  <si>
    <t xml:space="preserve">Urology ultrasound (prostate, bladder). Small but easy to approach.</t>
  </si>
  <si>
    <t xml:space="preserve">Optional. Ask SUA for the exhibitor prospectus.</t>
  </si>
  <si>
    <t xml:space="preserve">https://sua.sg/urofair-2027/</t>
  </si>
  <si>
    <t xml:space="preserve">APICS 2027, Asia Pacific Intensive Care Symposium</t>
  </si>
  <si>
    <t xml:space="preserve">18 to 23 Aug 2027</t>
  </si>
  <si>
    <t xml:space="preserve">Provisional. Listed by an aggregator only. The six day span looks too long and overlaps SGCR week, so it is likely an aggregator error. Verify with the organiser</t>
  </si>
  <si>
    <t xml:space="preserve">Singapore EXPO (per listing)</t>
  </si>
  <si>
    <t xml:space="preserve">Regional symposium</t>
  </si>
  <si>
    <t xml:space="preserve">Critical care ultrasound</t>
  </si>
  <si>
    <t xml:space="preserve">ICU physicians use POCUS and echo daily. Handheld and portable systems fit.</t>
  </si>
  <si>
    <t xml:space="preserve">Expected, not verified: GE HealthCare, Philips, Fujifilm Sonosite typical. Unverified.</t>
  </si>
  <si>
    <t xml:space="preserve">Confirm dates with the organiser before planning.</t>
  </si>
  <si>
    <t xml:space="preserve">https://conferencealerts.co.in/singapore/medicine-and-medical-science</t>
  </si>
  <si>
    <t xml:space="preserve">ACAR SGCR WIRES 2027 (Asian Congress of Abdominal Radiology with the Singapore Congress of Radiology and WIRES)</t>
  </si>
  <si>
    <t xml:space="preserve">19 to 22 Aug 2027</t>
  </si>
  <si>
    <t xml:space="preserve">Dates confirmed on organiser site. Venue to be announced</t>
  </si>
  <si>
    <t xml:space="preserve">Singapore (venue not yet announced). The 2026 edition was at Singapore EXPO</t>
  </si>
  <si>
    <t xml:space="preserve">National and Asian congress</t>
  </si>
  <si>
    <t xml:space="preserve">Radiology, abdominal and interventional imaging</t>
  </si>
  <si>
    <t xml:space="preserve">Singapore's top radiology congress (35th meeting per the organiser welcome page), joined by the 14th Asian abdominal radiology congress. Regional KOLs come to Singapore, so one trip covers ASEAN and North Asia. Abdominal ultrasound and elastography are core topics.</t>
  </si>
  <si>
    <t xml:space="preserve">Unverified. 2026 AOCR plus SGCR exhibitor list not retrieved.</t>
  </si>
  <si>
    <t xml:space="preserve">Exhibitor prospectus not published. Ask the secretariat from Jan 2027.</t>
  </si>
  <si>
    <t xml:space="preserve">Priority 1 in Singapore. Request the prospectus and plan a regional distributor meeting around it.</t>
  </si>
  <si>
    <t xml:space="preserve">https://www.sgcr-wires.com/acar2027</t>
  </si>
  <si>
    <t xml:space="preserve">SingHealth Academy Basic POCUS Workshop, session 2</t>
  </si>
  <si>
    <t xml:space="preserve">10 Sep 2027</t>
  </si>
  <si>
    <t xml:space="preserve">IEEE International Ultrasonics Symposium 2027</t>
  </si>
  <si>
    <t xml:space="preserve">12 to 15 Sep 2027</t>
  </si>
  <si>
    <t xml:space="preserve">Confirmed per IEEE listing</t>
  </si>
  <si>
    <t xml:space="preserve">Singapore (venue not named)</t>
  </si>
  <si>
    <t xml:space="preserve">Engineering symposium</t>
  </si>
  <si>
    <t xml:space="preserve">Ultrasound physics and transducers</t>
  </si>
  <si>
    <t xml:space="preserve">Engineering audience. Awareness of competitor technology, not a sales event.</t>
  </si>
  <si>
    <t xml:space="preserve">Ultrasound OEM engineers.</t>
  </si>
  <si>
    <t xml:space="preserve">Not applicable.</t>
  </si>
  <si>
    <t xml:space="preserve">Awareness only.</t>
  </si>
  <si>
    <t xml:space="preserve">https://ieee-uffc.org/event/conference/2027-ieee-international-ultrasonics-symposium</t>
  </si>
  <si>
    <t xml:space="preserve">Singapore Health and Biomedical Congress (SHBC) 2027</t>
  </si>
  <si>
    <t xml:space="preserve">Oct 2027 (not published)</t>
  </si>
  <si>
    <t xml:space="preserve">TBC</t>
  </si>
  <si>
    <t xml:space="preserve">TBC. Annual pattern: early October (2026: 8 to 9 Oct, 2025: 9 to 10 Oct at Singapore EXPO)</t>
  </si>
  <si>
    <t xml:space="preserve">Singapore EXPO (venue of recent editions)</t>
  </si>
  <si>
    <t xml:space="preserve">National healthcare congress with exhibition</t>
  </si>
  <si>
    <t xml:space="preserve">All specialties, public healthcare</t>
  </si>
  <si>
    <t xml:space="preserve">Largest multi specialty healthcare meeting in Singapore, run by NHG Health (National Healthcare Group) per its site. KOLs and procurement staff of public hospitals attend.</t>
  </si>
  <si>
    <t xml:space="preserve">Delegate day pass SGD 180 (2026). Exhibitor cost not published.</t>
  </si>
  <si>
    <t xml:space="preserve">Check shbc.com.sg after the 2026 edition for the 2027 call for exhibitors.</t>
  </si>
  <si>
    <t xml:space="preserve">https://shbc.com.sg/</t>
  </si>
  <si>
    <t xml:space="preserve">Trade exhibition</t>
  </si>
  <si>
    <t xml:space="preserve">Medical devices, smart hospital, digital health, precision medicine</t>
  </si>
  <si>
    <t xml:space="preserve">Taiwan's largest healthcare expo. Importers, hospital buyers and KOLs attend. The only large Taiwan show inside the first month of the window.</t>
  </si>
  <si>
    <t xml:space="preserve">Confirmed at the 2025 edition: ASUS (handheld ultrasound LU800 and EchoLab) and Daikso (portable ultrasound AI). Big five brands not found in the search. Official 2026 exhibitor list is on the expo site.</t>
  </si>
  <si>
    <t xml:space="preserve">Partly confirmed. Large brand presence unverified.</t>
  </si>
  <si>
    <t xml:space="preserve">Rotary Trading (Canon Medical agent) is a known ultrasound dealer. Other Taiwan importers to scout at the show floor.</t>
  </si>
  <si>
    <t xml:space="preserve">Third party: 650+ exhibitors; 130,000 to 150,000 visitors (est.)</t>
  </si>
  <si>
    <t xml:space="preserve">Exhibitor sales for 2026 probably closed. Confirm with the organiser.</t>
  </si>
  <si>
    <t xml:space="preserve">Attend as a visitor. Walk the ultrasound and imaging aisles and collect importer cards. Nearest event on this list.</t>
  </si>
  <si>
    <t xml:space="preserve">Society scientific meeting</t>
  </si>
  <si>
    <t xml:space="preserve">Cardiology and echo</t>
  </si>
  <si>
    <t xml:space="preserve">Cardiology KOL access in Taipei.</t>
  </si>
  <si>
    <t xml:space="preserve">Expected, not verified: GE HealthCare, Philips, Canon expected.</t>
  </si>
  <si>
    <t xml:space="preserve">Unverified.</t>
  </si>
  <si>
    <t xml:space="preserve">Not published. Event is 7 weeks away.</t>
  </si>
  <si>
    <t xml:space="preserve">Optional. Attend only if combined with Healthcare+ Expo trip.</t>
  </si>
  <si>
    <t xml:space="preserve">ASCI 2027 and TRC 2027 (Radiological Society of the ROC annual meeting)</t>
  </si>
  <si>
    <t xml:space="preserve">18 to 21 Mar 2027</t>
  </si>
  <si>
    <t xml:space="preserve">Reported in the RSROC annual schedule (read through a search extract, site blocked my fetch). Verify</t>
  </si>
  <si>
    <t xml:space="preserve">NTUH International Convention Center, Taipei</t>
  </si>
  <si>
    <t xml:space="preserve">National congress with Asian cardiovascular imaging society</t>
  </si>
  <si>
    <t xml:space="preserve">Radiology, cardiovascular imaging</t>
  </si>
  <si>
    <t xml:space="preserve">Taiwan's top radiology meeting. TRC 2026 was at Kaohsiung Exhibition Center in April.</t>
  </si>
  <si>
    <t xml:space="preserve">Expected, not verified: GE HealthCare, Philips, Canon Medical (agent: Rotary Trading), Alpinion, Samsung Medison, Siemens Healthineers. Mindray and SonoScape: no Taiwan exhibitor evidence found.</t>
  </si>
  <si>
    <t xml:space="preserve">Not published. Ask RSROC secretariat (02 25865331).</t>
  </si>
  <si>
    <t xml:space="preserve">Request the exhibitor guide. KOL meetings with radiologists.</t>
  </si>
  <si>
    <t xml:space="preserve">https://www.rsroc.org.tw/news/news_detail.asp?news_id=96</t>
  </si>
  <si>
    <t xml:space="preserve">TAOG 66th Annual Congress 2027 (Taiwan Association of Obstetrics and Gynecology)</t>
  </si>
  <si>
    <t xml:space="preserve">Late Mar 2027 (not published)</t>
  </si>
  <si>
    <t xml:space="preserve">TBC. Annual pattern: late March (65th was 28 to 29 Mar 2026 at TICC)</t>
  </si>
  <si>
    <t xml:space="preserve">Taipei International Convention Center (TICC) expected</t>
  </si>
  <si>
    <t xml:space="preserve">Society congress</t>
  </si>
  <si>
    <t xml:space="preserve">OB/GYN ultrasound</t>
  </si>
  <si>
    <t xml:space="preserve">OB/GYN ultrasound buyers. TAOG publishes a vendor exhibition registration form each year, so there is a documented booth path.</t>
  </si>
  <si>
    <t xml:space="preserve">Expected, not verified: GE HealthCare, Samsung Medison, Philips, Alpinion expected.</t>
  </si>
  <si>
    <t xml:space="preserve">Not published (registration form exists).</t>
  </si>
  <si>
    <t xml:space="preserve">2024 exhibitor registration form was published; the 2027 form should appear around late 2026.</t>
  </si>
  <si>
    <t xml:space="preserve">Watch taog.org.tw and email the secretariat in November.</t>
  </si>
  <si>
    <t xml:space="preserve">https://www.taog.org.tw/year_list.php</t>
  </si>
  <si>
    <t xml:space="preserve">Taiwan Association of Radiological Technologists 60th Annual Meeting 2027</t>
  </si>
  <si>
    <t xml:space="preserve">March 2027 (not published)</t>
  </si>
  <si>
    <t xml:space="preserve">TBC. Annual pattern: March (59th was March 2026 at Kaohsiung Exhibition Center)</t>
  </si>
  <si>
    <t xml:space="preserve">Rotating city</t>
  </si>
  <si>
    <t xml:space="preserve">Radiographers and sonographers</t>
  </si>
  <si>
    <t xml:space="preserve">Daily users who influence purchases.</t>
  </si>
  <si>
    <t xml:space="preserve">Search for the official notice in January.</t>
  </si>
  <si>
    <t xml:space="preserve">https://www.rsroc.org.tw/</t>
  </si>
  <si>
    <t xml:space="preserve">TSOC Annual Meeting 2027 (Taiwan Society of Cardiology)</t>
  </si>
  <si>
    <t xml:space="preserve">May 2027 (not published)</t>
  </si>
  <si>
    <t xml:space="preserve">TBC. Annual pattern: May (2026 was 15 to 17 May at TICC and WTC Hall 1A)</t>
  </si>
  <si>
    <t xml:space="preserve">Taipei (TICC expected)</t>
  </si>
  <si>
    <t xml:space="preserve">Largest Taiwan cardiology meeting.</t>
  </si>
  <si>
    <t xml:space="preserve">Large</t>
  </si>
  <si>
    <t xml:space="preserve">Optional. Check tsoc.org.tw in early 2027.</t>
  </si>
  <si>
    <t xml:space="preserve">https://www.tsoc.org.tw/</t>
  </si>
  <si>
    <t xml:space="preserve">Taiwan Society of Emergency Medicine Annual Meeting 2027</t>
  </si>
  <si>
    <t xml:space="preserve">June 2027 (not published)</t>
  </si>
  <si>
    <t xml:space="preserve">TBC. Annual pattern: June (2026 was 26 to 27 Jun at NTUH)</t>
  </si>
  <si>
    <t xml:space="preserve">Taipei (NTUH expected)</t>
  </si>
  <si>
    <t xml:space="preserve">Emergency medicine, POCUS</t>
  </si>
  <si>
    <t xml:space="preserve">Handheld and portable ultrasound buyers.</t>
  </si>
  <si>
    <t xml:space="preserve">Expected, not verified: GE HealthCare (Vscan), Philips (Lumify), Butterfly expected.</t>
  </si>
  <si>
    <t xml:space="preserve">Check sem.org.tw in spring 2027.</t>
  </si>
  <si>
    <t xml:space="preserve">https://www.sem.org.tw/News/12/Index</t>
  </si>
  <si>
    <t xml:space="preserve">Medical Taiwan 2027</t>
  </si>
  <si>
    <t xml:space="preserve">8 to 10 Jul 2027</t>
  </si>
  <si>
    <t xml:space="preserve">Taipei Nangang Exhibition Center Hall 1, Taipei</t>
  </si>
  <si>
    <t xml:space="preserve">International trade exhibition</t>
  </si>
  <si>
    <t xml:space="preserve">Smart medical, elderly care, innovative devices</t>
  </si>
  <si>
    <t xml:space="preserve">Second Taiwan show a year, focused on devices and exports. Good for importers and OEM contacts.</t>
  </si>
  <si>
    <t xml:space="preserve">Booth sales likely open. Ask the organiser.</t>
  </si>
  <si>
    <t xml:space="preserve">Visit or exhibit with a local importer. Compare cost with Healthcare+ Expo.</t>
  </si>
  <si>
    <t xml:space="preserve">https://www.medicaltaiwan.com.tw/zh-tw/index.html</t>
  </si>
  <si>
    <t xml:space="preserve">Taipei International Breast Cancer Symposium 2027 (Taiwan Breast Cancer Society)</t>
  </si>
  <si>
    <t xml:space="preserve">Sep to Oct 2027 (not published)</t>
  </si>
  <si>
    <t xml:space="preserve">TBC. Annual or two yearly pattern: 2026 is 19 to 20 Sep, 2024 was 26 to 27 Oct</t>
  </si>
  <si>
    <t xml:space="preserve">Taipei Nangang Exhibition Center Hall 2 (7F) in 2024 and 2026</t>
  </si>
  <si>
    <t xml:space="preserve">International symposium</t>
  </si>
  <si>
    <t xml:space="preserve">Breast imaging, ABUS</t>
  </si>
  <si>
    <t xml:space="preserve">Breast imaging KOLs. SUMROC activity pages list the 2024 edition.</t>
  </si>
  <si>
    <t xml:space="preserve">Check bcst.org.tw in mid 2027.</t>
  </si>
  <si>
    <t xml:space="preserve">https://www.tpta.org.tw/articles.php?type=forwarded&amp;pid=520</t>
  </si>
  <si>
    <t xml:space="preserve">TSA 71st Annual Meeting 2027 (Taiwan Society of Anesthesiologists)</t>
  </si>
  <si>
    <t xml:space="preserve">Sep 2027 (not published)</t>
  </si>
  <si>
    <t xml:space="preserve">TBC. Annual pattern: late September (70th is 26 to 27 Sep 2026 at NTUH)</t>
  </si>
  <si>
    <t xml:space="preserve">Taipei (NTUH International Convention Center in 2026)</t>
  </si>
  <si>
    <t xml:space="preserve">Anaesthesia, regional block ultrasound</t>
  </si>
  <si>
    <t xml:space="preserve">Nerve block ultrasound users. Handheld and portable fit.</t>
  </si>
  <si>
    <t xml:space="preserve">Expected, not verified: Fujifilm Sonosite, GE HealthCare expected.</t>
  </si>
  <si>
    <t xml:space="preserve">Check anesth.org.tw in 2027.</t>
  </si>
  <si>
    <t xml:space="preserve">https://www.anesth.org.tw/events/content.asp?ID=3091&amp;EduType=1</t>
  </si>
  <si>
    <t xml:space="preserve">SUMROC Annual Meeting and 9th Asia Pacific Forum 2027 (Society of Ultrasound in Medicine, ROC)</t>
  </si>
  <si>
    <t xml:space="preserve">Oct to Nov 2027 (not published)</t>
  </si>
  <si>
    <t xml:space="preserve">TBC. Annual pattern: mid to late October (2026 is 31 Oct to 1 Nov, TICC)</t>
  </si>
  <si>
    <t xml:space="preserve">Taipei International Convention Center or NTU College of Medicine</t>
  </si>
  <si>
    <t xml:space="preserve">All clinical ultrasound</t>
  </si>
  <si>
    <t xml:space="preserve">Taiwan's ultrasound society. The 2026 page shows GE HealthCare Ultrasound, Alpinion and Rotary Trading (Canon agent) as supporters. KOL access is the main prize.</t>
  </si>
  <si>
    <t xml:space="preserve">Confirmed on the 2026 page: GE HealthCare Ultrasound, Alpinion, Rotary Trading (Canon Medical agent).</t>
  </si>
  <si>
    <t xml:space="preserve">Confirmed for GE, Alpinion, Canon agent (2026 page logos).</t>
  </si>
  <si>
    <t xml:space="preserve">Not published. Past venues: TICC and NTU basic medical building</t>
  </si>
  <si>
    <t xml:space="preserve">Sponsor terms not published. The 2026 meeting is 31 Oct, so ask for the 2027 terms right after it.</t>
  </si>
  <si>
    <t xml:space="preserve">Attend SUMROC 2026 on 31 Oct if possible to meet the board. Otherwise email sumroc@sumroc.org.tw.</t>
  </si>
  <si>
    <t xml:space="preserve">https://www.sumroc.org.tw/index.php?action=annual</t>
  </si>
  <si>
    <t xml:space="preserve">Healthcare+ Expo Taiwan 2027</t>
  </si>
  <si>
    <t xml:space="preserve">Early Dec 2027 (not published)</t>
  </si>
  <si>
    <t xml:space="preserve">TBC. Annual pattern: first week of December (2026 is 3 to 6 Dec, 2025 was 4 to 7 Dec)</t>
  </si>
  <si>
    <t xml:space="preserve">Medical devices, smart hospital</t>
  </si>
  <si>
    <t xml:space="preserve">Same show as Dec 2026. Plan to exhibit with an importer after seeing the 2026 floor.</t>
  </si>
  <si>
    <t xml:space="preserve">Expected, not verified: Same as 2026. See the Dec 2026 row.</t>
  </si>
  <si>
    <t xml:space="preserve">See 2026 row</t>
  </si>
  <si>
    <t xml:space="preserve">Booth sales typically open 6 to 9 months ahead.</t>
  </si>
  <si>
    <t xml:space="preserve">Decide after the Dec 2026 visit. Ask the organiser for the 2027 booth price.</t>
  </si>
  <si>
    <t xml:space="preserve">Echocardiography</t>
  </si>
  <si>
    <t xml:space="preserve">Cardiac echo KOLs and sonographers. Also the Yeongnam echo winter workshop on 12 Dec 2026 at Keimyung University, Daegu.</t>
  </si>
  <si>
    <t xml:space="preserve">Expected, not verified: Samsung Medison, GE HealthCare, Philips, Canon expected.</t>
  </si>
  <si>
    <t xml:space="preserve">Likely. Not verified for this edition.</t>
  </si>
  <si>
    <t xml:space="preserve">Korean importers and regional dealers. Note that Samsung Medison and Alpinion sell direct, so dealer recruitment should focus on Chinese OEM friendly importers.</t>
  </si>
  <si>
    <t xml:space="preserve">About 1,000 (est.)</t>
  </si>
  <si>
    <t xml:space="preserve">Event is 6 weeks away. Ask the society office now.</t>
  </si>
  <si>
    <t xml:space="preserve">Ask for visitor access. Note names of the hands on session faculty.</t>
  </si>
  <si>
    <t xml:space="preserve">International symposium and hands on school</t>
  </si>
  <si>
    <t xml:space="preserve">Clinical and point of care ultrasound</t>
  </si>
  <si>
    <t xml:space="preserve">Clinical ultrasound used by non radiologists (family medicine, internal medicine, orthopaedics). A hands on school normally needs scanners from vendors, a cheap route to get probes in doctors' hands. Suits SonoEye, SonoAir and SonoBook.</t>
  </si>
  <si>
    <t xml:space="preserve">Expected, not verified: Samsung Medison likely. Others unverified.</t>
  </si>
  <si>
    <t xml:space="preserve">Unverified. Sponsor page not retrieved.</t>
  </si>
  <si>
    <t xml:space="preserve">Abstract deadline 30 Oct 2026 (not relevant for vendors). Sponsor terms not found, event is 6 weeks away.</t>
  </si>
  <si>
    <t xml:space="preserve">Contact KACU this week to ask about equipment loan for the hands on school.</t>
  </si>
  <si>
    <t xml:space="preserve">KIMES 2027, 42nd Korea International Medical and Hospital Equipment Show</t>
  </si>
  <si>
    <t xml:space="preserve">Reported on the official site listing (read through a search extract, my direct fetch of kimes.kr returned no text). Third party listings agree. Re check on kimes.kr when booth sales open</t>
  </si>
  <si>
    <t xml:space="preserve">COEX Halls, Gangnam, Seoul (about 45,000 sqm)</t>
  </si>
  <si>
    <t xml:space="preserve">Medical devices, ultrasound, radiology, hospital equipment</t>
  </si>
  <si>
    <t xml:space="preserve">Korea's #1 medtech show and the main dealer scouting floor. Importers and regional dealers walk it. Samsung Medison and GE HealthCare use it as a launch stage.</t>
  </si>
  <si>
    <t xml:space="preserve">Confirmed at KIMES 2026: Samsung Medison (One Platform, V4, EVO Q10) and GE HealthCare (booth C200, ultrasound and fatty liver quantification). Mindray, SonoScape, Philips: not found.</t>
  </si>
  <si>
    <t xml:space="preserve">Confirmed for Samsung and GE (2026 press releases).</t>
  </si>
  <si>
    <t xml:space="preserve">KIMES 2026: about 1,500 booths (media). Organiser Korea E and Ex</t>
  </si>
  <si>
    <t xml:space="preserve">Booth application dates not found. KIMES opens exhibitor recruitment roughly 6 to 9 months ahead, so ask the organiser now.</t>
  </si>
  <si>
    <t xml:space="preserve">Priority 1 for distributor recruitment. Ask Korea E and Ex for the 2027 booth form and early bird rate.</t>
  </si>
  <si>
    <t xml:space="preserve">https://www.kimes.kr/</t>
  </si>
  <si>
    <t xml:space="preserve">KSC Spring Conference 2027 (Korean Society of Cardiology)</t>
  </si>
  <si>
    <t xml:space="preserve">April 2027 (not published)</t>
  </si>
  <si>
    <t xml:space="preserve">TBC. Annual pattern: April (2026 was 17 to 18 Apr, Gyeongju, with ACC Asia)</t>
  </si>
  <si>
    <t xml:space="preserve">Society conference</t>
  </si>
  <si>
    <t xml:space="preserve">Cardiology</t>
  </si>
  <si>
    <t xml:space="preserve">Cardiology KOL access. Secondary to the autumn meeting.</t>
  </si>
  <si>
    <t xml:space="preserve">Expected, not verified: GE HealthCare, Philips, Samsung Medison expected.</t>
  </si>
  <si>
    <t xml:space="preserve">Check circulation.or.kr in January.</t>
  </si>
  <si>
    <t xml:space="preserve">https://www.circulation.or.kr/bbs/?code=meeting</t>
  </si>
  <si>
    <t xml:space="preserve">KSEM 2027 Spring Conference (Korean Society of Emergency Medicine)</t>
  </si>
  <si>
    <t xml:space="preserve">Apr to Jun 2027 (not published)</t>
  </si>
  <si>
    <t xml:space="preserve">TBC. No pattern: 2025 was 17 to 18 Apr (Gwangju), 2024 was 27 to 28 Jun (Daegu)</t>
  </si>
  <si>
    <t xml:space="preserve">Emergency physicians buy handheld and portable ultrasound (SonoEye, SonoBook).</t>
  </si>
  <si>
    <t xml:space="preserve">Expected, not verified: Samsung Medison, GE HealthCare (Vscan) likely.</t>
  </si>
  <si>
    <t xml:space="preserve">Not published. Society was recruiting an event agency in 2026.</t>
  </si>
  <si>
    <t xml:space="preserve">Check emergency.or.kr in January.</t>
  </si>
  <si>
    <t xml:space="preserve">https://emergency.or.kr/</t>
  </si>
  <si>
    <t xml:space="preserve">GBCC 2027, Global Breast Cancer Conference (Korean Breast Cancer Society)</t>
  </si>
  <si>
    <t xml:space="preserve">Spring 2027 (not published)</t>
  </si>
  <si>
    <t xml:space="preserve">TBC. 2026 edition held at Grand Walkerhill Seoul (press), month not confirmed</t>
  </si>
  <si>
    <t xml:space="preserve">Seoul (expected)</t>
  </si>
  <si>
    <t xml:space="preserve">International conference</t>
  </si>
  <si>
    <t xml:space="preserve">Breast cancer, breast imaging</t>
  </si>
  <si>
    <t xml:space="preserve">Breast surgeons and radiologists. Smaller exhibition.</t>
  </si>
  <si>
    <t xml:space="preserve">Optional. Check kbcs.or.kr in January.</t>
  </si>
  <si>
    <t xml:space="preserve">https://www.kbcs.or.kr/html/</t>
  </si>
  <si>
    <t xml:space="preserve">KSUM 2027, 58th Annual Congress of the Korean Society of Ultrasound in Medicine</t>
  </si>
  <si>
    <t xml:space="preserve">TBC. Annual pattern: early May (2026 was 7 to 8 May at COEX)</t>
  </si>
  <si>
    <t xml:space="preserve">COEX, Seoul (venue used in 2025 and 2026)</t>
  </si>
  <si>
    <t xml:space="preserve">National society congress</t>
  </si>
  <si>
    <t xml:space="preserve">Korea's top ultrasound KOL meeting. English language, international delegates. The right place for CHISON publicity.</t>
  </si>
  <si>
    <t xml:space="preserve">Confirmed at KSUM 2026: Canon Medical Korea ran a luncheon symposium. Sponsors listed on 10times include Philips, GE HealthCare and Canon (unofficial listing). Samsung Medison, Mindray, SonoScape not found.</t>
  </si>
  <si>
    <t xml:space="preserve">Confirmed for Canon. Philips and GE from an unofficial listing.</t>
  </si>
  <si>
    <t xml:space="preserve">KSUM 2026: about 1,000 attendees from 30 countries (press)</t>
  </si>
  <si>
    <t xml:space="preserve">Sponsor terms not published. The 2026 edition had abstract deadline on 23 Feb. Expect sponsor call from January.</t>
  </si>
  <si>
    <t xml:space="preserve">Email the KSUM office in January for the sponsorship tier list and luncheon symposium slots.</t>
  </si>
  <si>
    <t xml:space="preserve">https://2026.ksum.or.kr/about/about.php</t>
  </si>
  <si>
    <t xml:space="preserve">KHF 2027, K Hospital and Healthtech Fair (Korean Hospital Association)</t>
  </si>
  <si>
    <t xml:space="preserve">August 2027 (not published)</t>
  </si>
  <si>
    <t xml:space="preserve">TBC. Annual pattern: August (2026 was 19 to 21 Aug at COEX)</t>
  </si>
  <si>
    <t xml:space="preserve">COEX Halls C and D, Seoul</t>
  </si>
  <si>
    <t xml:space="preserve">Hospital trade fair</t>
  </si>
  <si>
    <t xml:space="preserve">Hospital equipment and health tech</t>
  </si>
  <si>
    <t xml:space="preserve">Hospital purchasing managers and hospital owners. Runs by the Korean Hospital Association with Messe eSang.</t>
  </si>
  <si>
    <t xml:space="preserve">Visit as buyer in 2027 if KIMES dealer meetings are productive.</t>
  </si>
  <si>
    <t xml:space="preserve">https://khospital.org/</t>
  </si>
  <si>
    <t xml:space="preserve">KCR 2027, 83rd Korean Congress of Radiology</t>
  </si>
  <si>
    <t xml:space="preserve">22 to 25 Sep 2027</t>
  </si>
  <si>
    <t xml:space="preserve">Dates confirmed on radiology.or.kr. Venue reported as COEX Magok (page text garbled, verify)</t>
  </si>
  <si>
    <t xml:space="preserve">COEX Magok, Seoul (reported)</t>
  </si>
  <si>
    <t xml:space="preserve">National congress</t>
  </si>
  <si>
    <t xml:space="preserve">Radiology</t>
  </si>
  <si>
    <t xml:space="preserve">Radiology KOL meeting with a large exhibition. KCR 2026 moved to KINTEX for the first time in 20 years.</t>
  </si>
  <si>
    <t xml:space="preserve">Confirmed at KCR 2026: GE HealthCare luncheon symposium. Samsung Medison, Philips, Canon expected.</t>
  </si>
  <si>
    <t xml:space="preserve">Confirmed for GE (2026). Others likely.</t>
  </si>
  <si>
    <t xml:space="preserve">KCR 2026: 2,135 abstracts submitted (press)</t>
  </si>
  <si>
    <t xml:space="preserve">Exhibitor call normally opens in spring.</t>
  </si>
  <si>
    <t xml:space="preserve">Ask KCR secretariat in March 2027 for the exhibitor guide.</t>
  </si>
  <si>
    <t xml:space="preserve">https://www.radiology.or.kr/</t>
  </si>
  <si>
    <t xml:space="preserve">KSC Autumn Scientific Meeting 2027 (71st, Korean Society of Cardiology)</t>
  </si>
  <si>
    <t xml:space="preserve">October 2027 (not published)</t>
  </si>
  <si>
    <t xml:space="preserve">TBC. Annual pattern: mid October (70th was 15 to 17 Oct 2026, Seoul)</t>
  </si>
  <si>
    <t xml:space="preserve">Seoul (2026 reported at Walkerhill)</t>
  </si>
  <si>
    <t xml:space="preserve">Largest Korean cardiology meeting.</t>
  </si>
  <si>
    <t xml:space="preserve">Large (est. over 5,000)</t>
  </si>
  <si>
    <t xml:space="preserve">Check in spring 2027.</t>
  </si>
  <si>
    <t xml:space="preserve">KSUOG 2027 International Congress (Korean Society of Ultrasound in Obstetrics and Gynecology)</t>
  </si>
  <si>
    <t xml:space="preserve">TBC. Annual pattern: late October (2026 is 30 to 31 Oct, Grand Hyatt Incheon)</t>
  </si>
  <si>
    <t xml:space="preserve">Incheon or Seoul (unconfirmed)</t>
  </si>
  <si>
    <t xml:space="preserve">Society international congress</t>
  </si>
  <si>
    <t xml:space="preserve">OB/GYN ultrasound KOLs. Samsung Medison is strong here, so use for KOL contacts, not dealers.</t>
  </si>
  <si>
    <t xml:space="preserve">Expected, not verified: Samsung Medison, GE HealthCare expected.</t>
  </si>
  <si>
    <t xml:space="preserve">Check ksuog.or.kr in mid 2027.</t>
  </si>
  <si>
    <t xml:space="preserve">https://ksuog.or.kr/</t>
  </si>
  <si>
    <t xml:space="preserve">KSOG Autumn Congress 2027 (Korean Society of Obstetrics and Gynecology)</t>
  </si>
  <si>
    <t xml:space="preserve">12 to 13 Nov 2027</t>
  </si>
  <si>
    <t xml:space="preserve">Confirmed in KSOG schedule</t>
  </si>
  <si>
    <t xml:space="preserve">OB/GYN</t>
  </si>
  <si>
    <t xml:space="preserve">Large OB/GYN meeting. At the 111th (2025) congress Samsung was listed as a Gold sponsor, so Samsung owns this room.</t>
  </si>
  <si>
    <t xml:space="preserve">Samsung (Gold sponsor tier on the 111th congress page, image file names). Others unverified.</t>
  </si>
  <si>
    <t xml:space="preserve">Partly confirmed (Samsung, prior edition).</t>
  </si>
  <si>
    <t xml:space="preserve">Large (est. over 3,000)</t>
  </si>
  <si>
    <t xml:space="preserve">Request sponsor guide in summer 2027. Consider only if budget allows after KSUM.</t>
  </si>
  <si>
    <t xml:space="preserve">https://ksog.org/bbs/?category=1&amp;code=schedule2</t>
  </si>
  <si>
    <t xml:space="preserve">KSE 2027, 62nd Korean Society of Echocardiography Autumn Meeting</t>
  </si>
  <si>
    <t xml:space="preserve">TBC. Annual pattern: early December (61st is 5 to 6 Dec 2026)</t>
  </si>
  <si>
    <t xml:space="preserve">Seoul (2026 at Grand Walkerhill)</t>
  </si>
  <si>
    <t xml:space="preserve">Same audience as KSE 2026. Falls at the end of the window.</t>
  </si>
  <si>
    <t xml:space="preserve">Expected, not verified: Samsung Medison, GE HealthCare, Philips expected.</t>
  </si>
  <si>
    <t xml:space="preserve">Decide after attending KSE 2026.</t>
  </si>
  <si>
    <t xml:space="preserve">https://www.ksecho.org/</t>
  </si>
  <si>
    <t xml:space="preserve">Society regional meeting</t>
  </si>
  <si>
    <t xml:space="preserve">General ultrasound (abdomen, breast, vascular)</t>
  </si>
  <si>
    <t xml:space="preserve">One of the first events inside the window. Seeds KOL contact with Kansai ultrasound physicians and sonographers. Demo slot for SonoMax and SonoBook.</t>
  </si>
  <si>
    <t xml:space="preserve">Expected, not verified: Fujifilm (ex Hitachi ultrasound), Canon Medical, GE HealthCare, Philips Japan, Siemens Healthineers. Mindray and SonoScape: no Japan exhibitor evidence found. Samsung Medison: no direct Japan sales found (sold via Hitachi in 2017).</t>
  </si>
  <si>
    <t xml:space="preserve">Likely. The meeting notice (us53kansai intent PDF) has a corporate exhibition item, but no exhibitor names.</t>
  </si>
  <si>
    <t xml:space="preserve">Regional medical equipment trading houses and Fujifilm or Canon sales agents. Cross check against Japan_Distributor_List_Human_v1.xlsx in this repo.</t>
  </si>
  <si>
    <t xml:space="preserve">Regional meeting, several hundred delegates (est.)</t>
  </si>
  <si>
    <t xml:space="preserve">Corporate exhibition terms not found. Event is 7 weeks away, so ask the secretariat this week.</t>
  </si>
  <si>
    <t xml:space="preserve">Email the secretariat for the exhibitor form. If closed, attend as a visitor and map Kansai KOLs and dealers.</t>
  </si>
  <si>
    <t xml:space="preserve">JSUM Diagnostic Ultrasound Seminar, General</t>
  </si>
  <si>
    <t xml:space="preserve">23 Jan 2027</t>
  </si>
  <si>
    <t xml:space="preserve">Knowledge Capital Conference Room, Osaka</t>
  </si>
  <si>
    <t xml:space="preserve">Society CME seminar</t>
  </si>
  <si>
    <t xml:space="preserve">General ultrasound training</t>
  </si>
  <si>
    <t xml:space="preserve">Hands on teaching seminar. Instructors are future KOLs. Possible equipment loan for the practical session.</t>
  </si>
  <si>
    <t xml:space="preserve">Unverified. Seminar format, vendor presence not documented.</t>
  </si>
  <si>
    <t xml:space="preserve">Low. Educational audience.</t>
  </si>
  <si>
    <t xml:space="preserve">Seminar, under 300 (est.)</t>
  </si>
  <si>
    <t xml:space="preserve">Ask JSUM office whether vendors can lend devices for the practical session.</t>
  </si>
  <si>
    <t xml:space="preserve">https://www.jsum.or.jp/members/calendar/2027/</t>
  </si>
  <si>
    <t xml:space="preserve">Medical Messe 2027 Nagoya</t>
  </si>
  <si>
    <t xml:space="preserve">17 to 18 Feb 2027</t>
  </si>
  <si>
    <t xml:space="preserve">STATION Ai, Nagoya</t>
  </si>
  <si>
    <t xml:space="preserve">Regional trade fair and business matching</t>
  </si>
  <si>
    <t xml:space="preserve">Medical devices (Aichi and Chubu cluster)</t>
  </si>
  <si>
    <t xml:space="preserve">Local device makers and dealers in the Chubu region. Small, but a cheap way to meet Chubu dealers.</t>
  </si>
  <si>
    <t xml:space="preserve">Not documented. Mostly regional device makers.</t>
  </si>
  <si>
    <t xml:space="preserve">Chubu region dealers and device makers.</t>
  </si>
  <si>
    <t xml:space="preserve">2 day regional show, size not published</t>
  </si>
  <si>
    <t xml:space="preserve">Not published. Exhibitor applications have opened.</t>
  </si>
  <si>
    <t xml:space="preserve">Exhibitor applications open now. Closing date not found.</t>
  </si>
  <si>
    <t xml:space="preserve">Visit as a buyer to scout Chubu dealers. Only exhibit if a dealer partner asks.</t>
  </si>
  <si>
    <t xml:space="preserve">https://www.nagoya-cci.or.jp/koho/news-release/pr/newsrelease20260818_19.pdf</t>
  </si>
  <si>
    <t xml:space="preserve">JSUM Diagnostic Ultrasound Seminar, Breast</t>
  </si>
  <si>
    <t xml:space="preserve">21 Feb 2027</t>
  </si>
  <si>
    <t xml:space="preserve">Otemachi Sankei Plaza, Chiyoda, Tokyo</t>
  </si>
  <si>
    <t xml:space="preserve">Breast ultrasound</t>
  </si>
  <si>
    <t xml:space="preserve">Breast ultrasound teaching day. Useful for elastography and breast probe positioning.</t>
  </si>
  <si>
    <t xml:space="preserve">Low.</t>
  </si>
  <si>
    <t xml:space="preserve">Attend if in Tokyo. Collect names of breast ultrasound instructors.</t>
  </si>
  <si>
    <t xml:space="preserve">JSUM Diagnostic Ultrasound Seminar, Digestive Organs</t>
  </si>
  <si>
    <t xml:space="preserve">6 Mar 2027</t>
  </si>
  <si>
    <t xml:space="preserve">Confirmed (JSUM lists venue as tentative)</t>
  </si>
  <si>
    <t xml:space="preserve">Okinawa (venue tentative)</t>
  </si>
  <si>
    <t xml:space="preserve">Abdominal ultrasound</t>
  </si>
  <si>
    <t xml:space="preserve">Abdominal teaching day for physicians and sonographers.</t>
  </si>
  <si>
    <t xml:space="preserve">Low priority. Check venue again in January.</t>
  </si>
  <si>
    <t xml:space="preserve">JSUM Tohoku 73rd Regional Meeting and 51st Seminar</t>
  </si>
  <si>
    <t xml:space="preserve">7 Mar 2027</t>
  </si>
  <si>
    <t xml:space="preserve">Sendai SME Activation Center Multipurpose Hall, Sendai</t>
  </si>
  <si>
    <t xml:space="preserve">General ultrasound</t>
  </si>
  <si>
    <t xml:space="preserve">Tohoku region KOL and dealer access.</t>
  </si>
  <si>
    <t xml:space="preserve">Tohoku regional dealers.</t>
  </si>
  <si>
    <t xml:space="preserve">Regional meeting, a few hundred (est.)</t>
  </si>
  <si>
    <t xml:space="preserve">Attend only if a Tohoku dealer visit is planned for the same week.</t>
  </si>
  <si>
    <t xml:space="preserve">JCS 2027, 91st Japanese Circulation Society Annual Meeting (with APSC 2027)</t>
  </si>
  <si>
    <t xml:space="preserve">26 to 28 Mar 2027</t>
  </si>
  <si>
    <t xml:space="preserve">Pacifico Yokohama, Yokohama</t>
  </si>
  <si>
    <t xml:space="preserve">Cardiology, echocardiography</t>
  </si>
  <si>
    <t xml:space="preserve">Largest Japanese cardiology meeting. Cardiac echo is the hardest segment to enter, but KOL exposure is strong. Position SonoMax or XBit for general cardiology and SonoEye for bedside use.</t>
  </si>
  <si>
    <t xml:space="preserve">Expected, not verified: GE HealthCare (Vivid), Philips, Canon, Fujifilm, Siemens expected.</t>
  </si>
  <si>
    <t xml:space="preserve">Likely. GE Japan runs Vivid Talks events; no 2027 exhibitor list yet.</t>
  </si>
  <si>
    <t xml:space="preserve">Very large national congress (est. over 10,000)</t>
  </si>
  <si>
    <t xml:space="preserve">Exhibitor and seminar sponsor terms not found. Typically open about 6 months ahead, so ask now.</t>
  </si>
  <si>
    <t xml:space="preserve">Request the exhibitor prospectus. Decide visit versus booth by December.</t>
  </si>
  <si>
    <t xml:space="preserve">https://www.congre.co.jp/jcs2027/</t>
  </si>
  <si>
    <t xml:space="preserve">JRC 2027, 86th Japan Radiological Society Annual Meeting, with ITEM 2027</t>
  </si>
  <si>
    <t xml:space="preserve">15 to 18 Apr 2027</t>
  </si>
  <si>
    <t xml:space="preserve">Confirmed for JRS meeting. ITEM 2027 dates TBC (ITEM 2026 ran 17 to 19 Apr 2026)</t>
  </si>
  <si>
    <t xml:space="preserve">National congress plus trade exhibition</t>
  </si>
  <si>
    <t xml:space="preserve">Diagnostic imaging, radiology, medical imaging industry</t>
  </si>
  <si>
    <t xml:space="preserve">Japan's #1 imaging event. ITEM is the dealer and OEM floor, JRS is the radiology KOL meeting. Best single trip for both objectives.</t>
  </si>
  <si>
    <t xml:space="preserve">Confirmed at ITEM 2026: Siemens Healthineers, Canon, Fujifilm listed. GE HealthCare exhibited at ITEM 2025. Philips expected. Mindray, SonoScape, Samsung: not found.</t>
  </si>
  <si>
    <t xml:space="preserve">Confirmed from prior edition pages (Siemens flyer, Fujifilm booth page, GE Japan PDF).</t>
  </si>
  <si>
    <t xml:space="preserve">ITEM 2026: 153 exhibitors, 18,180 visitors (JIRA via Yakuji Nippo)</t>
  </si>
  <si>
    <t xml:space="preserve">Not published. JIRA sets terms.</t>
  </si>
  <si>
    <t xml:space="preserve">ITEM exhibitor application window not found. Past shows opened about 6 to 8 months ahead, so ask JIRA now.</t>
  </si>
  <si>
    <t xml:space="preserve">Contact JIRA (item.jira-net.or.jp) this month for exhibitor eligibility and fees. Plan KOL dinner during JRS.</t>
  </si>
  <si>
    <t xml:space="preserve">https://site2.convention.co.jp/jrs86/</t>
  </si>
  <si>
    <t xml:space="preserve">JSE 38th Japanese Society of Echocardiography Annual Meeting</t>
  </si>
  <si>
    <t xml:space="preserve">16 to 18 Apr 2027</t>
  </si>
  <si>
    <t xml:space="preserve">Hotel Buena Vista and Alpico Plaza Hotel, Matsumoto, Nagano</t>
  </si>
  <si>
    <t xml:space="preserve">Echo specialists and cardiac sonographers. Overlaps with JRC dates, so choose one.</t>
  </si>
  <si>
    <t xml:space="preserve">Expected, not verified: GE HealthCare, Philips, Canon, Fujifilm expected.</t>
  </si>
  <si>
    <t xml:space="preserve">Likely, not verified. Vendor seminars are normal at echo society meetings.</t>
  </si>
  <si>
    <t xml:space="preserve">About 2,000 delegates (est.)</t>
  </si>
  <si>
    <t xml:space="preserve">Not published. Site opened 18 May 2026.</t>
  </si>
  <si>
    <t xml:space="preserve">Skip unless a cardiac KOL introduction is arranged. Clashes with JRC 2027.</t>
  </si>
  <si>
    <t xml:space="preserve">https://www.jse.gr.jp/</t>
  </si>
  <si>
    <t xml:space="preserve">32nd Japan Medical Congress 2027 Osaka, academic exhibition</t>
  </si>
  <si>
    <t xml:space="preserve">22 to 25 Apr 2027 (public exhibition at Umekita 20 to 28 Mar 2027)</t>
  </si>
  <si>
    <t xml:space="preserve">Confirmed (exhibition dates). Lectures 23 to 25 Apr</t>
  </si>
  <si>
    <t xml:space="preserve">Nakanoshima area, Osaka (Osaka International Convention Center, Regal Royal Hotel Osaka and others)</t>
  </si>
  <si>
    <t xml:space="preserve">Multi specialty national congress, held every 4 years</t>
  </si>
  <si>
    <t xml:space="preserve">All specialties (JAMS member societies)</t>
  </si>
  <si>
    <t xml:space="preserve">Once in four years. Reaches physicians from every Japan medical society in one place. Strong KOL discovery and publicity value.</t>
  </si>
  <si>
    <t xml:space="preserve">Unverified. Exhibition is branded as an information exchange space.</t>
  </si>
  <si>
    <t xml:space="preserve">Very large (est. tens of thousands)</t>
  </si>
  <si>
    <t xml:space="preserve">Not found.</t>
  </si>
  <si>
    <t xml:space="preserve">Exhibitor terms not found on the site. Ask the exhibition committee.</t>
  </si>
  <si>
    <t xml:space="preserve">Confirm whether foreign OEMs or dealers can exhibit. Upgrade to P1 if a booth path exists.</t>
  </si>
  <si>
    <t xml:space="preserve">https://isoukai2027.jp/index.html</t>
  </si>
  <si>
    <t xml:space="preserve">JSOG 79th Japan Society of Obstetrics and Gynecology Annual Meeting</t>
  </si>
  <si>
    <t xml:space="preserve">23 to 25 Apr 2027</t>
  </si>
  <si>
    <t xml:space="preserve">Pacifico Yokohama North, Exhibition Hall D, Yokohama</t>
  </si>
  <si>
    <t xml:space="preserve">OB/GYN is a core ultrasound segment. Large exhibition hall and many private clinic owners who buy their own systems.</t>
  </si>
  <si>
    <t xml:space="preserve">Expected, not verified: GE HealthCare (Voluson), Fujifilm, Canon, Philips, Samsung Medison (OB focus) expected.</t>
  </si>
  <si>
    <t xml:space="preserve">Likely. Exhibition Hall D is booked, no exhibitor list yet.</t>
  </si>
  <si>
    <t xml:space="preserve">Large national congress (est. over 5,000)</t>
  </si>
  <si>
    <t xml:space="preserve">Not published. Check the organiser (Congre) exhibitor page.</t>
  </si>
  <si>
    <t xml:space="preserve">Request exhibitor prospectus. Private clinic buyers make this a dealer lead source.</t>
  </si>
  <si>
    <t xml:space="preserve">https://www.congre.co.jp/jsog2027/</t>
  </si>
  <si>
    <t xml:space="preserve">JOA 100th Japanese Orthopaedic Association Annual Meeting</t>
  </si>
  <si>
    <t xml:space="preserve">13 to 16 May 2027</t>
  </si>
  <si>
    <t xml:space="preserve">Confirmed per organiser site. One JOA schedule PDF shows 15 to 16 Jul 2027 Sapporo, which conflicts</t>
  </si>
  <si>
    <t xml:space="preserve">Pacifico Yokohama (Conference Center, Exhibition Hall, Annex Hall)</t>
  </si>
  <si>
    <t xml:space="preserve">National congress (100th anniversary)</t>
  </si>
  <si>
    <t xml:space="preserve">Musculoskeletal ultrasound</t>
  </si>
  <si>
    <t xml:space="preserve">MSK and sports medicine ultrasound is growing fast. Handheld and portable models fit orthopaedic clinics.</t>
  </si>
  <si>
    <t xml:space="preserve">Expected, not verified: Fujifilm (Sonosite), GE HealthCare, Canon expected. Others unverified.</t>
  </si>
  <si>
    <t xml:space="preserve">Very large (est. over 10,000)</t>
  </si>
  <si>
    <t xml:space="preserve">Trust the organiser site. Confirm date again in January.</t>
  </si>
  <si>
    <t xml:space="preserve">https://www.congre.co.jp/joa2027/</t>
  </si>
  <si>
    <t xml:space="preserve">JSUM 100th Annual Meeting of the Japan Society of Ultrasonics in Medicine (with JABTS spring meeting)</t>
  </si>
  <si>
    <t xml:space="preserve">28 to 30 May 2027</t>
  </si>
  <si>
    <t xml:space="preserve">Omiya Sonic City, Saitama</t>
  </si>
  <si>
    <t xml:space="preserve">The top ultrasound congress in Japan and the 100th meeting. Highest KOL density for CHISON. Co located with the 4th JABTS (breast and thyroid) spring meeting.</t>
  </si>
  <si>
    <t xml:space="preserve">Confirmed at JSUM 2026: Fujifilm ran a luncheon seminar. GE HealthCare (label GEHC) appears in the JSUM99 programme listing (role not confirmed). Philips, Canon expected. Mindray, SonoScape, Samsung: not found.</t>
  </si>
  <si>
    <t xml:space="preserve">Partly confirmed from the 2026 edition. Full exhibitor list not retrieved.</t>
  </si>
  <si>
    <t xml:space="preserve">Large national congress (est. 4,000 to 6,000)</t>
  </si>
  <si>
    <t xml:space="preserve">Exhibitor application not published yet. Past JSUM meetings opened exhibitor calls about 6 months ahead. Ask the secretariat in November.</t>
  </si>
  <si>
    <t xml:space="preserve">Priority 1. Request exhibitor and seminar prospectus. Plan KOL meetings with committee members.</t>
  </si>
  <si>
    <t xml:space="preserve">JSA 74th Japanese Society of Anesthesiologists Annual Meeting</t>
  </si>
  <si>
    <t xml:space="preserve">3 to 5 Jun 2027</t>
  </si>
  <si>
    <t xml:space="preserve">Kobe Portopia Hotel, Kobe International Exhibition Hall, Kobe International Conference Center</t>
  </si>
  <si>
    <t xml:space="preserve">Anaesthesia, ultrasound guided nerve block</t>
  </si>
  <si>
    <t xml:space="preserve">Nerve block ultrasound is a growth niche for portable and handheld systems (SonoBook, SonoEye).</t>
  </si>
  <si>
    <t xml:space="preserve">Expected, not verified: Fujifilm (Sonosite), GE HealthCare, Canon expected.</t>
  </si>
  <si>
    <t xml:space="preserve">Request prospectus. Pair with Kobe and Osaka dealer visits.</t>
  </si>
  <si>
    <t xml:space="preserve">https://medical.nikkeibp.co.jp/inc/all/gakkai/calendar/42.html</t>
  </si>
  <si>
    <t xml:space="preserve">JSS 52nd Japan Society of Sonographers Annual Meeting</t>
  </si>
  <si>
    <t xml:space="preserve">19 to 20 Jun 2027</t>
  </si>
  <si>
    <t xml:space="preserve">Asty Tokushima, Tokushima</t>
  </si>
  <si>
    <t xml:space="preserve">Society annual meeting (sonographers)</t>
  </si>
  <si>
    <t xml:space="preserve">Clinical sonographers, all organs</t>
  </si>
  <si>
    <t xml:space="preserve">Sonographers are the daily users who influence purchase. The society publishes sponsorship documents for seminars and exhibits, so a vendor path exists.</t>
  </si>
  <si>
    <t xml:space="preserve">Confirmed at JSS49 in 2024: Philips Japan co hosted a seminar and had a device exhibition. Others unverified.</t>
  </si>
  <si>
    <t xml:space="preserve">Confirmed for Philips (prior edition). Others unverified.</t>
  </si>
  <si>
    <t xml:space="preserve">About 3,000 to 4,000 (est.)</t>
  </si>
  <si>
    <t xml:space="preserve">Not published. Sponsorship PDFs exist for the 48th and 50th meetings.</t>
  </si>
  <si>
    <t xml:space="preserve">Sponsorship booklet for the 52nd meeting not found. Ask the secretariat in November.</t>
  </si>
  <si>
    <t xml:space="preserve">Request the sponsorship booklet. A hands on or satellite session is the cheapest way to get probes into sonographers' hands.</t>
  </si>
  <si>
    <t xml:space="preserve">https://c-lef.co.jp/jss52/outline/index.html</t>
  </si>
  <si>
    <t xml:space="preserve">JBCS 35th Japan Breast Cancer Society Annual Meeting</t>
  </si>
  <si>
    <t xml:space="preserve">Kumamoto Castle Hall, Shimin Kaikan Shears Home Yume Hall, Kumamoto International Exchange Hall, Kumamoto</t>
  </si>
  <si>
    <t xml:space="preserve">Breast cancer, breast ultrasound</t>
  </si>
  <si>
    <t xml:space="preserve">Breast surgeons are major ultrasound buyers. Pair with JABTS in September.</t>
  </si>
  <si>
    <t xml:space="preserve">Expected, not verified: Fujifilm, Canon, GE HealthCare expected.</t>
  </si>
  <si>
    <t xml:space="preserve">Request prospectus. Kyushu dealer visit can be bundled.</t>
  </si>
  <si>
    <t xml:space="preserve">https://www.c-linkage.co.jp/jbcs2027/</t>
  </si>
  <si>
    <t xml:space="preserve">International Modern Hospital Show (IMHS) 2027</t>
  </si>
  <si>
    <t xml:space="preserve">July 2027 (date not published)</t>
  </si>
  <si>
    <t xml:space="preserve">TBC. Annual pattern: mid July (2026 was 8 to 10 Jul, 2025 was 16 to 18 Jul)</t>
  </si>
  <si>
    <t xml:space="preserve">Tokyo Big Sight West Halls, Tokyo</t>
  </si>
  <si>
    <t xml:space="preserve">Hospital trade show</t>
  </si>
  <si>
    <t xml:space="preserve">Hospital equipment, IT, medical devices</t>
  </si>
  <si>
    <t xml:space="preserve">Hospital purchasing audience, run by the Japan Hospital Association. Good for dealer and system integrator contacts.</t>
  </si>
  <si>
    <t xml:space="preserve">Mostly hospital IT and facility firms. Imaging OEMs not confirmed.</t>
  </si>
  <si>
    <t xml:space="preserve">Hospital system integrators and equipment dealers.</t>
  </si>
  <si>
    <t xml:space="preserve">2026: 300 exhibitors planned, 35,316 visitors (organiser report)</t>
  </si>
  <si>
    <t xml:space="preserve">Exhibitor call for the 2026 show opened about a year ahead. Expect the 2027 call from late 2026.</t>
  </si>
  <si>
    <t xml:space="preserve">Check noma-hs.com in December. Visit as buyer for dealer scouting.</t>
  </si>
  <si>
    <t xml:space="preserve">https://www.noma-hs.com/</t>
  </si>
  <si>
    <t xml:space="preserve">Japan Society of Ningen Dock and Preventive Medicine 68th Annual Meeting</t>
  </si>
  <si>
    <t xml:space="preserve">3 to 4 Sep 2027</t>
  </si>
  <si>
    <t xml:space="preserve">Planned per the society's 2025 organiser tender. Not yet confirmed by the congress site</t>
  </si>
  <si>
    <t xml:space="preserve">Grand Cube Osaka, Osaka</t>
  </si>
  <si>
    <t xml:space="preserve">Health check centres, abdominal and vascular screening</t>
  </si>
  <si>
    <t xml:space="preserve">Health screening centres buy abdominal and carotid ultrasound in volume. A direct buyer audience.</t>
  </si>
  <si>
    <t xml:space="preserve">Fujifilm has an event page for the 67th meeting (Sep 2026, Kumamoto). Others unverified.</t>
  </si>
  <si>
    <t xml:space="preserve">Confirmed for Fujifilm (prior edition). Others unverified.</t>
  </si>
  <si>
    <t xml:space="preserve">Dealers that supply health check centres.</t>
  </si>
  <si>
    <t xml:space="preserve">Several thousand (est.)</t>
  </si>
  <si>
    <t xml:space="preserve">Verify the date in January. Good venue for a screening focused demo.</t>
  </si>
  <si>
    <t xml:space="preserve">https://www.ningen-dock.jp/</t>
  </si>
  <si>
    <t xml:space="preserve">JABTS 55th Japan Association of Breast and Thyroid Sonology Annual Meeting</t>
  </si>
  <si>
    <t xml:space="preserve">18 to 19 Sep 2027</t>
  </si>
  <si>
    <t xml:space="preserve">Confirmed (dates). Venue TBC</t>
  </si>
  <si>
    <t xml:space="preserve">Gifu (venue not published)</t>
  </si>
  <si>
    <t xml:space="preserve">Breast and thyroid ultrasound</t>
  </si>
  <si>
    <t xml:space="preserve">Specialist ultrasound audience. Previous meetings had vendor seminars.</t>
  </si>
  <si>
    <t xml:space="preserve">About 1,500 (est.)</t>
  </si>
  <si>
    <t xml:space="preserve">Request the sponsorship guide in spring 2027.</t>
  </si>
  <si>
    <t xml:space="preserve">https://jabts.jp/jabtsgakujutsushunki/gakujutushukai/</t>
  </si>
  <si>
    <t xml:space="preserve">JSUM autumn regional meetings 2027 (Kanto Koshinetsu, Chubu, Chugoku, Kyushu, Shikoku, Hokkaido, Tohoku)</t>
  </si>
  <si>
    <t xml:space="preserve">Sep to Oct 2027 (dates not published)</t>
  </si>
  <si>
    <t xml:space="preserve">TBC. Annual pattern: September to October (2026 ran 5 Sep to 17 Oct)</t>
  </si>
  <si>
    <t xml:space="preserve">Rotating cities across Japan</t>
  </si>
  <si>
    <t xml:space="preserve">Society regional meetings</t>
  </si>
  <si>
    <t xml:space="preserve">Seven regional meetings. Good for building a dealer and KOL map outside Tokyo and Osaka.</t>
  </si>
  <si>
    <t xml:space="preserve">Regional, a few hundred each (est.)</t>
  </si>
  <si>
    <t xml:space="preserve">Check the JSUM calendar in spring 2027 and pick two regions near target dealers.</t>
  </si>
  <si>
    <t xml:space="preserve">Medical Japan Osaka 2027</t>
  </si>
  <si>
    <t xml:space="preserve">29 Sep to 1 Oct 2027</t>
  </si>
  <si>
    <t xml:space="preserve">INTEX Osaka, Osaka</t>
  </si>
  <si>
    <t xml:space="preserve">Trade exhibition (13th edition, organised by RX Japan)</t>
  </si>
  <si>
    <t xml:space="preserve">Medical devices, hospital and care equipment</t>
  </si>
  <si>
    <t xml:space="preserve">Open commercial show. Many overseas OEMs exhibit, and dealers visit to find new brands. Best Japan show for distributor recruitment.</t>
  </si>
  <si>
    <t xml:space="preserve">Not documented. Chinese and Korean OEMs usually exhibit at RX Japan shows.</t>
  </si>
  <si>
    <t xml:space="preserve">Japanese dealers looking for new overseas brands.</t>
  </si>
  <si>
    <t xml:space="preserve">Several hundred exhibitors (est.)</t>
  </si>
  <si>
    <t xml:space="preserve">Not published. RX Japan sells booths.</t>
  </si>
  <si>
    <t xml:space="preserve">Booth sales are open. Space is normally sold in tiers until about 3 months ahead.</t>
  </si>
  <si>
    <t xml:space="preserve">Priority for distributor search. Ask RX Japan for the 2026 exhibitor list to see which OEMs return.</t>
  </si>
  <si>
    <t xml:space="preserve">https://medical-jpn.jp/osaka/en-gb.html</t>
  </si>
  <si>
    <t xml:space="preserve">JDDW 2027, 35th Japan Digestive Disease Week</t>
  </si>
  <si>
    <t xml:space="preserve">28 to 30 Oct 2027</t>
  </si>
  <si>
    <t xml:space="preserve">Kobe Convention Center and other Kobe venues, Kobe</t>
  </si>
  <si>
    <t xml:space="preserve">National congress (5 societies together)</t>
  </si>
  <si>
    <t xml:space="preserve">Gastroenterology, hepatology, abdominal ultrasound, elastography</t>
  </si>
  <si>
    <t xml:space="preserve">Hepatology and GI ultrasound with liver fibrosis and fat quantification. Big hybrid meeting.</t>
  </si>
  <si>
    <t xml:space="preserve">Expected, not verified: Fujifilm, Canon, GE HealthCare, Philips expected. JDDW publishes exhibition PDFs each year.</t>
  </si>
  <si>
    <t xml:space="preserve">Likely. exhibition PDF exists for JDDW 2026, 2025, 2024.</t>
  </si>
  <si>
    <t xml:space="preserve">Very large (est. over 20,000)</t>
  </si>
  <si>
    <t xml:space="preserve">Exhibition PDFs are published about 6 months ahead. Ask JDDW office.</t>
  </si>
  <si>
    <t xml:space="preserve">Request the 2027 exhibition guide in spring 2027.</t>
  </si>
  <si>
    <t xml:space="preserve">https://www.jddw.jp/jddw2027/index.html</t>
  </si>
  <si>
    <t xml:space="preserve">HOSPEX Japan 2027</t>
  </si>
  <si>
    <t xml:space="preserve">November 2027 (date not published)</t>
  </si>
  <si>
    <t xml:space="preserve">TBC. Annual pattern: mid to late November (2026 is 18 to 20 Nov, before the window)</t>
  </si>
  <si>
    <t xml:space="preserve">Hospital equipment trade show</t>
  </si>
  <si>
    <t xml:space="preserve">Hospital facilities and equipment</t>
  </si>
  <si>
    <t xml:space="preserve">Hospital facility buyers. Imaging is a minor part of the floor.</t>
  </si>
  <si>
    <t xml:space="preserve">Hospital equipment dealers.</t>
  </si>
  <si>
    <t xml:space="preserve">Check jma.or.jp/hospex in mid 2027. Optional.</t>
  </si>
  <si>
    <t xml:space="preserve">https://www.jma.or.jp/hospex/</t>
  </si>
  <si>
    <t xml:space="preserve">CHISON Ultrasound Vet Event Plan | Singapore, Taiwan, South Korea, Japan | Dec 2026 to Dec 2027 | v1, prepared 25 Oct 2026</t>
  </si>
  <si>
    <t xml:space="preserve">SVA Small Animal Abdomen Ultrasound Workshop series (Singapore Veterinary Association)</t>
  </si>
  <si>
    <t xml:space="preserve">2027 (not published)</t>
  </si>
  <si>
    <t xml:space="preserve">TBC. Workshop notice on the SVA site; 2027 dates not published</t>
  </si>
  <si>
    <t xml:space="preserve">Singapore (venue not retrieved)</t>
  </si>
  <si>
    <t xml:space="preserve">Association workshop</t>
  </si>
  <si>
    <t xml:space="preserve">Small animal abdominal ultrasound</t>
  </si>
  <si>
    <t xml:space="preserve">SVA workshops reach the working vets in Singapore. Equipment loan again.</t>
  </si>
  <si>
    <t xml:space="preserve">SVA corporate members.</t>
  </si>
  <si>
    <t xml:space="preserve">Small</t>
  </si>
  <si>
    <t xml:space="preserve">Not retrieved.</t>
  </si>
  <si>
    <t xml:space="preserve">Contact the SVA secretariat about sponsor or equipment support.</t>
  </si>
  <si>
    <t xml:space="preserve">https://sva.org.sg/news/small-animal-abdomen-ultrasound-workshop/</t>
  </si>
  <si>
    <t xml:space="preserve">Temasek Polytechnic and Singapore Veterinary Imaging (SVI) vet ultrasound courses, supported by the Singapore Veterinary Association</t>
  </si>
  <si>
    <t xml:space="preserve">2027 intake (dates not published)</t>
  </si>
  <si>
    <t xml:space="preserve">TBC. Course run is announced on the SVA site without dates</t>
  </si>
  <si>
    <t xml:space="preserve">Temasek Polytechnic, Singapore (course page)</t>
  </si>
  <si>
    <t xml:space="preserve">Part time vet ultrasound courses</t>
  </si>
  <si>
    <t xml:space="preserve">Small animal abdominal and cardiac ultrasound</t>
  </si>
  <si>
    <t xml:space="preserve">Beginner to advanced vet ultrasound training for Singapore vets, subsidised for citizens and PRs. Scanner supply for hands on days is the opening.</t>
  </si>
  <si>
    <t xml:space="preserve">SVI and local vet suppliers.</t>
  </si>
  <si>
    <t xml:space="preserve">Small classes</t>
  </si>
  <si>
    <t xml:space="preserve">Subsidised course fee (amount not retrieved)</t>
  </si>
  <si>
    <t xml:space="preserve">Course intake dates not published.</t>
  </si>
  <si>
    <t xml:space="preserve">Ask SVI and the SVA who supplies the scanners and whether CHISON can lend units.</t>
  </si>
  <si>
    <t xml:space="preserve">https://sva.org.sg/news/tp-svi-small-animal-vet-ultrasound-courses/</t>
  </si>
  <si>
    <t xml:space="preserve">PetExpo Singapore 2027 (13th)</t>
  </si>
  <si>
    <t xml:space="preserve">9 to 11 Apr 2027</t>
  </si>
  <si>
    <t xml:space="preserve">Official site shows 9 to 11 Apr. Some listings show 2 to 4 Apr, so verify</t>
  </si>
  <si>
    <t xml:space="preserve">Singapore EXPO Halls 5B and 6, Singapore</t>
  </si>
  <si>
    <t xml:space="preserve">Pet industry show (mostly consumer)</t>
  </si>
  <si>
    <t xml:space="preserve">Pets, pet products, services</t>
  </si>
  <si>
    <t xml:space="preserve">Consumer focused. Pet clinics and suppliers exhibit. Dealer contact value only.</t>
  </si>
  <si>
    <t xml:space="preserve">Local vet equipment suppliers and regional ASEAN vet distributors who attend the Singapore Vet Show.</t>
  </si>
  <si>
    <t xml:space="preserve">Optional. Verify dates.</t>
  </si>
  <si>
    <t xml:space="preserve">https://petexposg.com/</t>
  </si>
  <si>
    <t xml:space="preserve">Vetducate Singapore introductory ultrasound workshop</t>
  </si>
  <si>
    <t xml:space="preserve">TBC. One day in person workshop; 2027 date not on the page</t>
  </si>
  <si>
    <t xml:space="preserve">Commercial CE workshop</t>
  </si>
  <si>
    <t xml:space="preserve">Basic vet ultrasound</t>
  </si>
  <si>
    <t xml:space="preserve">Early career vets, nurses and technicians learning ultrasound. Probe exposure for new users.</t>
  </si>
  <si>
    <t xml:space="preserve">Ask Vetducate which scanners are used.</t>
  </si>
  <si>
    <t xml:space="preserve">https://www.vetducate.com/product-page/foundations-in-ultrasonography</t>
  </si>
  <si>
    <t xml:space="preserve">SG Pet Festival 2027</t>
  </si>
  <si>
    <t xml:space="preserve">30 Jul to 1 Aug 2027</t>
  </si>
  <si>
    <t xml:space="preserve">Organiser homepage shows 30 Jul to 1 Aug 2027 (page also has stale text), treat as provisional</t>
  </si>
  <si>
    <t xml:space="preserve">Marina Bay Sands Convention Centre, Singapore</t>
  </si>
  <si>
    <t xml:space="preserve">Consumer pet expo</t>
  </si>
  <si>
    <t xml:space="preserve">Pets</t>
  </si>
  <si>
    <t xml:space="preserve">Consumer show: 216 booths, 400+ brands in 2024. No B2B or vet track found.</t>
  </si>
  <si>
    <t xml:space="preserve">2024: 216 booths</t>
  </si>
  <si>
    <t xml:space="preserve">Skip unless a vet clinic partner exhibits.</t>
  </si>
  <si>
    <t xml:space="preserve">https://www.sgpetfestival.com/</t>
  </si>
  <si>
    <t xml:space="preserve">SVA Annual Conference 2027 (Singapore Veterinary Association)</t>
  </si>
  <si>
    <t xml:space="preserve">TBC. The SVA advertised an Annual Conference for 2025; no 2027 date or venue found</t>
  </si>
  <si>
    <t xml:space="preserve">Singapore (venue not published)</t>
  </si>
  <si>
    <t xml:space="preserve">Association annual conference</t>
  </si>
  <si>
    <t xml:space="preserve">Small animal practice, continuing education</t>
  </si>
  <si>
    <t xml:space="preserve">The association of Singapore vets. Sponsor and exhibitor slots reach every practice owner in the country.</t>
  </si>
  <si>
    <t xml:space="preserve">Not documented for this event. Pretta Ultrasound exhibited at the Singapore Vet Show 2025. Other brands: unverified.</t>
  </si>
  <si>
    <t xml:space="preserve">Email the SVA secretariat for 2027 dates and sponsor options (sva.org.sg).</t>
  </si>
  <si>
    <t xml:space="preserve">https://sva.org.sg/about/</t>
  </si>
  <si>
    <t xml:space="preserve">Singapore Vet Show 2027 (CloserStill Media)</t>
  </si>
  <si>
    <t xml:space="preserve">Oct 2027 likely (not confirmed)</t>
  </si>
  <si>
    <t xml:space="preserve">TBC. Organiser page says new dates to be confirmed. A third party lists 24 to 25 Oct 2026; 2025 edition ran 24 to 25 Oct. Verify whether 2026 was held</t>
  </si>
  <si>
    <t xml:space="preserve">Suntec Singapore Convention and Exhibition Centre</t>
  </si>
  <si>
    <t xml:space="preserve">Conference led exhibition</t>
  </si>
  <si>
    <t xml:space="preserve">Small animal vets, clinical programme</t>
  </si>
  <si>
    <t xml:space="preserve">The only trade focused vet show in Singapore. Clinical programme for small animal vets, WSAVA education partnership reported. Best place to meet Singapore and ASEAN vet distributors.</t>
  </si>
  <si>
    <t xml:space="preserve">Pretta Ultrasound exhibited at the Singapore Vet Show 2025 (stand E30). Mindray, SonoScape, Esaote and other brands: unverified.</t>
  </si>
  <si>
    <t xml:space="preserve">Partly confirmed: Pretta Ultrasound at Singapore Vet Show 2025. Others unverified.</t>
  </si>
  <si>
    <t xml:space="preserve">Over 110 brands (organiser). Listings range from 80 to 262 exhibitors</t>
  </si>
  <si>
    <t xml:space="preserve">Not published. Contact singaporevet@closerstillmedia.com.</t>
  </si>
  <si>
    <t xml:space="preserve">Email CloserStill now to confirm the next dates and the exhibitor price list. A third party lists the 2026 show as 24 to 25 Oct 2026, which is this weekend. If it is running, visit it in person.</t>
  </si>
  <si>
    <t xml:space="preserve">https://www.vetshow.com/singapore-vet</t>
  </si>
  <si>
    <t xml:space="preserve">Healthcare+ Expo Taiwan 2026 (general medtech show, vet distributors attend)</t>
  </si>
  <si>
    <t xml:space="preserve">Medical devices (human). Vet importers visit</t>
  </si>
  <si>
    <t xml:space="preserve">No dedicated vet hall, but importers of vet equipment walk the floor. See the Diagnostics tab.</t>
  </si>
  <si>
    <t xml:space="preserve">ASUS and Daikso showed handheld and portable ultrasound at the 2025 edition.</t>
  </si>
  <si>
    <t xml:space="preserve">Partly confirmed (2025 edition).</t>
  </si>
  <si>
    <t xml:space="preserve">Uni Soar (GE vet series), Soarmed (VINNO), Eastech (Esaote), Getech (Philips cardiac), Vetsupply (Lilin, ultrasound category). These dealers already carry vet ultrasound from other brands, per their websites.</t>
  </si>
  <si>
    <t xml:space="preserve">Third party: 650+ exhibitors</t>
  </si>
  <si>
    <t xml:space="preserve">Exhibitor sales probably closed.</t>
  </si>
  <si>
    <t xml:space="preserve">Visit. Look for vet ultrasound importers.</t>
  </si>
  <si>
    <t xml:space="preserve">Confirmed per organiser</t>
  </si>
  <si>
    <t xml:space="preserve">Pet industry show (consumer and trade)</t>
  </si>
  <si>
    <t xml:space="preserve">Pet food, products, services, health care</t>
  </si>
  <si>
    <t xml:space="preserve">Southern Taiwan pet industry. Held next to the AiCVS and AiCVIM congress, so one Kaohsiung trip covers both.</t>
  </si>
  <si>
    <t xml:space="preserve">Not documented. No vet booths mentioned in the listing.</t>
  </si>
  <si>
    <t xml:space="preserve">Unverified. Exhibitor list for this edition is not published.</t>
  </si>
  <si>
    <t xml:space="preserve">Pet shops and pet clinic suppliers.</t>
  </si>
  <si>
    <t xml:space="preserve">150 to 300 brands (organiser, figures conflict)</t>
  </si>
  <si>
    <t xml:space="preserve">Closed for exhibitors.</t>
  </si>
  <si>
    <t xml:space="preserve">Optional. Walk it on 12 Dec if attending AiCVS.</t>
  </si>
  <si>
    <t xml:space="preserve">Specialist congress with sponsors</t>
  </si>
  <si>
    <t xml:space="preserve">Veterinary surgery and internal medicine (first joint meeting, first time in southern Taiwan)</t>
  </si>
  <si>
    <t xml:space="preserve">Specialist vets from across Asia. Hosts include the Taiwan College of Veterinary Surgeons, Kaohsiung Formosa Veterinary Clinical Medicine Association, Kaohsiung Veterinary Association and the Taiwan veterinary dermatology society. Only specialist vet event in Taiwan inside the window.</t>
  </si>
  <si>
    <t xml:space="preserve">Expected, not verified: Vet ultrasound brands shown on Taiwan distributor websites: GE vet series (Uni Soar), VINNO (Soarmed), Esaote (Eastech), Philips cardiac (Getech). Mindray, Samsung, SonoScape vet distributors in Taiwan: not found.</t>
  </si>
  <si>
    <t xml:space="preserve">Unverified. The site has a Main Sponsors section but names did not load.</t>
  </si>
  <si>
    <t xml:space="preserve">Event is 7 weeks away. Sponsor and exhibitor slots may still be open.</t>
  </si>
  <si>
    <t xml:space="preserve">Email the organiser (aicvs-aicvim2026.tw) this week. Offer a scanner for the imaging session.</t>
  </si>
  <si>
    <t xml:space="preserve">Taipei Veterinary Medical Association continuing education series 2027</t>
  </si>
  <si>
    <t xml:space="preserve">Through 2027 (dates not published)</t>
  </si>
  <si>
    <t xml:space="preserve">TBC. The association runs about 10 sessions a year (2026 session 11 was on 30 Oct)</t>
  </si>
  <si>
    <t xml:space="preserve">National Taiwan University, Taipei (typical)</t>
  </si>
  <si>
    <t xml:space="preserve">Local CE sessions</t>
  </si>
  <si>
    <t xml:space="preserve">Small animal practice</t>
  </si>
  <si>
    <t xml:space="preserve">Taipei practitioners. Small, but a way to offer scanner demos and meet clinic owners.</t>
  </si>
  <si>
    <t xml:space="preserve">Under 300 per session (est.)</t>
  </si>
  <si>
    <t xml:space="preserve">Ask the association about vendor demo slots (tpvma.org.tw).</t>
  </si>
  <si>
    <t xml:space="preserve">https://www.tpvma.org.tw/</t>
  </si>
  <si>
    <t xml:space="preserve">Taiwan Association of Veterinary Internal Medicine (TAVIM) academic events 2027</t>
  </si>
  <si>
    <t xml:space="preserve">TBC. 2026 lectures ran on 28 to 29 Mar</t>
  </si>
  <si>
    <t xml:space="preserve">Taiwan (venue not published)</t>
  </si>
  <si>
    <t xml:space="preserve">Specialist society lectures</t>
  </si>
  <si>
    <t xml:space="preserve">Veterinary internal medicine</t>
  </si>
  <si>
    <t xml:space="preserve">Internal medicine specialists decide on ultrasound brands for referral hospitals.</t>
  </si>
  <si>
    <t xml:space="preserve">Follow tavim.org and ask for sponsorship options.</t>
  </si>
  <si>
    <t xml:space="preserve">https://tavim.org/</t>
  </si>
  <si>
    <t xml:space="preserve">Chanchao Taichung Pets and Aquarium Show 2027</t>
  </si>
  <si>
    <t xml:space="preserve">14 to 17 May 2027</t>
  </si>
  <si>
    <t xml:space="preserve">Listed on a third party database. Verify with Chanchao</t>
  </si>
  <si>
    <t xml:space="preserve">Greater Taichung International Expo Center, Taichung</t>
  </si>
  <si>
    <t xml:space="preserve">Pet industry show</t>
  </si>
  <si>
    <t xml:space="preserve">Pets and aquarium</t>
  </si>
  <si>
    <t xml:space="preserve">Central Taiwan pet industry.</t>
  </si>
  <si>
    <t xml:space="preserve">Pet industry suppliers.</t>
  </si>
  <si>
    <t xml:space="preserve">https://www.eventseye.com/fairs/cst1_trade-shows_taiwan_pet-animals.html</t>
  </si>
  <si>
    <t xml:space="preserve">Taiwan College of Veterinary Surgeons (TCVS) continuing education events 2027</t>
  </si>
  <si>
    <t xml:space="preserve">TBC. The college runs events through the year; the 2026 joint congress is the anchor</t>
  </si>
  <si>
    <t xml:space="preserve">Specialist society events</t>
  </si>
  <si>
    <t xml:space="preserve">Veterinary surgery</t>
  </si>
  <si>
    <t xml:space="preserve">Surgeon KOLs. The college lists annual sponsors.</t>
  </si>
  <si>
    <t xml:space="preserve">Ask TCVS about annual sponsor tiers (tcvs.tw).</t>
  </si>
  <si>
    <t xml:space="preserve">https://www.tcvs.tw/</t>
  </si>
  <si>
    <t xml:space="preserve">Chanchao Kaohsiung Pets Show, 2027 editions (held twice a year)</t>
  </si>
  <si>
    <t xml:space="preserve">TBC. EventsEye lists the show as twice a year; the December edition is 11 Dec 2026</t>
  </si>
  <si>
    <t xml:space="preserve">Southern Taiwan pet industry.</t>
  </si>
  <si>
    <t xml:space="preserve">Medical Taiwan 2027 (general medtech show, vet distributors attend)</t>
  </si>
  <si>
    <t xml:space="preserve">Medical devices (human)</t>
  </si>
  <si>
    <t xml:space="preserve">See the Diagnostics tab. Vet importers visit.</t>
  </si>
  <si>
    <t xml:space="preserve">Visit.</t>
  </si>
  <si>
    <t xml:space="preserve">Chanchao Taipei Pets Show 2027</t>
  </si>
  <si>
    <t xml:space="preserve">July 2027 (not confirmed)</t>
  </si>
  <si>
    <t xml:space="preserve">TBC. Pattern: early July (2026 was 3 to 6 Jul, Nangang Hall 1). EventsEye lists July 2027 with a question mark</t>
  </si>
  <si>
    <t xml:space="preserve">Pets, pet health</t>
  </si>
  <si>
    <t xml:space="preserve">Largest Taiwan pet show; some vet suppliers exhibit.</t>
  </si>
  <si>
    <t xml:space="preserve">Optional. Check chanchao.com.tw.</t>
  </si>
  <si>
    <t xml:space="preserve">https://www.chanchao.com.tw/en/expoDetail.asp?id=AQP2026</t>
  </si>
  <si>
    <t xml:space="preserve">Chanchao Meow Expo 2027</t>
  </si>
  <si>
    <t xml:space="preserve">TBC. Pattern: October (2026 is 8 to 11 Oct)</t>
  </si>
  <si>
    <t xml:space="preserve">Taipei Nangang Exhibition Center, Taipei</t>
  </si>
  <si>
    <t xml:space="preserve">Pet industry show (cats)</t>
  </si>
  <si>
    <t xml:space="preserve">Pet food, health care</t>
  </si>
  <si>
    <t xml:space="preserve">Cat owners and cat product makers.</t>
  </si>
  <si>
    <t xml:space="preserve">https://www.eventseye.com/fairs/f-chanchao-meow-expo-27744-1.html</t>
  </si>
  <si>
    <t xml:space="preserve">Reported by Daily Vet (media headline). Venue not stated. Past seminars were at Yuhan Corporation HQ, Seoul</t>
  </si>
  <si>
    <t xml:space="preserve">Society seminar with hands on workshops</t>
  </si>
  <si>
    <t xml:space="preserve">Veterinary emergency, critical care, POCUS ultrasound</t>
  </si>
  <si>
    <t xml:space="preserve">Hands on POCUS ultrasound practice for vets, a direct route to put CHISON probes in practitioners' hands. First vet event inside the window.</t>
  </si>
  <si>
    <t xml:space="preserve">Samsung Medison is the main Korean vet ultrasound competitor (Feb 2026 MoU with KAHA for a Samsung Sono VET Academy training network, not tied to this event). Presence at this event: unverified. Mindray and SonoScape vet: no Korean evidence found.</t>
  </si>
  <si>
    <t xml:space="preserve">Korean vet equipment importers and Samsung Medison's vet channel. Dealer names not found in public sources. Collect importer cards at KAHA and Seoul conferences.</t>
  </si>
  <si>
    <t xml:space="preserve">Hundreds (est.)</t>
  </si>
  <si>
    <t xml:space="preserve">Event is 6 weeks away. Ask the society now for a scanner loan slot.</t>
  </si>
  <si>
    <t xml:space="preserve">Contact KVECCS this week: offer 3 to 4 scanners for the POCUS practical session.</t>
  </si>
  <si>
    <t xml:space="preserve">KIMES 2027 (general medtech show, vet distributors attend)</t>
  </si>
  <si>
    <t xml:space="preserve">Reported on the official site listing (read through a search extract). Third party listings agree. Re check on kimes.kr</t>
  </si>
  <si>
    <t xml:space="preserve">COEX Halls, Seoul</t>
  </si>
  <si>
    <t xml:space="preserve">Korean vet equipment importers walk KIMES. See the Diagnostics tab for the full entry.</t>
  </si>
  <si>
    <t xml:space="preserve">Samsung Medison confirmed at KIMES 2026 (human ultrasound). Vet booth presence not documented.</t>
  </si>
  <si>
    <t xml:space="preserve">Confirmed for Samsung (human range).</t>
  </si>
  <si>
    <t xml:space="preserve">About 1,500 booths (2026, media)</t>
  </si>
  <si>
    <t xml:space="preserve">Booth dates not found.</t>
  </si>
  <si>
    <t xml:space="preserve">Use the visit to collect vet importer contacts.</t>
  </si>
  <si>
    <t xml:space="preserve">Seoul Veterinary Clinical Conference, Spring 2027 (Seoul Veterinary Medical Association)</t>
  </si>
  <si>
    <t xml:space="preserve">TBC. Annual pattern: late March (2026 was 28 to 29 Mar at Sejong University Convention Center)</t>
  </si>
  <si>
    <t xml:space="preserve">Sejong University Convention Center, Seoul (2026 venue)</t>
  </si>
  <si>
    <t xml:space="preserve">Practitioner conference with exhibition</t>
  </si>
  <si>
    <t xml:space="preserve">Seoul clinic owners who buy equipment. Exhibitors reported that booth visitors are mostly junior vets, so target the clinic director sessions.</t>
  </si>
  <si>
    <t xml:space="preserve">The Samsung and KAHA MoU is confirmed (Korea Biomedical Review, Feb 2026). Presence at this event is unverified.</t>
  </si>
  <si>
    <t xml:space="preserve">Hundreds to low thousands (est.)</t>
  </si>
  <si>
    <t xml:space="preserve">Not published. Check svma.or.kr from January.</t>
  </si>
  <si>
    <t xml:space="preserve">Request the exhibitor guide in January.</t>
  </si>
  <si>
    <t xml:space="preserve">https://www.svma.or.kr/conference/conferenceList.do</t>
  </si>
  <si>
    <t xml:space="preserve">Korean Society of Veterinary Science (KSVS) Spring Meeting 2027</t>
  </si>
  <si>
    <t xml:space="preserve">Apr 2027 (not published)</t>
  </si>
  <si>
    <t xml:space="preserve">TBC. Annual pattern: April (2026 was 23 Apr at Hotel Intercity)</t>
  </si>
  <si>
    <t xml:space="preserve">Seoul area (2026 venue)</t>
  </si>
  <si>
    <t xml:space="preserve">Academic meeting</t>
  </si>
  <si>
    <t xml:space="preserve">Veterinary science (research)</t>
  </si>
  <si>
    <t xml:space="preserve">Academic audience and university vet hospitals. Useful for KOL links.</t>
  </si>
  <si>
    <t xml:space="preserve">https://www.ksvs.or.kr/conference/conferenceList.do</t>
  </si>
  <si>
    <t xml:space="preserve">Korean Society of Veterinary Surgery regular meeting and academic session 2027</t>
  </si>
  <si>
    <t xml:space="preserve">TBC. Pattern: spring (2026 was 5 Apr at Seoul National University Schofield Hall)</t>
  </si>
  <si>
    <t xml:space="preserve">Seoul National University College of Veterinary Medicine (2026 venue)</t>
  </si>
  <si>
    <t xml:space="preserve">Society meeting</t>
  </si>
  <si>
    <t xml:space="preserve">Surgeon KOLs at university hospitals.</t>
  </si>
  <si>
    <t xml:space="preserve">https://www.dailyvet.co.kr/events/20260405ksvs</t>
  </si>
  <si>
    <t xml:space="preserve">MEGAZOO 2027 Season 1 (KINTEX, Ilsan)</t>
  </si>
  <si>
    <t xml:space="preserve">Late May 2027 (not published)</t>
  </si>
  <si>
    <t xml:space="preserve">TBC. Two seasons a year (2026 Season 1 was 29 to 31 May)</t>
  </si>
  <si>
    <t xml:space="preserve">KINTEX, Goyang, Gyeonggi</t>
  </si>
  <si>
    <t xml:space="preserve">Pet products, services, animal health</t>
  </si>
  <si>
    <t xml:space="preserve">Largest Korean pet show: about 500 brands. Not clinical, but animal hospital owners and pet product distributors attend.</t>
  </si>
  <si>
    <t xml:space="preserve">Pet industry distributors.</t>
  </si>
  <si>
    <t xml:space="preserve">2025: over 50,000 visitors (press)</t>
  </si>
  <si>
    <t xml:space="preserve">Optional dealer scouting visit.</t>
  </si>
  <si>
    <t xml:space="preserve">https://megazoo.co.kr/</t>
  </si>
  <si>
    <t xml:space="preserve">24th KAHA Conference with KSVC Spring Meeting 2027 (Korean Animal Hospital Association and Korean Society of Veterinary Clinics)</t>
  </si>
  <si>
    <t xml:space="preserve">4 to 6 Jun 2027</t>
  </si>
  <si>
    <t xml:space="preserve">Reported by Daily Vet (media, Oct 2026). Verify on the KAHA site</t>
  </si>
  <si>
    <t xml:space="preserve">Practitioner congress with hands on training</t>
  </si>
  <si>
    <t xml:space="preserve">Small animal practice, cardiac ultrasound, anaesthesia</t>
  </si>
  <si>
    <t xml:space="preserve">The main Korean small animal practitioner congress. At the Oct 2026 joint edition in Gyeongju the hands on cardiac ultrasound and anaesthesia sessions were already fully booked (Daily Vet). Samsung Medison has a training partnership with KAHA, so expect it to be strong here. Still the best place to meet clinic owners and importers.</t>
  </si>
  <si>
    <t xml:space="preserve">Samsung Medison: signed a training partnership with KAHA in Feb 2026 (Samsung Sono VET Academy, KAHA STARTER ultrasound course), so a strong presence is likely. Presence at this conference is not yet confirmed. Mindray and SonoScape vet: no Korean evidence found.</t>
  </si>
  <si>
    <t xml:space="preserve">The Samsung and KAHA MoU is confirmed. Event presence is unverified.</t>
  </si>
  <si>
    <t xml:space="preserve">KSVC meeting received about 250 abstracts (Daily Vet)</t>
  </si>
  <si>
    <t xml:space="preserve">Exhibitor terms not found. Joint organising committee formed Oct 2026, so call the KAHA secretariat in November.</t>
  </si>
  <si>
    <t xml:space="preserve">Priority 1 for Korea vet. Ask KAHA for exhibitor tiers and whether an independent hands on station is possible next to Samsung.</t>
  </si>
  <si>
    <t xml:space="preserve">https://www.dailyvet.co.kr/news/academy/299184</t>
  </si>
  <si>
    <t xml:space="preserve">Seoul Veterinary Clinical Conference, Autumn 2027 (Seoul Veterinary Medical Association)</t>
  </si>
  <si>
    <t xml:space="preserve">TBC. Annual pattern: September (2026 was 19 to 20 Sep, Sejong University)</t>
  </si>
  <si>
    <t xml:space="preserve">Second Seoul clinic owner conference of the year.</t>
  </si>
  <si>
    <t xml:space="preserve">Decide after the spring edition.</t>
  </si>
  <si>
    <t xml:space="preserve">Second KAHA, KSVC and Yeongnam joint veterinary conference 2027 (Yeongnam region)</t>
  </si>
  <si>
    <t xml:space="preserve">H2 2027, likely Aug to Oct (not published)</t>
  </si>
  <si>
    <t xml:space="preserve">TBC. Reports conflict: Daegu (Yeongnam Conference) and Busan Haeundae (merged Busan and Yeongnam conference). First joint event was 17 to 18 Oct 2026 at Gyeongju</t>
  </si>
  <si>
    <t xml:space="preserve">Daegu or Busan (conflicting reports)</t>
  </si>
  <si>
    <t xml:space="preserve">Practitioner congress, expo style</t>
  </si>
  <si>
    <t xml:space="preserve">Small animal practice, hands on ultrasound and anaesthesia</t>
  </si>
  <si>
    <t xml:space="preserve">Southeast Korea clinic owners. The organisers are rebuilding the event as an expo to link vendors with clinics, citing VMX as a model, and will expand hands on ultrasound practice. Exhibitors can run product demos and practicals.</t>
  </si>
  <si>
    <t xml:space="preserve">Ask the organisers about vendor hands on slots; this is an opening for an independent ultrasound practical.</t>
  </si>
  <si>
    <t xml:space="preserve">https://www.dailyvet.co.kr/news/association/282228</t>
  </si>
  <si>
    <t xml:space="preserve">Gyeonggi North Veterinary Conference 2027 with Korean Society of Veterinary Cardiology (KINTEX)</t>
  </si>
  <si>
    <t xml:space="preserve">Nov 2027 (not published)</t>
  </si>
  <si>
    <t xml:space="preserve">TBC. Annual pattern: early November (2026 was 7 to 8 Nov at KINTEX Ilsan)</t>
  </si>
  <si>
    <t xml:space="preserve">KINTEX, Ilsan, Gyeonggi</t>
  </si>
  <si>
    <t xml:space="preserve">Regional practitioner conference</t>
  </si>
  <si>
    <t xml:space="preserve">Small animal practice, cardiology</t>
  </si>
  <si>
    <t xml:space="preserve">Northern Gyeonggi practitioners. Held with the cardiology society, so cardiac ultrasound users attend.</t>
  </si>
  <si>
    <t xml:space="preserve">Check dailyvet.co.kr in summer 2027.</t>
  </si>
  <si>
    <t xml:space="preserve">https://www.dailyvet.co.kr/news/academy/300170</t>
  </si>
  <si>
    <t xml:space="preserve">MEGAZOO 2027 Season 2 (KINTEX, Ilsan)</t>
  </si>
  <si>
    <t xml:space="preserve">TBC. 2026 Season 2 is 20 to 22 Nov</t>
  </si>
  <si>
    <t xml:space="preserve">Pet products and animal health</t>
  </si>
  <si>
    <t xml:space="preserve">Second MEGAZOO of the year.</t>
  </si>
  <si>
    <t xml:space="preserve">See Season 1</t>
  </si>
  <si>
    <t xml:space="preserve">Korean Society of Veterinary Science (KSVS) Autumn International Meeting 2027</t>
  </si>
  <si>
    <t xml:space="preserve">TBC. Annual pattern: early November (2026 is 1 to 3 Nov at Jeju ICC)</t>
  </si>
  <si>
    <t xml:space="preserve">Rotating city (2026: Jeju)</t>
  </si>
  <si>
    <t xml:space="preserve">Academic international meeting</t>
  </si>
  <si>
    <t xml:space="preserve">Academic.</t>
  </si>
  <si>
    <t xml:space="preserve">Society scientific meeting (twice a year)</t>
  </si>
  <si>
    <t xml:space="preserve">Veterinary diagnostic imaging, ultrasound, CT, MRI</t>
  </si>
  <si>
    <t xml:space="preserve">The imaging society. Veterinary ultrasound specialists are the KOLs who set brand preference. The 78th meeting offered exhibit slots to vendors.</t>
  </si>
  <si>
    <t xml:space="preserve">Expected, not verified: Fujifilm VET Systems (market leader, wireless echo), Canon Medtech Supply (vet ultrasound), Mediark. SonoScape and Mindray vet models are imported by Shoei Japan. Samsung: no Japan vet distributor found.</t>
  </si>
  <si>
    <t xml:space="preserve">Likely. The 78th meeting (Jun 2026) sold exhibits, vendors not named.</t>
  </si>
  <si>
    <t xml:space="preserve">Shoei Japan (importer of SonoScape S6V, A6V, X5V, E2V and Mindray 6600vet), Mediark, Nittoku Medical, Frontier International (livestock ultrasound). Approach these as competitor dealers who may take a second brand.</t>
  </si>
  <si>
    <t xml:space="preserve">Several hundred (est.)</t>
  </si>
  <si>
    <t xml:space="preserve">Event is 6 weeks away. Ask the secretariat now for any remaining exhibit space.</t>
  </si>
  <si>
    <t xml:space="preserve">Request an exhibit slot or visit to meet imaging KOLs. Plan the June 2027 meeting as the booth event.</t>
  </si>
  <si>
    <t xml:space="preserve">Confirmed (dates published for Oct 2026 to Mar 2027)</t>
  </si>
  <si>
    <t xml:space="preserve">Commercial CME course</t>
  </si>
  <si>
    <t xml:space="preserve">Vet abdominal ultrasound</t>
  </si>
  <si>
    <t xml:space="preserve">Beginner vets learn ultrasound here. Equipment supply to these courses would put CHISON probes in new users' hands.</t>
  </si>
  <si>
    <t xml:space="preserve">Training device supplier not stated.</t>
  </si>
  <si>
    <t xml:space="preserve">Registration per session.</t>
  </si>
  <si>
    <t xml:space="preserve">Ask Skyvets which scanners are used.</t>
  </si>
  <si>
    <t xml:space="preserve">Society scientific meeting (with the 31st Veterinary Endoscopic Surgery meeting)</t>
  </si>
  <si>
    <t xml:space="preserve">Veterinary anaesthesia and surgery</t>
  </si>
  <si>
    <t xml:space="preserve">Ultrasound guided blocks and intra operative scanning. Surgeons choose portable ultrasound for theatre.</t>
  </si>
  <si>
    <t xml:space="preserve">Event is 8 weeks away. Ask the secretariat now.</t>
  </si>
  <si>
    <t xml:space="preserve">Visit or exhibit if a Kansai vet dealer partner is in place.</t>
  </si>
  <si>
    <t xml:space="preserve">Japanese Veterinary Cancer Society 35th Meeting</t>
  </si>
  <si>
    <t xml:space="preserve">30 to 31 Jan 2027</t>
  </si>
  <si>
    <t xml:space="preserve">Hotel New Otani Osaka, Osaka</t>
  </si>
  <si>
    <t xml:space="preserve">Veterinary oncology</t>
  </si>
  <si>
    <t xml:space="preserve">Oncology specialists use ultrasound for staging and guided biopsy.</t>
  </si>
  <si>
    <t xml:space="preserve">Optional. Attend if an Osaka dealer meeting is booked.</t>
  </si>
  <si>
    <t xml:space="preserve">https://www.jvcs.jp/society/</t>
  </si>
  <si>
    <t xml:space="preserve">JCVIM 2027, 23rd Japanese College of Veterinary Internal Medicine Annual Meeting</t>
  </si>
  <si>
    <t xml:space="preserve">19 to 21 Feb 2027</t>
  </si>
  <si>
    <t xml:space="preserve">Pacifico Yokohama North, Yokohama</t>
  </si>
  <si>
    <t xml:space="preserve">Academic congress with company exhibition and luncheon seminars</t>
  </si>
  <si>
    <t xml:space="preserve">Small animal internal medicine</t>
  </si>
  <si>
    <t xml:space="preserve">Internal medicine specialists are heavy ultrasound users. A documented sponsorship path exists, which makes this the best vet booth event in Japan.</t>
  </si>
  <si>
    <t xml:space="preserve">Confirmed: Fujifilm VET Systems and Fujifilm Healthcare exhibited and ran seminars at JCVIM 2024, 2025 and 2026. Others not found.</t>
  </si>
  <si>
    <t xml:space="preserve">Confirmed for Fujifilm (prior editions).</t>
  </si>
  <si>
    <t xml:space="preserve">About 1,500 to 2,000 (est.)</t>
  </si>
  <si>
    <t xml:space="preserve">Sponsorship tiers on smartconf.jp. Fees not retrieved.</t>
  </si>
  <si>
    <t xml:space="preserve">Sponsor recruitment opened 7 Jul 2026. Closing date not stated, so assume it is close.</t>
  </si>
  <si>
    <t xml:space="preserve">Open smartconf.jp/content/jcvim2027/sponsorship now and request the tier list. Decide in November.</t>
  </si>
  <si>
    <t xml:space="preserve">https://www.jcvim.org/</t>
  </si>
  <si>
    <t xml:space="preserve">JVMA 44th Veterinary Academic Society Annual Meeting (Japan Veterinary Medical Association)</t>
  </si>
  <si>
    <t xml:space="preserve">27 to 28 Feb 2027</t>
  </si>
  <si>
    <t xml:space="preserve">Confirmed per JVMA magazine</t>
  </si>
  <si>
    <t xml:space="preserve">Azabu University, Sagamihara, Kanagawa</t>
  </si>
  <si>
    <t xml:space="preserve">National veterinary society meeting</t>
  </si>
  <si>
    <t xml:space="preserve">Small animal, large animal and public health sessions</t>
  </si>
  <si>
    <t xml:space="preserve">Nationwide practitioner audience including livestock vets who use ultrasound for pregnancy checks.</t>
  </si>
  <si>
    <t xml:space="preserve">Expected, not verified: Fujifilm VET Systems (cattle wireless echo). Others unverified.</t>
  </si>
  <si>
    <t xml:space="preserve">Likely.</t>
  </si>
  <si>
    <t xml:space="preserve">Thousands (est.)</t>
  </si>
  <si>
    <t xml:space="preserve">Check JVMA site for exhibitor guide in autumn.</t>
  </si>
  <si>
    <t xml:space="preserve">https://jvma-vet.jp/society/</t>
  </si>
  <si>
    <t xml:space="preserve">JBVP Nagoya Regional Meeting (7th)</t>
  </si>
  <si>
    <t xml:space="preserve">28 Feb 2027</t>
  </si>
  <si>
    <t xml:space="preserve">Confirmed per JBVP site (read through a search extract, my direct fetch was blocked)</t>
  </si>
  <si>
    <t xml:space="preserve">Wink Aichi (Aichi Industry and Labor Center), Nagoya</t>
  </si>
  <si>
    <t xml:space="preserve">Regional practitioner forum</t>
  </si>
  <si>
    <t xml:space="preserve">Chubu region vet practitioners and dealers.</t>
  </si>
  <si>
    <t xml:space="preserve">Visit only when the same week includes a Chubu dealer meeting.</t>
  </si>
  <si>
    <t xml:space="preserve">https://www.jbvp.org/regional/nagoya.html</t>
  </si>
  <si>
    <t xml:space="preserve">JBVP Kyushu Regional Meeting (23rd)</t>
  </si>
  <si>
    <t xml:space="preserve">21 Mar 2027</t>
  </si>
  <si>
    <t xml:space="preserve">Kyushu vets and dealers.</t>
  </si>
  <si>
    <t xml:space="preserve">Bundle with the JBVP Hokkaido date only if travel allows.</t>
  </si>
  <si>
    <t xml:space="preserve">https://www.jbvp.org/regional/kyushu.html</t>
  </si>
  <si>
    <t xml:space="preserve">JBVP Hokkaido Regional Meeting (25th)</t>
  </si>
  <si>
    <t xml:space="preserve">28 Mar 2027</t>
  </si>
  <si>
    <t xml:space="preserve">Sapporo Convention Center, Sapporo</t>
  </si>
  <si>
    <t xml:space="preserve">Small animal and mixed animal practice</t>
  </si>
  <si>
    <t xml:space="preserve">Hokkaido has strong mixed animal practices that scan cattle and pets.</t>
  </si>
  <si>
    <t xml:space="preserve">https://www.jbvp.org/regional/hokkaido.html</t>
  </si>
  <si>
    <t xml:space="preserve">JBVP Tohoku Regional Meeting (26th)</t>
  </si>
  <si>
    <t xml:space="preserve">TBC. Annual pattern: March (25th was 22 Mar 2026 at Sendai International Center)</t>
  </si>
  <si>
    <t xml:space="preserve">Sendai (2026 venue: Sendai International Center)</t>
  </si>
  <si>
    <t xml:space="preserve">Tohoku region vets and dealers.</t>
  </si>
  <si>
    <t xml:space="preserve">Check jbvp.org in January.</t>
  </si>
  <si>
    <t xml:space="preserve">https://www.jbvp.org/regional/tohoku.html</t>
  </si>
  <si>
    <t xml:space="preserve">JBVP Kyoto Regional Meeting (20th)</t>
  </si>
  <si>
    <t xml:space="preserve">TBC. Annual pattern: March (19th was 8 Mar 2026 at TKP Garden City Kyoto Tower Hotel)</t>
  </si>
  <si>
    <t xml:space="preserve">Kyoto</t>
  </si>
  <si>
    <t xml:space="preserve">Kansai vets and dealers.</t>
  </si>
  <si>
    <t xml:space="preserve">https://www.jbvp.org/regional/kyoto.html</t>
  </si>
  <si>
    <t xml:space="preserve">Interpets Tokyo 2027 (16th)</t>
  </si>
  <si>
    <t xml:space="preserve">1 to 4 Apr 2027</t>
  </si>
  <si>
    <t xml:space="preserve">Confirmed. Business day is 1 Apr, public from 2 Apr</t>
  </si>
  <si>
    <t xml:space="preserve">Tokyo Big Sight East Halls 1 to 4, 7, 8, Tokyo</t>
  </si>
  <si>
    <t xml:space="preserve">Pet industry trade and consumer show</t>
  </si>
  <si>
    <t xml:space="preserve">Pet industry show, not clinical. Vet clinic owners and pet product distributors walk the business day. Dealer sourcing only.</t>
  </si>
  <si>
    <t xml:space="preserve">Not documented. Vet equipment is a minor part of the floor.</t>
  </si>
  <si>
    <t xml:space="preserve">Organiser forecast: 800 exhibitors, 69,000 visitors</t>
  </si>
  <si>
    <t xml:space="preserve">Not published. Mini booths sold out.</t>
  </si>
  <si>
    <t xml:space="preserve">Mini booth sales closed. Regular booths still open per organiser.</t>
  </si>
  <si>
    <t xml:space="preserve">Visit the business day only. Low priority.</t>
  </si>
  <si>
    <t xml:space="preserve">https://interpets.jp.messefrankfurt.com/tokyo/en/facts-figures.html</t>
  </si>
  <si>
    <t xml:space="preserve">JSVC Spring Meeting 2027 (Japanese Society of Veterinary Cardiology)</t>
  </si>
  <si>
    <t xml:space="preserve">TBC. The society holds two meetings a year: spring near Tokyo, autumn in rotating cities</t>
  </si>
  <si>
    <t xml:space="preserve">Tokyo area</t>
  </si>
  <si>
    <t xml:space="preserve">Veterinary cardiology and echocardiography</t>
  </si>
  <si>
    <t xml:space="preserve">Cardiology specialists. Cardiac echo probes are a high value vet sale.</t>
  </si>
  <si>
    <t xml:space="preserve">Check jsvc.jp/meeting in January.</t>
  </si>
  <si>
    <t xml:space="preserve">https://www.jsvc.jp/meeting/</t>
  </si>
  <si>
    <t xml:space="preserve">Interpets Osaka 2027 (5th)</t>
  </si>
  <si>
    <t xml:space="preserve">11 to 13 Jun 2027</t>
  </si>
  <si>
    <t xml:space="preserve">INTEX Osaka Halls 4, 5, 6A, 6B, Osaka</t>
  </si>
  <si>
    <t xml:space="preserve">Pet products and services</t>
  </si>
  <si>
    <t xml:space="preserve">Kansai pet industry. Same logic as Tokyo.</t>
  </si>
  <si>
    <t xml:space="preserve">Not published. Exhibitor recruitment open.</t>
  </si>
  <si>
    <t xml:space="preserve">Open now.</t>
  </si>
  <si>
    <t xml:space="preserve">https://interpets-osaka.jp.messefrankfurt.com/osaka/en.html</t>
  </si>
  <si>
    <t xml:space="preserve">JSVDI 80th Japanese Society of Veterinary Diagnostic Imaging Meeting</t>
  </si>
  <si>
    <t xml:space="preserve">TBC. Annual pattern: June (78th was 13 to 14 Jun 2026, Tokyo University of Agriculture and Technology, Fuchu)</t>
  </si>
  <si>
    <t xml:space="preserve">Rotating venue (university campus or congress centre)</t>
  </si>
  <si>
    <t xml:space="preserve">Veterinary diagnostic imaging</t>
  </si>
  <si>
    <t xml:space="preserve">Second JSVDI meeting of 2027 and the best mid year chance to meet imaging KOLs.</t>
  </si>
  <si>
    <t xml:space="preserve">Likely. The 78th meeting sold exhibits.</t>
  </si>
  <si>
    <t xml:space="preserve">Exhibit call for the 78th meeting appeared months ahead.</t>
  </si>
  <si>
    <t xml:space="preserve">Check jsvdi.com from January 2027.</t>
  </si>
  <si>
    <t xml:space="preserve">https://jsvdi.com/category/conference/</t>
  </si>
  <si>
    <t xml:space="preserve">JSVAS 114th Japanese Society of Veterinary Anesthesia and Surgery Meeting</t>
  </si>
  <si>
    <t xml:space="preserve">TBC. Annual pattern: June (112th was 19 to 21 Jun 2026, Omiya Sonic City)</t>
  </si>
  <si>
    <t xml:space="preserve">Same audience as Dec 2026.</t>
  </si>
  <si>
    <t xml:space="preserve">Check jsvas.net in 2027.</t>
  </si>
  <si>
    <t xml:space="preserve">Japanese Veterinary Cancer Society 36th Meeting</t>
  </si>
  <si>
    <t xml:space="preserve">3 to 4 Jul 2027</t>
  </si>
  <si>
    <t xml:space="preserve">Hotel New Otani Tokyo, Tokyo</t>
  </si>
  <si>
    <t xml:space="preserve">Oncology staging with ultrasound.</t>
  </si>
  <si>
    <t xml:space="preserve">TBC. Annual pattern: mid July (2026 was 8 to 10 Jul)</t>
  </si>
  <si>
    <t xml:space="preserve">Hospital equipment (human). Vet dealers sometimes visit</t>
  </si>
  <si>
    <t xml:space="preserve">General medtech show. Vet distributors walk it, but vet content is minimal.</t>
  </si>
  <si>
    <t xml:space="preserve">2026: 35,316 visitors</t>
  </si>
  <si>
    <t xml:space="preserve">See the Diagnostics tab row.</t>
  </si>
  <si>
    <t xml:space="preserve">WJVF 18th (western Japan forum co hosted by JAHA and JBVP, full English name to be confirmed)</t>
  </si>
  <si>
    <t xml:space="preserve">31 Jul to 1 Aug 2027</t>
  </si>
  <si>
    <t xml:space="preserve">Practitioner congress with company exhibition and luncheon seminars</t>
  </si>
  <si>
    <t xml:space="preserve">Small animal practice, vet nurses</t>
  </si>
  <si>
    <t xml:space="preserve">The big western Japan practitioner meeting. 2024 attendance included 688 vets and 592 nurses and groomers. Practice owners who buy equipment attend.</t>
  </si>
  <si>
    <t xml:space="preserve">Expected, not verified: Fujifilm VET Systems exhibits at JBVP family events. Others unverified.</t>
  </si>
  <si>
    <t xml:space="preserve">2024: 688 vets, 592 vet nurses, groomers (JBVP report)</t>
  </si>
  <si>
    <t xml:space="preserve">Company exhibition and luncheon seminar calls ran about 6 months ahead for 2026 (QIX notice).</t>
  </si>
  <si>
    <t xml:space="preserve">Request the exhibitor guide in January 2027. Strong dealer and clinic lead source.</t>
  </si>
  <si>
    <t xml:space="preserve">https://www.jbvp.org/wjvf/</t>
  </si>
  <si>
    <t xml:space="preserve">JSVS 170th Japanese Society of Veterinary Science Meeting</t>
  </si>
  <si>
    <t xml:space="preserve">15 to 18 Sep 2027</t>
  </si>
  <si>
    <t xml:space="preserve">Confirmed per JSVS page</t>
  </si>
  <si>
    <t xml:space="preserve">Iwate University, Morioka</t>
  </si>
  <si>
    <t xml:space="preserve">Academic research audience. Low buying power but useful for KOL links to universities.</t>
  </si>
  <si>
    <t xml:space="preserve">Mostly research suppliers.</t>
  </si>
  <si>
    <t xml:space="preserve">https://www.jsvetsci.jp/meeting/index.php</t>
  </si>
  <si>
    <t xml:space="preserve">JBVP 29th Annual Meeting 2027 (Japan Clinical Veterinary Forum)</t>
  </si>
  <si>
    <t xml:space="preserve">25 to 26 Sep 2027</t>
  </si>
  <si>
    <t xml:space="preserve">Hotel New Otani Tokyo, Chiyoda, Tokyo</t>
  </si>
  <si>
    <t xml:space="preserve">Small animal practice, specialties</t>
  </si>
  <si>
    <t xml:space="preserve">Flagship small animal practitioner event. Practice owners and dealers attend. Strongest vet event for distributor recruitment.</t>
  </si>
  <si>
    <t xml:space="preserve">Confirmed: Fujifilm VET Systems exhibition and luncheon seminar at JBVP 2025. Others unverified.</t>
  </si>
  <si>
    <t xml:space="preserve">Confirmed for Fujifilm (2025).</t>
  </si>
  <si>
    <t xml:space="preserve">Company seminar and exhibition calls open about 6 months ahead (2026 notice by QIX).</t>
  </si>
  <si>
    <t xml:space="preserve">Request exhibitor guide in February 2027. Priority 1 for vet.</t>
  </si>
  <si>
    <t xml:space="preserve">https://www.jbvp.org/forum/</t>
  </si>
  <si>
    <t xml:space="preserve">Medical devices (human). Vet distributors visit</t>
  </si>
  <si>
    <t xml:space="preserve">General medtech show where overseas OEMs find Japanese dealers. Some vet equipment dealers attend.</t>
  </si>
  <si>
    <t xml:space="preserve">Japanese dealers.</t>
  </si>
  <si>
    <t xml:space="preserve">Booth sales open.</t>
  </si>
  <si>
    <t xml:space="preserve">JSVC Autumn Meeting 2027 (Japanese Society of Veterinary Cardiology)</t>
  </si>
  <si>
    <t xml:space="preserve">Autumn 2027 (not published)</t>
  </si>
  <si>
    <t xml:space="preserve">TBC. Autumn meeting in a rotating city</t>
  </si>
  <si>
    <t xml:space="preserve">Veterinary cardiology</t>
  </si>
  <si>
    <t xml:space="preserve">Second cardiology meeting of the year.</t>
  </si>
  <si>
    <t xml:space="preserve">Check jsvc.jp.</t>
  </si>
  <si>
    <t xml:space="preserve">Competitor and local dealer intelligence. Only facts with a source are listed. Gaps are stated, not filled.</t>
  </si>
  <si>
    <t xml:space="preserve">Market</t>
  </si>
  <si>
    <t xml:space="preserve">Company or Brand</t>
  </si>
  <si>
    <t xml:space="preserve">Role</t>
  </si>
  <si>
    <t xml:space="preserve">What was found</t>
  </si>
  <si>
    <t xml:space="preserve">Where it was seen</t>
  </si>
  <si>
    <t xml:space="preserve">Evidence strength</t>
  </si>
  <si>
    <t xml:space="preserve">So what for CHISON</t>
  </si>
  <si>
    <t xml:space="preserve">Fujifilm (incl. Fujifilm VET Systems)</t>
  </si>
  <si>
    <t xml:space="preserve">Competitor, domestic leader (ex Hitachi ultrasound)</t>
  </si>
  <si>
    <t xml:space="preserve">Luncheon seminar at JSUM 2026. Booth guide for ITEM 2026. Exhibition and luncheon seminar at JCVIM 2024, 2025 and 2026 and JBVP 2025. Runs vet wireless echo webinars.</t>
  </si>
  <si>
    <t xml:space="preserve">JSUM, ITEM, JCVIM, JBVP</t>
  </si>
  <si>
    <t xml:space="preserve">Fujifilm is the benchmark in both segments. Parity at JSUM or JCVIM means a luncheon seminar, not just a booth.</t>
  </si>
  <si>
    <t xml:space="preserve">https://www.fujifilm.com/jp/ja/healthcare/events/veterinary</t>
  </si>
  <si>
    <t xml:space="preserve">Canon Medical</t>
  </si>
  <si>
    <t xml:space="preserve">Competitor</t>
  </si>
  <si>
    <t xml:space="preserve">Exhibited AI imaging at ITEM 2026 (JIRA report). Canon Medtech Supply sells vet ultrasound.</t>
  </si>
  <si>
    <t xml:space="preserve">ITEM 2026</t>
  </si>
  <si>
    <t xml:space="preserve">Expect Canon at JRC and ITEM 2027.</t>
  </si>
  <si>
    <t xml:space="preserve">https://www.yakuji.co.jp/?p=133219</t>
  </si>
  <si>
    <t xml:space="preserve">Siemens Healthineers</t>
  </si>
  <si>
    <t xml:space="preserve">Lists ultrasound among ITEM 2026 exhibits.</t>
  </si>
  <si>
    <t xml:space="preserve">Premium segment, not a direct rival for CHISON.</t>
  </si>
  <si>
    <t xml:space="preserve">https://www.siemens-healthineers.com/jp/news-and-events/conferences-events-new/item</t>
  </si>
  <si>
    <t xml:space="preserve">GE HealthCare</t>
  </si>
  <si>
    <t xml:space="preserve">Event PDF for ITEM 2025. The label GEHC also appears in the JSUM99 programme listing (role not confirmed).</t>
  </si>
  <si>
    <t xml:space="preserve">ITEM 2025, JSUM 2026</t>
  </si>
  <si>
    <t xml:space="preserve">Confirmed (ITEM). Partial (JSUM)</t>
  </si>
  <si>
    <t xml:space="preserve">Expect GE at JRC and ITEM 2027.</t>
  </si>
  <si>
    <t xml:space="preserve">https://www.gehealthcare.com/content/dam/gehc/sitecore-migrated-assets/files/japan/event/2025/20250411_item2025.pdf</t>
  </si>
  <si>
    <t xml:space="preserve">Philips Japan</t>
  </si>
  <si>
    <t xml:space="preserve">Co hosted the 49th JSS meeting (Jul 2024) and had a device exhibition.</t>
  </si>
  <si>
    <t xml:space="preserve">JSS 49th</t>
  </si>
  <si>
    <t xml:space="preserve">Confirmed (2024)</t>
  </si>
  <si>
    <t xml:space="preserve">The sonographer society is a Philips stronghold. Expect it at JSS 52nd.</t>
  </si>
  <si>
    <t xml:space="preserve">https://www.documents.philips.com/assets/20240604/97c55c34c58241d1b73bb18500379783.pdf</t>
  </si>
  <si>
    <t xml:space="preserve">Samsung Medison</t>
  </si>
  <si>
    <t xml:space="preserve">Entered Japan in 2017 through Hitachi (HS40, from 33 million yen). No 2025 or 2026 Japan launch found.</t>
  </si>
  <si>
    <t xml:space="preserve">n/a</t>
  </si>
  <si>
    <t xml:space="preserve">Confirmed (2017). Current status unverified</t>
  </si>
  <si>
    <t xml:space="preserve">Low direct threat in Japan today. Verify current channel.</t>
  </si>
  <si>
    <t xml:space="preserve">https://www.hitachi.com/ja-jp/press/articles/2017/10/1004/</t>
  </si>
  <si>
    <t xml:space="preserve">Mindray and SonoScape (human)</t>
  </si>
  <si>
    <t xml:space="preserve">No Japanese distributor or event exhibit found in searches.</t>
  </si>
  <si>
    <t xml:space="preserve">Gap</t>
  </si>
  <si>
    <t xml:space="preserve">Possible whitespace, but also a sign dealers may be hard to find. Check PMDA registrations and Japan_Distributor_List_Human_v1.xlsx.</t>
  </si>
  <si>
    <t xml:space="preserve">Shoei Japan</t>
  </si>
  <si>
    <t xml:space="preserve">Competitor dealer</t>
  </si>
  <si>
    <t xml:space="preserve">Listed as Japan general importer for SonoScape vet (S6V, A6V, X5V, E2V), Mindray 6600vet and HUGER vet ultrasound.</t>
  </si>
  <si>
    <t xml:space="preserve">Company product page</t>
  </si>
  <si>
    <t xml:space="preserve">Confirmed (company page)</t>
  </si>
  <si>
    <t xml:space="preserve">The direct benchmark dealer. Approach only if you accept channel conflict risk.</t>
  </si>
  <si>
    <t xml:space="preserve">http://www.shoeijapan.co.jp/products/products-v.html</t>
  </si>
  <si>
    <t xml:space="preserve">Mediark</t>
  </si>
  <si>
    <t xml:space="preserve">Sells portable vet echo and offers imaging support to animal hospitals.</t>
  </si>
  <si>
    <t xml:space="preserve">Company website</t>
  </si>
  <si>
    <t xml:space="preserve">Confirmed (website)</t>
  </si>
  <si>
    <t xml:space="preserve">Possible dealer for a second brand.</t>
  </si>
  <si>
    <t xml:space="preserve">https://vet.mediark.co.jp/vetecho</t>
  </si>
  <si>
    <t xml:space="preserve">Frontier International</t>
  </si>
  <si>
    <t xml:space="preserve">Dealer (livestock)</t>
  </si>
  <si>
    <t xml:space="preserve">Livestock ultrasound catalogue for pig and cattle farms.</t>
  </si>
  <si>
    <t xml:space="preserve">Livestock dealer, relevant to large animal scanners.</t>
  </si>
  <si>
    <t xml:space="preserve">https://frontier-intl.co.jp/catalog/ultrasounddevice/</t>
  </si>
  <si>
    <t xml:space="preserve">Competitor, home market leader</t>
  </si>
  <si>
    <t xml:space="preserve">KIMES 2026: One Platform, V4, EVO Q10. KSOG 111th congress page lists Samsung in the Gold tier (read from image file names). Feb 2026 MoU with KAHA for Samsung Sono VET Academy and KAHA STARTER ultrasound course.</t>
  </si>
  <si>
    <t xml:space="preserve">KIMES, KSOG, KAHA</t>
  </si>
  <si>
    <t xml:space="preserve">Samsung has a signed training partnership with KAHA, so expect it to be strong at KAHA events. Presence at any specific event is not confirmed. For CHISON, KOL events and importers may be a better route than head to head booths.</t>
  </si>
  <si>
    <t xml:space="preserve">https://www.koreabiomed.com/news/articleView.html?idxno=30734</t>
  </si>
  <si>
    <t xml:space="preserve">KIMES 2026 booth C200 (ultrasound, fatty liver quantification). KCR 2026 luncheon symposium.</t>
  </si>
  <si>
    <t xml:space="preserve">KIMES 2026, KCR 2026</t>
  </si>
  <si>
    <t xml:space="preserve">Expect GE at KIMES and KCR 2027.</t>
  </si>
  <si>
    <t xml:space="preserve">https://www.dailypharm.com/user/news/336537</t>
  </si>
  <si>
    <t xml:space="preserve">Canon Medical Korea</t>
  </si>
  <si>
    <t xml:space="preserve">Ran a luncheon symposium at KSUM 2026.</t>
  </si>
  <si>
    <t xml:space="preserve">KSUM 2026</t>
  </si>
  <si>
    <t xml:space="preserve">KSUM sells luncheon symposium slots. This is a benchmark for CHISON.</t>
  </si>
  <si>
    <t xml:space="preserve">https://www.koreabiomed.com/news/articleView.html?idxno=31575</t>
  </si>
  <si>
    <t xml:space="preserve">Philips Korea</t>
  </si>
  <si>
    <t xml:space="preserve">Listed as a KSUM 2026 sponsor on 10times (unofficial listing).</t>
  </si>
  <si>
    <t xml:space="preserve">Partial</t>
  </si>
  <si>
    <t xml:space="preserve">Verify on the KSUM sponsor page.</t>
  </si>
  <si>
    <t xml:space="preserve">https://10times.com/e1z3-0d00-fhhg</t>
  </si>
  <si>
    <t xml:space="preserve">No Korean exhibit or distributor found for the 2026 shows searched.</t>
  </si>
  <si>
    <t xml:space="preserve">Check KIMES and KCR exhibitor lists directly.</t>
  </si>
  <si>
    <t xml:space="preserve">GE HealthCare Ultrasound and Alpinion</t>
  </si>
  <si>
    <t xml:space="preserve">Logos on the SUMROC 2026 annual meeting page, as supporters.</t>
  </si>
  <si>
    <t xml:space="preserve">SUMROC 2026</t>
  </si>
  <si>
    <t xml:space="preserve">Confirmed (logo)</t>
  </si>
  <si>
    <t xml:space="preserve">SUMROC is the ultrasound society, so supporters are the brands CHISON must match for KOL access.</t>
  </si>
  <si>
    <t xml:space="preserve">Rotary Trading (Canon Medical agent)</t>
  </si>
  <si>
    <t xml:space="preserve">General agent for Canon Medical in Taiwan, selling Aplio i800 and Aplio me. Logo on the SUMROC 2026 page.</t>
  </si>
  <si>
    <t xml:space="preserve">SUMROC 2026, company site</t>
  </si>
  <si>
    <t xml:space="preserve">Competitor dealer who actively supports the society.</t>
  </si>
  <si>
    <t xml:space="preserve">https://www.rotarytc.com.tw/</t>
  </si>
  <si>
    <t xml:space="preserve">ASUS and Daikso</t>
  </si>
  <si>
    <t xml:space="preserve">Competitor (handheld)</t>
  </si>
  <si>
    <t xml:space="preserve">Showed handheld ultrasound (ASUS LU800, EchoLab) and edge AI ultrasound software at Healthcare+ Expo 2025.</t>
  </si>
  <si>
    <t xml:space="preserve">Healthcare+ Expo 2025</t>
  </si>
  <si>
    <t xml:space="preserve">Local handheld rivals to SonoEye and SonoAir in Taiwan.</t>
  </si>
  <si>
    <t xml:space="preserve">https://press.asus.com/news/press-releases/asus-healthcare-orchestration-hub-taiwan-expo/</t>
  </si>
  <si>
    <t xml:space="preserve">Uni Soar, Soarmed, Eastech, Getech</t>
  </si>
  <si>
    <t xml:space="preserve">Competitor dealers</t>
  </si>
  <si>
    <t xml:space="preserve">Uni Soar lists GE vet series. Soarmed lists VINNO vet ultrasound and says it exhibits at FASAVA and WSAVA. Eastech is Esaote's Taiwan agent with a vet section. Getech sells Philips animal cardiac ultrasound.</t>
  </si>
  <si>
    <t xml:space="preserve">Company websites</t>
  </si>
  <si>
    <t xml:space="preserve">Confirmed (websites)</t>
  </si>
  <si>
    <t xml:space="preserve">These dealers already handle vet ultrasound. Candidates for a second brand or benchmark pricing.</t>
  </si>
  <si>
    <t xml:space="preserve">https://www.eastech-medical.com/</t>
  </si>
  <si>
    <t xml:space="preserve">Mindray, Samsung, SonoScape</t>
  </si>
  <si>
    <t xml:space="preserve">No Taiwan distributor or event presence found.</t>
  </si>
  <si>
    <t xml:space="preserve">Check Healthcare+ Expo 2026 exhibitor list.</t>
  </si>
  <si>
    <t xml:space="preserve">Pretta Ultrasound</t>
  </si>
  <si>
    <t xml:space="preserve">Competitor (vet)</t>
  </si>
  <si>
    <t xml:space="preserve">Exhibited at Singapore Vet 2025, stand E30, describing a focus on vet and next generation ultrasound.</t>
  </si>
  <si>
    <t xml:space="preserve">Singapore Vet Show 2025</t>
  </si>
  <si>
    <t xml:space="preserve">A vet ultrasound rival exhibiting at the only Singapore vet trade show.</t>
  </si>
  <si>
    <t xml:space="preserve">https://singapore.vetshow.com/exhibitors/pretta-ultrasound</t>
  </si>
  <si>
    <t xml:space="preserve">Singapore Veterinary Imaging (SVI)</t>
  </si>
  <si>
    <t xml:space="preserve">Training provider</t>
  </si>
  <si>
    <t xml:space="preserve">Runs basic to advanced vet ultrasound courses with Temasek Polytechnic, supported by the Singapore Veterinary Association.</t>
  </si>
  <si>
    <t xml:space="preserve">SVA site</t>
  </si>
  <si>
    <t xml:space="preserve">A route to put CHISON scanners in front of Singapore vets.</t>
  </si>
  <si>
    <t xml:space="preserve">Mindray, SonoScape, Samsung, Philips, GE</t>
  </si>
  <si>
    <t xml:space="preserve">Competitors</t>
  </si>
  <si>
    <t xml:space="preserve">No event specific exhibitor list found for SGCR, SHBC or Medical Fair Asia 2026. The only ultrasound related exhibitor found at Medical Fair Asia 2026 was iTD (not a rival).</t>
  </si>
  <si>
    <t xml:space="preserve">Request exhibitor lists from SGCR WIRES and SHBC organisers.</t>
  </si>
  <si>
    <t xml:space="preserve">https://www.medicalfair-asia.com/exhibitor-list/</t>
  </si>
</sst>
</file>

<file path=xl/styles.xml><?xml version="1.0" encoding="utf-8"?>
<styleSheet xmlns="http://schemas.openxmlformats.org/spreadsheetml/2006/main">
  <numFmts count="4">
    <numFmt numFmtId="164" formatCode="General"/>
    <numFmt numFmtId="165" formatCode="General"/>
    <numFmt numFmtId="166" formatCode="dd\ mmm\ yyyy"/>
    <numFmt numFmtId="167" formatCode="mmm\ yyyy"/>
  </numFmts>
  <fonts count="16">
    <font>
      <sz val="11"/>
      <color theme="1"/>
      <name val="Calibri"/>
      <family val="2"/>
      <charset val="1"/>
    </font>
    <font>
      <sz val="10"/>
      <name val="Arial"/>
      <family val="0"/>
    </font>
    <font>
      <sz val="10"/>
      <name val="Arial"/>
      <family val="0"/>
    </font>
    <font>
      <sz val="10"/>
      <name val="Arial"/>
      <family val="0"/>
    </font>
    <font>
      <b val="true"/>
      <sz val="13"/>
      <color rgb="FF1F3864"/>
      <name val="Arial"/>
      <family val="0"/>
      <charset val="1"/>
    </font>
    <font>
      <i val="true"/>
      <sz val="9"/>
      <name val="Arial"/>
      <family val="0"/>
      <charset val="1"/>
    </font>
    <font>
      <b val="true"/>
      <sz val="10"/>
      <color rgb="FFFFFFFF"/>
      <name val="Arial"/>
      <family val="0"/>
      <charset val="1"/>
    </font>
    <font>
      <b val="true"/>
      <sz val="9"/>
      <name val="Arial"/>
      <family val="0"/>
      <charset val="1"/>
    </font>
    <font>
      <sz val="9"/>
      <name val="Arial"/>
      <family val="0"/>
      <charset val="1"/>
    </font>
    <font>
      <b val="true"/>
      <sz val="12"/>
      <color rgb="FF1F3864"/>
      <name val="Arial"/>
      <family val="0"/>
      <charset val="1"/>
    </font>
    <font>
      <b val="true"/>
      <sz val="10"/>
      <color rgb="FF1F3864"/>
      <name val="Arial"/>
      <family val="0"/>
      <charset val="1"/>
    </font>
    <font>
      <b val="true"/>
      <sz val="9"/>
      <color rgb="FFFFFFFF"/>
      <name val="Arial"/>
      <family val="0"/>
      <charset val="1"/>
    </font>
    <font>
      <b val="true"/>
      <sz val="9"/>
      <color rgb="FF0000FF"/>
      <name val="Arial"/>
      <family val="0"/>
      <charset val="1"/>
    </font>
    <font>
      <b val="true"/>
      <sz val="12"/>
      <color rgb="FF9C0006"/>
      <name val="Arial"/>
      <family val="0"/>
      <charset val="1"/>
    </font>
    <font>
      <b val="true"/>
      <sz val="10"/>
      <color rgb="FF0000FF"/>
      <name val="Arial"/>
      <family val="0"/>
      <charset val="1"/>
    </font>
    <font>
      <u val="single"/>
      <sz val="9"/>
      <color rgb="FF0563C1"/>
      <name val="Arial"/>
      <family val="0"/>
      <charset val="1"/>
    </font>
  </fonts>
  <fills count="13">
    <fill>
      <patternFill patternType="none"/>
    </fill>
    <fill>
      <patternFill patternType="gray125"/>
    </fill>
    <fill>
      <patternFill patternType="solid">
        <fgColor rgb="FF1F3864"/>
        <bgColor rgb="FF333333"/>
      </patternFill>
    </fill>
    <fill>
      <patternFill patternType="solid">
        <fgColor rgb="FFD6DCE5"/>
        <bgColor rgb="FFE7E6E6"/>
      </patternFill>
    </fill>
    <fill>
      <patternFill patternType="solid">
        <fgColor rgb="FFFFFF00"/>
        <bgColor rgb="FFFFFF00"/>
      </patternFill>
    </fill>
    <fill>
      <patternFill patternType="solid">
        <fgColor rgb="FFF8CBAD"/>
        <bgColor rgb="FFFFC7CE"/>
      </patternFill>
    </fill>
    <fill>
      <patternFill patternType="solid">
        <fgColor rgb="FFFFF2CC"/>
        <bgColor rgb="FFE2EFDA"/>
      </patternFill>
    </fill>
    <fill>
      <patternFill patternType="solid">
        <fgColor rgb="FFE2EFDA"/>
        <bgColor rgb="FFE7E6E6"/>
      </patternFill>
    </fill>
    <fill>
      <patternFill patternType="solid">
        <fgColor rgb="FFDDEBF7"/>
        <bgColor rgb="FFE7E6E6"/>
      </patternFill>
    </fill>
    <fill>
      <patternFill patternType="solid">
        <fgColor rgb="FFE7E6E6"/>
        <bgColor rgb="FFE2EFDA"/>
      </patternFill>
    </fill>
    <fill>
      <patternFill patternType="solid">
        <fgColor rgb="FFC6EFCE"/>
        <bgColor rgb="FFE2EFDA"/>
      </patternFill>
    </fill>
    <fill>
      <patternFill patternType="solid">
        <fgColor rgb="FFFFE699"/>
        <bgColor rgb="FFFFF2CC"/>
      </patternFill>
    </fill>
    <fill>
      <patternFill patternType="solid">
        <fgColor rgb="FFFFC7CE"/>
        <bgColor rgb="FFF8CBAD"/>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style="thin">
        <color rgb="FFBFBFBF"/>
      </right>
      <top style="medium">
        <color rgb="FF1F3864"/>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2" borderId="0"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12" fillId="0" borderId="1" xfId="0" applyFont="true" applyBorder="true" applyAlignment="true" applyProtection="false">
      <alignment horizontal="center" vertical="top" textRotation="0" wrapText="true" indent="0" shrinkToFit="false"/>
      <protection locked="true" hidden="false"/>
    </xf>
    <xf numFmtId="165" fontId="8" fillId="0" borderId="1" xfId="0" applyFont="true" applyBorder="true" applyAlignment="true" applyProtection="false">
      <alignment horizontal="center" vertical="top" textRotation="0" wrapText="true" indent="0" shrinkToFit="false"/>
      <protection locked="true" hidden="false"/>
    </xf>
    <xf numFmtId="164" fontId="8" fillId="0" borderId="1" xfId="0" applyFont="true" applyBorder="true" applyAlignment="true" applyProtection="false">
      <alignment horizontal="center" vertical="top" textRotation="0" wrapText="true" indent="0" shrinkToFit="false"/>
      <protection locked="true" hidden="false"/>
    </xf>
    <xf numFmtId="164" fontId="7" fillId="3" borderId="1" xfId="0" applyFont="true" applyBorder="true" applyAlignment="true" applyProtection="false">
      <alignment horizontal="left" vertical="top" textRotation="0" wrapText="true" indent="0" shrinkToFit="false"/>
      <protection locked="true" hidden="false"/>
    </xf>
    <xf numFmtId="165" fontId="7" fillId="3" borderId="1" xfId="0" applyFont="true" applyBorder="true" applyAlignment="true" applyProtection="false">
      <alignment horizontal="center" vertical="top" textRotation="0" wrapText="true" indent="0" shrinkToFit="false"/>
      <protection locked="true" hidden="false"/>
    </xf>
    <xf numFmtId="164" fontId="7" fillId="3" borderId="1" xfId="0" applyFont="true" applyBorder="true" applyAlignment="true" applyProtection="false">
      <alignment horizontal="center" vertical="top" textRotation="0" wrapText="tru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13" fillId="0"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6" fontId="14" fillId="4"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6" fontId="8" fillId="0" borderId="1" xfId="0" applyFont="true" applyBorder="true" applyAlignment="true" applyProtection="false">
      <alignment horizontal="center" vertical="top" textRotation="0" wrapText="true" indent="0" shrinkToFit="false"/>
      <protection locked="true" hidden="false"/>
    </xf>
    <xf numFmtId="164" fontId="8" fillId="5" borderId="1" xfId="0" applyFont="true" applyBorder="true" applyAlignment="true" applyProtection="false">
      <alignment horizontal="center" vertical="top" textRotation="0" wrapText="true" indent="0" shrinkToFit="false"/>
      <protection locked="true" hidden="false"/>
    </xf>
    <xf numFmtId="164" fontId="8" fillId="6" borderId="1" xfId="0" applyFont="true" applyBorder="true" applyAlignment="true" applyProtection="false">
      <alignment horizontal="center" vertical="top" textRotation="0" wrapText="tru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4" fontId="15" fillId="0" borderId="1" xfId="0" applyFont="true" applyBorder="true" applyAlignment="true" applyProtection="false">
      <alignment horizontal="left" vertical="top" textRotation="0" wrapText="true" indent="0" shrinkToFit="false"/>
      <protection locked="true" hidden="false"/>
    </xf>
    <xf numFmtId="164" fontId="8" fillId="7" borderId="1" xfId="0" applyFont="true" applyBorder="true" applyAlignment="true" applyProtection="false">
      <alignment horizontal="center" vertical="top" textRotation="0" wrapText="true" indent="0" shrinkToFit="false"/>
      <protection locked="true" hidden="false"/>
    </xf>
    <xf numFmtId="164" fontId="8" fillId="8" borderId="1" xfId="0" applyFont="true" applyBorder="true" applyAlignment="true" applyProtection="false">
      <alignment horizontal="center" vertical="top" textRotation="0" wrapText="true" indent="0" shrinkToFit="false"/>
      <protection locked="true" hidden="false"/>
    </xf>
    <xf numFmtId="164" fontId="8" fillId="9" borderId="1" xfId="0" applyFont="true" applyBorder="true" applyAlignment="true" applyProtection="false">
      <alignment horizontal="center" vertical="top" textRotation="0" wrapText="true" indent="0" shrinkToFit="false"/>
      <protection locked="true" hidden="false"/>
    </xf>
    <xf numFmtId="167" fontId="8" fillId="0" borderId="1" xfId="0" applyFont="true" applyBorder="true" applyAlignment="true" applyProtection="false">
      <alignment horizontal="center" vertical="top" textRotation="0" wrapText="true" indent="0" shrinkToFit="false"/>
      <protection locked="true" hidden="false"/>
    </xf>
    <xf numFmtId="164" fontId="8" fillId="10" borderId="1" xfId="0" applyFont="true" applyBorder="true" applyAlignment="true" applyProtection="false">
      <alignment horizontal="center" vertical="top" textRotation="0" wrapText="true" indent="0" shrinkToFit="false"/>
      <protection locked="true" hidden="false"/>
    </xf>
    <xf numFmtId="164" fontId="8" fillId="11" borderId="1" xfId="0" applyFont="true" applyBorder="true" applyAlignment="true" applyProtection="false">
      <alignment horizontal="center" vertical="top" textRotation="0" wrapText="true" indent="0" shrinkToFit="false"/>
      <protection locked="true" hidden="false"/>
    </xf>
    <xf numFmtId="164" fontId="8" fillId="12" borderId="1" xfId="0" applyFont="true" applyBorder="true" applyAlignment="true" applyProtection="false">
      <alignment horizontal="center" vertical="top" textRotation="0" wrapText="true" indent="0" shrinkToFit="false"/>
      <protection locked="true" hidden="false"/>
    </xf>
    <xf numFmtId="164" fontId="8" fillId="0" borderId="2" xfId="0" applyFont="true" applyBorder="true" applyAlignment="true" applyProtection="false">
      <alignment horizontal="center" vertical="top" textRotation="0" wrapText="true" indent="0" shrinkToFit="false"/>
      <protection locked="true" hidden="false"/>
    </xf>
    <xf numFmtId="164" fontId="8" fillId="5" borderId="2" xfId="0" applyFont="true" applyBorder="true" applyAlignment="true" applyProtection="false">
      <alignment horizontal="center" vertical="top" textRotation="0" wrapText="true" indent="0" shrinkToFit="false"/>
      <protection locked="true" hidden="false"/>
    </xf>
    <xf numFmtId="164" fontId="8" fillId="6" borderId="2" xfId="0" applyFont="true" applyBorder="true" applyAlignment="true" applyProtection="false">
      <alignment horizontal="center" vertical="top" textRotation="0" wrapText="true" indent="0" shrinkToFit="false"/>
      <protection locked="true" hidden="false"/>
    </xf>
    <xf numFmtId="164" fontId="7" fillId="0" borderId="2" xfId="0" applyFont="true" applyBorder="true" applyAlignment="true" applyProtection="false">
      <alignment horizontal="left" vertical="top" textRotation="0" wrapText="true" indent="0" shrinkToFit="false"/>
      <protection locked="true" hidden="false"/>
    </xf>
    <xf numFmtId="166" fontId="8" fillId="0" borderId="2" xfId="0" applyFont="true" applyBorder="true" applyAlignment="true" applyProtection="false">
      <alignment horizontal="center" vertical="top" textRotation="0" wrapText="true" indent="0" shrinkToFit="false"/>
      <protection locked="true" hidden="false"/>
    </xf>
    <xf numFmtId="167" fontId="8" fillId="0" borderId="2" xfId="0" applyFont="true" applyBorder="true" applyAlignment="true" applyProtection="false">
      <alignment horizontal="center" vertical="top" textRotation="0" wrapText="true" indent="0" shrinkToFit="false"/>
      <protection locked="true" hidden="false"/>
    </xf>
    <xf numFmtId="164" fontId="8" fillId="0" borderId="2" xfId="0" applyFont="true" applyBorder="true" applyAlignment="true" applyProtection="false">
      <alignment horizontal="left" vertical="top" textRotation="0" wrapText="true" indent="0" shrinkToFit="false"/>
      <protection locked="true" hidden="false"/>
    </xf>
    <xf numFmtId="164" fontId="8" fillId="10" borderId="2" xfId="0" applyFont="true" applyBorder="true" applyAlignment="true" applyProtection="false">
      <alignment horizontal="center" vertical="top" textRotation="0" wrapText="true" indent="0" shrinkToFit="false"/>
      <protection locked="true" hidden="false"/>
    </xf>
    <xf numFmtId="164" fontId="15" fillId="0" borderId="2" xfId="0" applyFont="true" applyBorder="true" applyAlignment="true" applyProtection="false">
      <alignment horizontal="left" vertical="top" textRotation="0" wrapText="true" indent="0" shrinkToFit="false"/>
      <protection locked="true" hidden="false"/>
    </xf>
    <xf numFmtId="164" fontId="8" fillId="8" borderId="2" xfId="0" applyFont="true" applyBorder="true" applyAlignment="true" applyProtection="false">
      <alignment horizontal="center" vertical="top" textRotation="0" wrapText="true" indent="0" shrinkToFit="false"/>
      <protection locked="true" hidden="false"/>
    </xf>
    <xf numFmtId="164" fontId="8" fillId="9" borderId="2" xfId="0" applyFont="true" applyBorder="true" applyAlignment="true" applyProtection="false">
      <alignment horizontal="center" vertical="top" textRotation="0" wrapText="true" indent="0" shrinkToFit="false"/>
      <protection locked="true" hidden="false"/>
    </xf>
    <xf numFmtId="164" fontId="8" fillId="7" borderId="2" xfId="0" applyFont="true" applyBorder="true" applyAlignment="true" applyProtection="false">
      <alignment horizontal="center" vertical="top" textRotation="0" wrapText="true" indent="0" shrinkToFit="false"/>
      <protection locked="true" hidden="false"/>
    </xf>
    <xf numFmtId="164" fontId="8" fillId="11" borderId="2" xfId="0" applyFont="true" applyBorder="true" applyAlignment="true" applyProtection="fals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6">
    <dxf>
      <fill>
        <patternFill>
          <bgColor rgb="FFFFC7CE"/>
        </patternFill>
      </fill>
    </dxf>
    <dxf>
      <fill>
        <patternFill>
          <bgColor rgb="FFC6EFCE"/>
        </patternFill>
      </fill>
    </dxf>
    <dxf>
      <fill>
        <patternFill>
          <bgColor rgb="FFFFE699"/>
        </patternFill>
      </fill>
    </dxf>
    <dxf>
      <fill>
        <patternFill>
          <bgColor rgb="FFE7E6E6"/>
        </patternFill>
      </fill>
    </dxf>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E7E6E6"/>
          <bgColor rgb="FF000000"/>
        </patternFill>
      </fill>
    </dxf>
    <dxf>
      <fill>
        <patternFill patternType="solid">
          <fgColor rgb="FFF8CBAD"/>
          <bgColor rgb="FF000000"/>
        </patternFill>
      </fill>
    </dxf>
    <dxf>
      <fill>
        <patternFill patternType="solid">
          <fgColor rgb="FFFFF2CC"/>
          <bgColor rgb="FF000000"/>
        </patternFill>
      </fill>
    </dxf>
    <dxf>
      <fill>
        <patternFill patternType="solid">
          <fgColor rgb="FFDDEBF7"/>
          <bgColor rgb="FF000000"/>
        </patternFill>
      </fill>
    </dxf>
    <dxf>
      <fill>
        <patternFill patternType="solid">
          <fgColor rgb="FFC6EFCE"/>
          <bgColor rgb="FF000000"/>
        </patternFill>
      </fill>
    </dxf>
    <dxf>
      <fill>
        <patternFill patternType="solid">
          <fgColor rgb="FFFFC7CE"/>
          <bgColor rgb="FF000000"/>
        </patternFill>
      </fill>
    </dxf>
    <dxf>
      <fill>
        <patternFill patternType="solid">
          <fgColor rgb="FFFFE699"/>
          <bgColor rgb="FF000000"/>
        </patternFill>
      </fill>
    </dxf>
    <dxf>
      <fill>
        <patternFill patternType="solid">
          <fgColor rgb="FF0563C1"/>
          <bgColor rgb="FF000000"/>
        </patternFill>
      </fill>
    </dxf>
    <dxf>
      <fill>
        <patternFill patternType="solid">
          <fgColor rgb="FFE2EFDA"/>
          <bgColor rgb="FF000000"/>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563C1"/>
      <rgbColor rgb="FFD6DCE5"/>
      <rgbColor rgb="FF000080"/>
      <rgbColor rgb="FFFF00FF"/>
      <rgbColor rgb="FFFFFF00"/>
      <rgbColor rgb="FF00FFFF"/>
      <rgbColor rgb="FF800080"/>
      <rgbColor rgb="FF800000"/>
      <rgbColor rgb="FF008080"/>
      <rgbColor rgb="FF0000FF"/>
      <rgbColor rgb="FF00CCFF"/>
      <rgbColor rgb="FFE2EFDA"/>
      <rgbColor rgb="FFC6EFCE"/>
      <rgbColor rgb="FFFFE699"/>
      <rgbColor rgb="FFE7E6E6"/>
      <rgbColor rgb="FFFFC7CE"/>
      <rgbColor rgb="FFCC99FF"/>
      <rgbColor rgb="FFF8CBAD"/>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hyperlink" Target="https://expo.taiwan-healthcare.org/en/" TargetMode="External"/><Relationship Id="rId2" Type="http://schemas.openxmlformats.org/officeDocument/2006/relationships/hyperlink" Target="https://www.dailyvet.co.kr/news/academy" TargetMode="External"/><Relationship Id="rId3" Type="http://schemas.openxmlformats.org/officeDocument/2006/relationships/hyperlink" Target="https://www.ksecho.org/academic_event/annual_schedule_all.php" TargetMode="External"/><Relationship Id="rId4" Type="http://schemas.openxmlformats.org/officeDocument/2006/relationships/hyperlink" Target="https://iscu.or.kr/" TargetMode="External"/><Relationship Id="rId5" Type="http://schemas.openxmlformats.org/officeDocument/2006/relationships/hyperlink" Target="https://jsvdi.com/conference/3332/" TargetMode="External"/><Relationship Id="rId6" Type="http://schemas.openxmlformats.org/officeDocument/2006/relationships/hyperlink" Target="https://www.chanchao.com.tw/PetsShow/kaohsiung/" TargetMode="External"/><Relationship Id="rId7" Type="http://schemas.openxmlformats.org/officeDocument/2006/relationships/hyperlink" Target="https://tsocmeeting.org/" TargetMode="External"/><Relationship Id="rId8" Type="http://schemas.openxmlformats.org/officeDocument/2006/relationships/hyperlink" Target="https://www.jsum.or.jp/members/calendar/2026/" TargetMode="External"/><Relationship Id="rId9" Type="http://schemas.openxmlformats.org/officeDocument/2006/relationships/hyperlink" Target="https://www.aicvs-aicvim2026.tw/" TargetMode="External"/><Relationship Id="rId10" Type="http://schemas.openxmlformats.org/officeDocument/2006/relationships/hyperlink" Target="https://sky-vets.com/seminar/" TargetMode="External"/><Relationship Id="rId11" Type="http://schemas.openxmlformats.org/officeDocument/2006/relationships/hyperlink" Target="https://www.jsvas.net/conference/index.php" TargetMode="External"/>
</Relationships>
</file>

<file path=xl/worksheets/_rels/sheet4.xml.rels><?xml version="1.0" encoding="UTF-8"?>
<Relationships xmlns="http://schemas.openxmlformats.org/package/2006/relationships"><Relationship Id="rId1" Type="http://schemas.openxmlformats.org/officeDocument/2006/relationships/hyperlink" Target="https://www.nhcs.com.sg/singlivecourse" TargetMode="External"/><Relationship Id="rId2" Type="http://schemas.openxmlformats.org/officeDocument/2006/relationships/hyperlink" Target="https://www.ssr.org.sg/conference-list" TargetMode="External"/><Relationship Id="rId3" Type="http://schemas.openxmlformats.org/officeDocument/2006/relationships/hyperlink" Target="https://www.singhealthacademy.edu.sg/sims/events-programmes/academia/point-of-care-ultrasound" TargetMode="External"/><Relationship Id="rId4" Type="http://schemas.openxmlformats.org/officeDocument/2006/relationships/hyperlink" Target="https://nysora.com/event/conferences/regional-anesthesia-conference-singapore-2027/" TargetMode="External"/><Relationship Id="rId5" Type="http://schemas.openxmlformats.org/officeDocument/2006/relationships/hyperlink" Target="https://www.iqpc.com/events-asiahealthcareweek" TargetMode="External"/><Relationship Id="rId6" Type="http://schemas.openxmlformats.org/officeDocument/2006/relationships/hyperlink" Target="https://www.healthtechx-asia.com/" TargetMode="External"/><Relationship Id="rId7" Type="http://schemas.openxmlformats.org/officeDocument/2006/relationships/hyperlink" Target="https://smarthealthasia.com/" TargetMode="External"/><Relationship Id="rId8" Type="http://schemas.openxmlformats.org/officeDocument/2006/relationships/hyperlink" Target="https://sua.sg/urofair-2027/" TargetMode="External"/><Relationship Id="rId9" Type="http://schemas.openxmlformats.org/officeDocument/2006/relationships/hyperlink" Target="https://conferencealerts.co.in/singapore/medicine-and-medical-science" TargetMode="External"/><Relationship Id="rId10" Type="http://schemas.openxmlformats.org/officeDocument/2006/relationships/hyperlink" Target="https://www.sgcr-wires.com/acar2027" TargetMode="External"/><Relationship Id="rId11" Type="http://schemas.openxmlformats.org/officeDocument/2006/relationships/hyperlink" Target="https://www.singhealthacademy.edu.sg/sims/events-programmes/academia/point-of-care-ultrasound" TargetMode="External"/><Relationship Id="rId12" Type="http://schemas.openxmlformats.org/officeDocument/2006/relationships/hyperlink" Target="https://ieee-uffc.org/event/conference/2027-ieee-international-ultrasonics-symposium" TargetMode="External"/><Relationship Id="rId13" Type="http://schemas.openxmlformats.org/officeDocument/2006/relationships/hyperlink" Target="https://shbc.com.sg/" TargetMode="External"/><Relationship Id="rId14" Type="http://schemas.openxmlformats.org/officeDocument/2006/relationships/hyperlink" Target="https://expo.taiwan-healthcare.org/en/" TargetMode="External"/><Relationship Id="rId15" Type="http://schemas.openxmlformats.org/officeDocument/2006/relationships/hyperlink" Target="https://tsocmeeting.org/" TargetMode="External"/><Relationship Id="rId16" Type="http://schemas.openxmlformats.org/officeDocument/2006/relationships/hyperlink" Target="https://www.rsroc.org.tw/news/news_detail.asp?news_id=96" TargetMode="External"/><Relationship Id="rId17" Type="http://schemas.openxmlformats.org/officeDocument/2006/relationships/hyperlink" Target="https://www.taog.org.tw/year_list.php" TargetMode="External"/><Relationship Id="rId18" Type="http://schemas.openxmlformats.org/officeDocument/2006/relationships/hyperlink" Target="https://www.rsroc.org.tw/" TargetMode="External"/><Relationship Id="rId19" Type="http://schemas.openxmlformats.org/officeDocument/2006/relationships/hyperlink" Target="https://www.tsoc.org.tw/" TargetMode="External"/><Relationship Id="rId20" Type="http://schemas.openxmlformats.org/officeDocument/2006/relationships/hyperlink" Target="https://www.sem.org.tw/News/12/Index" TargetMode="External"/><Relationship Id="rId21" Type="http://schemas.openxmlformats.org/officeDocument/2006/relationships/hyperlink" Target="https://www.medicaltaiwan.com.tw/zh-tw/index.html" TargetMode="External"/><Relationship Id="rId22" Type="http://schemas.openxmlformats.org/officeDocument/2006/relationships/hyperlink" Target="https://www.tpta.org.tw/articles.php?type=forwarded&amp;pid=520" TargetMode="External"/><Relationship Id="rId23" Type="http://schemas.openxmlformats.org/officeDocument/2006/relationships/hyperlink" Target="https://www.anesth.org.tw/events/content.asp?ID=3091&amp;EduType=1" TargetMode="External"/><Relationship Id="rId24" Type="http://schemas.openxmlformats.org/officeDocument/2006/relationships/hyperlink" Target="https://www.sumroc.org.tw/index.php?action=annual" TargetMode="External"/><Relationship Id="rId25" Type="http://schemas.openxmlformats.org/officeDocument/2006/relationships/hyperlink" Target="https://expo.taiwan-healthcare.org/en/" TargetMode="External"/><Relationship Id="rId26" Type="http://schemas.openxmlformats.org/officeDocument/2006/relationships/hyperlink" Target="https://www.ksecho.org/academic_event/annual_schedule_all.php" TargetMode="External"/><Relationship Id="rId27" Type="http://schemas.openxmlformats.org/officeDocument/2006/relationships/hyperlink" Target="https://iscu.or.kr/" TargetMode="External"/><Relationship Id="rId28" Type="http://schemas.openxmlformats.org/officeDocument/2006/relationships/hyperlink" Target="https://www.kimes.kr/" TargetMode="External"/><Relationship Id="rId29" Type="http://schemas.openxmlformats.org/officeDocument/2006/relationships/hyperlink" Target="https://www.circulation.or.kr/bbs/?code=meeting" TargetMode="External"/><Relationship Id="rId30" Type="http://schemas.openxmlformats.org/officeDocument/2006/relationships/hyperlink" Target="https://emergency.or.kr/" TargetMode="External"/><Relationship Id="rId31" Type="http://schemas.openxmlformats.org/officeDocument/2006/relationships/hyperlink" Target="https://www.kbcs.or.kr/html/" TargetMode="External"/><Relationship Id="rId32" Type="http://schemas.openxmlformats.org/officeDocument/2006/relationships/hyperlink" Target="https://2026.ksum.or.kr/about/about.php" TargetMode="External"/><Relationship Id="rId33" Type="http://schemas.openxmlformats.org/officeDocument/2006/relationships/hyperlink" Target="https://khospital.org/" TargetMode="External"/><Relationship Id="rId34" Type="http://schemas.openxmlformats.org/officeDocument/2006/relationships/hyperlink" Target="https://www.radiology.or.kr/" TargetMode="External"/><Relationship Id="rId35" Type="http://schemas.openxmlformats.org/officeDocument/2006/relationships/hyperlink" Target="https://www.circulation.or.kr/bbs/?code=meeting" TargetMode="External"/><Relationship Id="rId36" Type="http://schemas.openxmlformats.org/officeDocument/2006/relationships/hyperlink" Target="https://ksuog.or.kr/" TargetMode="External"/><Relationship Id="rId37" Type="http://schemas.openxmlformats.org/officeDocument/2006/relationships/hyperlink" Target="https://ksog.org/bbs/?category=1&amp;code=schedule2" TargetMode="External"/><Relationship Id="rId38" Type="http://schemas.openxmlformats.org/officeDocument/2006/relationships/hyperlink" Target="https://www.ksecho.org/" TargetMode="External"/><Relationship Id="rId39" Type="http://schemas.openxmlformats.org/officeDocument/2006/relationships/hyperlink" Target="https://www.jsum.or.jp/members/calendar/2026/" TargetMode="External"/><Relationship Id="rId40" Type="http://schemas.openxmlformats.org/officeDocument/2006/relationships/hyperlink" Target="https://www.jsum.or.jp/members/calendar/2027/" TargetMode="External"/><Relationship Id="rId41" Type="http://schemas.openxmlformats.org/officeDocument/2006/relationships/hyperlink" Target="https://www.nagoya-cci.or.jp/koho/news-release/pr/newsrelease20260818_19.pdf" TargetMode="External"/><Relationship Id="rId42" Type="http://schemas.openxmlformats.org/officeDocument/2006/relationships/hyperlink" Target="https://www.jsum.or.jp/members/calendar/2027/" TargetMode="External"/><Relationship Id="rId43" Type="http://schemas.openxmlformats.org/officeDocument/2006/relationships/hyperlink" Target="https://www.jsum.or.jp/members/calendar/2027/" TargetMode="External"/><Relationship Id="rId44" Type="http://schemas.openxmlformats.org/officeDocument/2006/relationships/hyperlink" Target="https://www.jsum.or.jp/members/calendar/2027/" TargetMode="External"/><Relationship Id="rId45" Type="http://schemas.openxmlformats.org/officeDocument/2006/relationships/hyperlink" Target="https://www.congre.co.jp/jcs2027/" TargetMode="External"/><Relationship Id="rId46" Type="http://schemas.openxmlformats.org/officeDocument/2006/relationships/hyperlink" Target="https://site2.convention.co.jp/jrs86/" TargetMode="External"/><Relationship Id="rId47" Type="http://schemas.openxmlformats.org/officeDocument/2006/relationships/hyperlink" Target="https://www.jse.gr.jp/" TargetMode="External"/><Relationship Id="rId48" Type="http://schemas.openxmlformats.org/officeDocument/2006/relationships/hyperlink" Target="https://isoukai2027.jp/index.html" TargetMode="External"/><Relationship Id="rId49" Type="http://schemas.openxmlformats.org/officeDocument/2006/relationships/hyperlink" Target="https://www.congre.co.jp/jsog2027/" TargetMode="External"/><Relationship Id="rId50" Type="http://schemas.openxmlformats.org/officeDocument/2006/relationships/hyperlink" Target="https://www.congre.co.jp/joa2027/" TargetMode="External"/><Relationship Id="rId51" Type="http://schemas.openxmlformats.org/officeDocument/2006/relationships/hyperlink" Target="https://www.jsum.or.jp/members/calendar/2027/" TargetMode="External"/><Relationship Id="rId52" Type="http://schemas.openxmlformats.org/officeDocument/2006/relationships/hyperlink" Target="https://medical.nikkeibp.co.jp/inc/all/gakkai/calendar/42.html" TargetMode="External"/><Relationship Id="rId53" Type="http://schemas.openxmlformats.org/officeDocument/2006/relationships/hyperlink" Target="https://c-lef.co.jp/jss52/outline/index.html" TargetMode="External"/><Relationship Id="rId54" Type="http://schemas.openxmlformats.org/officeDocument/2006/relationships/hyperlink" Target="https://www.c-linkage.co.jp/jbcs2027/" TargetMode="External"/><Relationship Id="rId55" Type="http://schemas.openxmlformats.org/officeDocument/2006/relationships/hyperlink" Target="https://www.noma-hs.com/" TargetMode="External"/><Relationship Id="rId56" Type="http://schemas.openxmlformats.org/officeDocument/2006/relationships/hyperlink" Target="https://www.ningen-dock.jp/" TargetMode="External"/><Relationship Id="rId57" Type="http://schemas.openxmlformats.org/officeDocument/2006/relationships/hyperlink" Target="https://jabts.jp/jabtsgakujutsushunki/gakujutushukai/" TargetMode="External"/><Relationship Id="rId58" Type="http://schemas.openxmlformats.org/officeDocument/2006/relationships/hyperlink" Target="https://www.jsum.or.jp/members/calendar/2026/" TargetMode="External"/><Relationship Id="rId59" Type="http://schemas.openxmlformats.org/officeDocument/2006/relationships/hyperlink" Target="https://medical-jpn.jp/osaka/en-gb.html" TargetMode="External"/><Relationship Id="rId60" Type="http://schemas.openxmlformats.org/officeDocument/2006/relationships/hyperlink" Target="https://www.jddw.jp/jddw2027/index.html" TargetMode="External"/><Relationship Id="rId61" Type="http://schemas.openxmlformats.org/officeDocument/2006/relationships/hyperlink" Target="https://www.jma.or.jp/hospex/" TargetMode="External"/><Relationship Id="rId62"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hyperlink" Target="https://sva.org.sg/news/small-animal-abdomen-ultrasound-workshop/" TargetMode="External"/><Relationship Id="rId2" Type="http://schemas.openxmlformats.org/officeDocument/2006/relationships/hyperlink" Target="https://sva.org.sg/news/tp-svi-small-animal-vet-ultrasound-courses/" TargetMode="External"/><Relationship Id="rId3" Type="http://schemas.openxmlformats.org/officeDocument/2006/relationships/hyperlink" Target="https://petexposg.com/" TargetMode="External"/><Relationship Id="rId4" Type="http://schemas.openxmlformats.org/officeDocument/2006/relationships/hyperlink" Target="https://www.vetducate.com/product-page/foundations-in-ultrasonography" TargetMode="External"/><Relationship Id="rId5" Type="http://schemas.openxmlformats.org/officeDocument/2006/relationships/hyperlink" Target="https://www.sgpetfestival.com/" TargetMode="External"/><Relationship Id="rId6" Type="http://schemas.openxmlformats.org/officeDocument/2006/relationships/hyperlink" Target="https://sva.org.sg/about/" TargetMode="External"/><Relationship Id="rId7" Type="http://schemas.openxmlformats.org/officeDocument/2006/relationships/hyperlink" Target="https://www.vetshow.com/singapore-vet" TargetMode="External"/><Relationship Id="rId8" Type="http://schemas.openxmlformats.org/officeDocument/2006/relationships/hyperlink" Target="https://expo.taiwan-healthcare.org/en/" TargetMode="External"/><Relationship Id="rId9" Type="http://schemas.openxmlformats.org/officeDocument/2006/relationships/hyperlink" Target="https://www.chanchao.com.tw/PetsShow/kaohsiung/" TargetMode="External"/><Relationship Id="rId10" Type="http://schemas.openxmlformats.org/officeDocument/2006/relationships/hyperlink" Target="https://www.aicvs-aicvim2026.tw/" TargetMode="External"/><Relationship Id="rId11" Type="http://schemas.openxmlformats.org/officeDocument/2006/relationships/hyperlink" Target="https://www.tpvma.org.tw/" TargetMode="External"/><Relationship Id="rId12" Type="http://schemas.openxmlformats.org/officeDocument/2006/relationships/hyperlink" Target="https://tavim.org/" TargetMode="External"/><Relationship Id="rId13" Type="http://schemas.openxmlformats.org/officeDocument/2006/relationships/hyperlink" Target="https://www.eventseye.com/fairs/cst1_trade-shows_taiwan_pet-animals.html" TargetMode="External"/><Relationship Id="rId14" Type="http://schemas.openxmlformats.org/officeDocument/2006/relationships/hyperlink" Target="https://www.tcvs.tw/" TargetMode="External"/><Relationship Id="rId15" Type="http://schemas.openxmlformats.org/officeDocument/2006/relationships/hyperlink" Target="https://www.chanchao.com.tw/PetsShow/kaohsiung/" TargetMode="External"/><Relationship Id="rId16" Type="http://schemas.openxmlformats.org/officeDocument/2006/relationships/hyperlink" Target="https://www.medicaltaiwan.com.tw/zh-tw/index.html" TargetMode="External"/><Relationship Id="rId17" Type="http://schemas.openxmlformats.org/officeDocument/2006/relationships/hyperlink" Target="https://www.chanchao.com.tw/en/expoDetail.asp?id=AQP2026" TargetMode="External"/><Relationship Id="rId18" Type="http://schemas.openxmlformats.org/officeDocument/2006/relationships/hyperlink" Target="https://www.eventseye.com/fairs/f-chanchao-meow-expo-27744-1.html" TargetMode="External"/><Relationship Id="rId19" Type="http://schemas.openxmlformats.org/officeDocument/2006/relationships/hyperlink" Target="https://www.dailyvet.co.kr/news/academy" TargetMode="External"/><Relationship Id="rId20" Type="http://schemas.openxmlformats.org/officeDocument/2006/relationships/hyperlink" Target="https://www.kimes.kr/" TargetMode="External"/><Relationship Id="rId21" Type="http://schemas.openxmlformats.org/officeDocument/2006/relationships/hyperlink" Target="https://www.svma.or.kr/conference/conferenceList.do" TargetMode="External"/><Relationship Id="rId22" Type="http://schemas.openxmlformats.org/officeDocument/2006/relationships/hyperlink" Target="https://www.ksvs.or.kr/conference/conferenceList.do" TargetMode="External"/><Relationship Id="rId23" Type="http://schemas.openxmlformats.org/officeDocument/2006/relationships/hyperlink" Target="https://www.dailyvet.co.kr/events/20260405ksvs" TargetMode="External"/><Relationship Id="rId24" Type="http://schemas.openxmlformats.org/officeDocument/2006/relationships/hyperlink" Target="https://megazoo.co.kr/" TargetMode="External"/><Relationship Id="rId25" Type="http://schemas.openxmlformats.org/officeDocument/2006/relationships/hyperlink" Target="https://www.dailyvet.co.kr/news/academy/299184" TargetMode="External"/><Relationship Id="rId26" Type="http://schemas.openxmlformats.org/officeDocument/2006/relationships/hyperlink" Target="https://www.svma.or.kr/conference/conferenceList.do" TargetMode="External"/><Relationship Id="rId27" Type="http://schemas.openxmlformats.org/officeDocument/2006/relationships/hyperlink" Target="https://www.dailyvet.co.kr/news/association/282228" TargetMode="External"/><Relationship Id="rId28" Type="http://schemas.openxmlformats.org/officeDocument/2006/relationships/hyperlink" Target="https://www.dailyvet.co.kr/news/academy/300170" TargetMode="External"/><Relationship Id="rId29" Type="http://schemas.openxmlformats.org/officeDocument/2006/relationships/hyperlink" Target="https://megazoo.co.kr/" TargetMode="External"/><Relationship Id="rId30" Type="http://schemas.openxmlformats.org/officeDocument/2006/relationships/hyperlink" Target="https://www.ksvs.or.kr/conference/conferenceList.do" TargetMode="External"/><Relationship Id="rId31" Type="http://schemas.openxmlformats.org/officeDocument/2006/relationships/hyperlink" Target="https://jsvdi.com/conference/3332/" TargetMode="External"/><Relationship Id="rId32" Type="http://schemas.openxmlformats.org/officeDocument/2006/relationships/hyperlink" Target="https://sky-vets.com/seminar/" TargetMode="External"/><Relationship Id="rId33" Type="http://schemas.openxmlformats.org/officeDocument/2006/relationships/hyperlink" Target="https://www.jsvas.net/conference/index.php" TargetMode="External"/><Relationship Id="rId34" Type="http://schemas.openxmlformats.org/officeDocument/2006/relationships/hyperlink" Target="https://www.jvcs.jp/society/" TargetMode="External"/><Relationship Id="rId35" Type="http://schemas.openxmlformats.org/officeDocument/2006/relationships/hyperlink" Target="https://www.jcvim.org/" TargetMode="External"/><Relationship Id="rId36" Type="http://schemas.openxmlformats.org/officeDocument/2006/relationships/hyperlink" Target="https://jvma-vet.jp/society/" TargetMode="External"/><Relationship Id="rId37" Type="http://schemas.openxmlformats.org/officeDocument/2006/relationships/hyperlink" Target="https://www.jbvp.org/regional/nagoya.html" TargetMode="External"/><Relationship Id="rId38" Type="http://schemas.openxmlformats.org/officeDocument/2006/relationships/hyperlink" Target="https://www.jbvp.org/regional/kyushu.html" TargetMode="External"/><Relationship Id="rId39" Type="http://schemas.openxmlformats.org/officeDocument/2006/relationships/hyperlink" Target="https://www.jbvp.org/regional/hokkaido.html" TargetMode="External"/><Relationship Id="rId40" Type="http://schemas.openxmlformats.org/officeDocument/2006/relationships/hyperlink" Target="https://www.jbvp.org/regional/tohoku.html" TargetMode="External"/><Relationship Id="rId41" Type="http://schemas.openxmlformats.org/officeDocument/2006/relationships/hyperlink" Target="https://www.jbvp.org/regional/kyoto.html" TargetMode="External"/><Relationship Id="rId42" Type="http://schemas.openxmlformats.org/officeDocument/2006/relationships/hyperlink" Target="https://interpets.jp.messefrankfurt.com/tokyo/en/facts-figures.html" TargetMode="External"/><Relationship Id="rId43" Type="http://schemas.openxmlformats.org/officeDocument/2006/relationships/hyperlink" Target="https://www.jsvc.jp/meeting/" TargetMode="External"/><Relationship Id="rId44" Type="http://schemas.openxmlformats.org/officeDocument/2006/relationships/hyperlink" Target="https://interpets-osaka.jp.messefrankfurt.com/osaka/en.html" TargetMode="External"/><Relationship Id="rId45" Type="http://schemas.openxmlformats.org/officeDocument/2006/relationships/hyperlink" Target="https://jsvdi.com/category/conference/" TargetMode="External"/><Relationship Id="rId46" Type="http://schemas.openxmlformats.org/officeDocument/2006/relationships/hyperlink" Target="https://www.jsvas.net/conference/index.php" TargetMode="External"/><Relationship Id="rId47" Type="http://schemas.openxmlformats.org/officeDocument/2006/relationships/hyperlink" Target="https://www.jvcs.jp/society/" TargetMode="External"/><Relationship Id="rId48" Type="http://schemas.openxmlformats.org/officeDocument/2006/relationships/hyperlink" Target="https://www.noma-hs.com/" TargetMode="External"/><Relationship Id="rId49" Type="http://schemas.openxmlformats.org/officeDocument/2006/relationships/hyperlink" Target="https://www.jbvp.org/wjvf/" TargetMode="External"/><Relationship Id="rId50" Type="http://schemas.openxmlformats.org/officeDocument/2006/relationships/hyperlink" Target="https://www.jsvetsci.jp/meeting/index.php" TargetMode="External"/><Relationship Id="rId51" Type="http://schemas.openxmlformats.org/officeDocument/2006/relationships/hyperlink" Target="https://www.jbvp.org/forum/" TargetMode="External"/><Relationship Id="rId52" Type="http://schemas.openxmlformats.org/officeDocument/2006/relationships/hyperlink" Target="https://medical-jpn.jp/osaka/en-gb.html" TargetMode="External"/><Relationship Id="rId53" Type="http://schemas.openxmlformats.org/officeDocument/2006/relationships/hyperlink" Target="https://www.jsvc.jp/meeting/" TargetMode="External"/><Relationship Id="rId54" Type="http://schemas.openxmlformats.org/officeDocument/2006/relationships/drawing" Target="../drawings/drawing2.xml"/>
</Relationships>
</file>

<file path=xl/worksheets/_rels/sheet6.xml.rels><?xml version="1.0" encoding="UTF-8"?>
<Relationships xmlns="http://schemas.openxmlformats.org/package/2006/relationships"><Relationship Id="rId1" Type="http://schemas.openxmlformats.org/officeDocument/2006/relationships/hyperlink" Target="https://www.fujifilm.com/jp/ja/healthcare/events/veterinary" TargetMode="External"/><Relationship Id="rId2" Type="http://schemas.openxmlformats.org/officeDocument/2006/relationships/hyperlink" Target="https://www.yakuji.co.jp/?p=133219" TargetMode="External"/><Relationship Id="rId3" Type="http://schemas.openxmlformats.org/officeDocument/2006/relationships/hyperlink" Target="https://www.siemens-healthineers.com/jp/news-and-events/conferences-events-new/item" TargetMode="External"/><Relationship Id="rId4" Type="http://schemas.openxmlformats.org/officeDocument/2006/relationships/hyperlink" Target="https://www.gehealthcare.com/content/dam/gehc/sitecore-migrated-assets/files/japan/event/2025/20250411_item2025.pdf" TargetMode="External"/><Relationship Id="rId5" Type="http://schemas.openxmlformats.org/officeDocument/2006/relationships/hyperlink" Target="https://www.documents.philips.com/assets/20240604/97c55c34c58241d1b73bb18500379783.pdf" TargetMode="External"/><Relationship Id="rId6" Type="http://schemas.openxmlformats.org/officeDocument/2006/relationships/hyperlink" Target="https://www.hitachi.com/ja-jp/press/articles/2017/10/1004/" TargetMode="External"/><Relationship Id="rId7" Type="http://schemas.openxmlformats.org/officeDocument/2006/relationships/hyperlink" Target="http://www.shoeijapan.co.jp/products/products-v.html" TargetMode="External"/><Relationship Id="rId8" Type="http://schemas.openxmlformats.org/officeDocument/2006/relationships/hyperlink" Target="https://vet.mediark.co.jp/vetecho" TargetMode="External"/><Relationship Id="rId9" Type="http://schemas.openxmlformats.org/officeDocument/2006/relationships/hyperlink" Target="https://frontier-intl.co.jp/catalog/ultrasounddevice/" TargetMode="External"/><Relationship Id="rId10" Type="http://schemas.openxmlformats.org/officeDocument/2006/relationships/hyperlink" Target="https://www.koreabiomed.com/news/articleView.html?idxno=30734" TargetMode="External"/><Relationship Id="rId11" Type="http://schemas.openxmlformats.org/officeDocument/2006/relationships/hyperlink" Target="https://www.dailypharm.com/user/news/336537" TargetMode="External"/><Relationship Id="rId12" Type="http://schemas.openxmlformats.org/officeDocument/2006/relationships/hyperlink" Target="https://www.koreabiomed.com/news/articleView.html?idxno=31575" TargetMode="External"/><Relationship Id="rId13" Type="http://schemas.openxmlformats.org/officeDocument/2006/relationships/hyperlink" Target="https://10times.com/e1z3-0d00-fhhg" TargetMode="External"/><Relationship Id="rId14" Type="http://schemas.openxmlformats.org/officeDocument/2006/relationships/hyperlink" Target="https://www.sumroc.org.tw/index.php?action=annual" TargetMode="External"/><Relationship Id="rId15" Type="http://schemas.openxmlformats.org/officeDocument/2006/relationships/hyperlink" Target="https://www.rotarytc.com.tw/" TargetMode="External"/><Relationship Id="rId16" Type="http://schemas.openxmlformats.org/officeDocument/2006/relationships/hyperlink" Target="https://press.asus.com/news/press-releases/asus-healthcare-orchestration-hub-taiwan-expo/" TargetMode="External"/><Relationship Id="rId17" Type="http://schemas.openxmlformats.org/officeDocument/2006/relationships/hyperlink" Target="https://www.eastech-medical.com/" TargetMode="External"/><Relationship Id="rId18" Type="http://schemas.openxmlformats.org/officeDocument/2006/relationships/hyperlink" Target="https://singapore.vetshow.com/exhibitors/pretta-ultrasound" TargetMode="External"/><Relationship Id="rId19" Type="http://schemas.openxmlformats.org/officeDocument/2006/relationships/hyperlink" Target="https://sva.org.sg/news/tp-svi-small-animal-vet-ultrasound-courses/" TargetMode="External"/><Relationship Id="rId20" Type="http://schemas.openxmlformats.org/officeDocument/2006/relationships/hyperlink" Target="https://www.medicalfair-asia.com/exhibitor-list/" TargetMode="External"/><Relationship Id="rId2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7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35"/>
  </cols>
  <sheetData>
    <row r="1" customFormat="false" ht="16.15" hidden="false" customHeight="false" outlineLevel="0" collapsed="false">
      <c r="A1" s="1" t="s">
        <v>0</v>
      </c>
      <c r="B1" s="1"/>
    </row>
    <row r="2" customFormat="false" ht="15" hidden="false" customHeight="false" outlineLevel="0" collapsed="false">
      <c r="A2" s="2" t="s">
        <v>1</v>
      </c>
      <c r="B2" s="2"/>
    </row>
    <row r="4" customFormat="false" ht="15" hidden="false" customHeight="false" outlineLevel="0" collapsed="false">
      <c r="A4" s="3" t="s">
        <v>2</v>
      </c>
      <c r="B4" s="3"/>
    </row>
    <row r="5" customFormat="false" ht="22.35" hidden="false" customHeight="false" outlineLevel="0" collapsed="false">
      <c r="A5" s="4" t="s">
        <v>3</v>
      </c>
      <c r="B5" s="5" t="s">
        <v>4</v>
      </c>
    </row>
    <row r="6" customFormat="false" ht="15" hidden="false" customHeight="false" outlineLevel="0" collapsed="false">
      <c r="A6" s="4" t="s">
        <v>5</v>
      </c>
      <c r="B6" s="5" t="s">
        <v>6</v>
      </c>
    </row>
    <row r="7" customFormat="false" ht="22.35" hidden="false" customHeight="false" outlineLevel="0" collapsed="false">
      <c r="A7" s="4" t="s">
        <v>7</v>
      </c>
      <c r="B7" s="5" t="s">
        <v>8</v>
      </c>
    </row>
    <row r="8" customFormat="false" ht="15" hidden="false" customHeight="false" outlineLevel="0" collapsed="false">
      <c r="A8" s="4" t="s">
        <v>9</v>
      </c>
      <c r="B8" s="5" t="s">
        <v>10</v>
      </c>
    </row>
    <row r="10" customFormat="false" ht="15" hidden="false" customHeight="false" outlineLevel="0" collapsed="false">
      <c r="A10" s="3" t="s">
        <v>11</v>
      </c>
      <c r="B10" s="3"/>
    </row>
    <row r="11" customFormat="false" ht="22.35" hidden="false" customHeight="false" outlineLevel="0" collapsed="false">
      <c r="A11" s="4" t="s">
        <v>12</v>
      </c>
      <c r="B11" s="5" t="s">
        <v>13</v>
      </c>
    </row>
    <row r="12" customFormat="false" ht="22.35" hidden="false" customHeight="false" outlineLevel="0" collapsed="false">
      <c r="A12" s="4" t="s">
        <v>14</v>
      </c>
      <c r="B12" s="5" t="s">
        <v>15</v>
      </c>
    </row>
    <row r="13" customFormat="false" ht="22.35" hidden="false" customHeight="false" outlineLevel="0" collapsed="false">
      <c r="A13" s="4" t="s">
        <v>16</v>
      </c>
      <c r="B13" s="5" t="s">
        <v>17</v>
      </c>
    </row>
    <row r="15" customFormat="false" ht="15" hidden="false" customHeight="false" outlineLevel="0" collapsed="false">
      <c r="A15" s="3" t="s">
        <v>18</v>
      </c>
      <c r="B15" s="3"/>
    </row>
    <row r="16" customFormat="false" ht="15" hidden="false" customHeight="false" outlineLevel="0" collapsed="false">
      <c r="A16" s="4" t="s">
        <v>19</v>
      </c>
      <c r="B16" s="5" t="s">
        <v>20</v>
      </c>
    </row>
    <row r="17" customFormat="false" ht="22.35" hidden="false" customHeight="false" outlineLevel="0" collapsed="false">
      <c r="A17" s="4" t="s">
        <v>21</v>
      </c>
      <c r="B17" s="5" t="s">
        <v>22</v>
      </c>
    </row>
    <row r="18" customFormat="false" ht="22.35" hidden="false" customHeight="false" outlineLevel="0" collapsed="false">
      <c r="A18" s="4" t="s">
        <v>23</v>
      </c>
      <c r="B18" s="5" t="s">
        <v>24</v>
      </c>
    </row>
    <row r="19" customFormat="false" ht="22.35" hidden="false" customHeight="false" outlineLevel="0" collapsed="false">
      <c r="A19" s="4" t="s">
        <v>25</v>
      </c>
      <c r="B19" s="5" t="s">
        <v>26</v>
      </c>
    </row>
    <row r="21" customFormat="false" ht="15" hidden="false" customHeight="false" outlineLevel="0" collapsed="false">
      <c r="A21" s="3" t="s">
        <v>27</v>
      </c>
      <c r="B21" s="3"/>
    </row>
    <row r="22" customFormat="false" ht="15" hidden="false" customHeight="false" outlineLevel="0" collapsed="false">
      <c r="A22" s="4" t="s">
        <v>28</v>
      </c>
      <c r="B22" s="5" t="s">
        <v>29</v>
      </c>
    </row>
    <row r="23" customFormat="false" ht="15" hidden="false" customHeight="false" outlineLevel="0" collapsed="false">
      <c r="A23" s="4" t="s">
        <v>30</v>
      </c>
      <c r="B23" s="5" t="s">
        <v>31</v>
      </c>
    </row>
    <row r="24" customFormat="false" ht="15" hidden="false" customHeight="false" outlineLevel="0" collapsed="false">
      <c r="A24" s="4" t="s">
        <v>32</v>
      </c>
      <c r="B24" s="5" t="s">
        <v>33</v>
      </c>
    </row>
    <row r="25" customFormat="false" ht="15" hidden="false" customHeight="false" outlineLevel="0" collapsed="false">
      <c r="A25" s="4" t="s">
        <v>34</v>
      </c>
      <c r="B25" s="5" t="s">
        <v>35</v>
      </c>
    </row>
    <row r="26" customFormat="false" ht="15" hidden="false" customHeight="false" outlineLevel="0" collapsed="false">
      <c r="A26" s="4" t="s">
        <v>36</v>
      </c>
      <c r="B26" s="5" t="s">
        <v>37</v>
      </c>
    </row>
    <row r="27" customFormat="false" ht="15" hidden="false" customHeight="false" outlineLevel="0" collapsed="false">
      <c r="A27" s="4" t="s">
        <v>38</v>
      </c>
      <c r="B27" s="5" t="s">
        <v>39</v>
      </c>
    </row>
    <row r="28" customFormat="false" ht="22.35" hidden="false" customHeight="false" outlineLevel="0" collapsed="false">
      <c r="A28" s="4" t="s">
        <v>40</v>
      </c>
      <c r="B28" s="5" t="s">
        <v>41</v>
      </c>
    </row>
    <row r="29" customFormat="false" ht="15" hidden="false" customHeight="false" outlineLevel="0" collapsed="false">
      <c r="A29" s="4" t="s">
        <v>42</v>
      </c>
      <c r="B29" s="5" t="s">
        <v>43</v>
      </c>
    </row>
    <row r="31" customFormat="false" ht="15" hidden="false" customHeight="false" outlineLevel="0" collapsed="false">
      <c r="A31" s="3" t="s">
        <v>44</v>
      </c>
      <c r="B31" s="3"/>
    </row>
    <row r="32" customFormat="false" ht="32.8" hidden="false" customHeight="false" outlineLevel="0" collapsed="false">
      <c r="A32" s="4" t="s">
        <v>45</v>
      </c>
      <c r="B32" s="5" t="s">
        <v>46</v>
      </c>
    </row>
    <row r="33" customFormat="false" ht="22.35" hidden="false" customHeight="false" outlineLevel="0" collapsed="false">
      <c r="A33" s="4" t="s">
        <v>47</v>
      </c>
      <c r="B33" s="5" t="s">
        <v>48</v>
      </c>
    </row>
    <row r="34" customFormat="false" ht="22.35" hidden="false" customHeight="false" outlineLevel="0" collapsed="false">
      <c r="A34" s="4" t="s">
        <v>49</v>
      </c>
      <c r="B34" s="5" t="s">
        <v>50</v>
      </c>
    </row>
    <row r="35" customFormat="false" ht="22.35" hidden="false" customHeight="false" outlineLevel="0" collapsed="false">
      <c r="A35" s="4" t="s">
        <v>51</v>
      </c>
      <c r="B35" s="5" t="s">
        <v>52</v>
      </c>
    </row>
    <row r="36" customFormat="false" ht="22.35" hidden="false" customHeight="false" outlineLevel="0" collapsed="false">
      <c r="A36" s="4" t="s">
        <v>53</v>
      </c>
      <c r="B36" s="5" t="s">
        <v>54</v>
      </c>
    </row>
    <row r="37" customFormat="false" ht="22.35" hidden="false" customHeight="false" outlineLevel="0" collapsed="false">
      <c r="A37" s="4" t="s">
        <v>55</v>
      </c>
      <c r="B37" s="5" t="s">
        <v>56</v>
      </c>
    </row>
    <row r="38" customFormat="false" ht="22.35" hidden="false" customHeight="false" outlineLevel="0" collapsed="false">
      <c r="A38" s="4" t="s">
        <v>57</v>
      </c>
      <c r="B38" s="5" t="s">
        <v>58</v>
      </c>
    </row>
    <row r="40" customFormat="false" ht="15" hidden="false" customHeight="false" outlineLevel="0" collapsed="false">
      <c r="A40" s="3" t="s">
        <v>59</v>
      </c>
      <c r="B40" s="3"/>
    </row>
    <row r="41" customFormat="false" ht="22.35" hidden="false" customHeight="false" outlineLevel="0" collapsed="false">
      <c r="A41" s="4" t="s">
        <v>60</v>
      </c>
      <c r="B41" s="5" t="s">
        <v>61</v>
      </c>
    </row>
    <row r="42" customFormat="false" ht="15" hidden="false" customHeight="false" outlineLevel="0" collapsed="false">
      <c r="A42" s="4" t="s">
        <v>62</v>
      </c>
      <c r="B42" s="5" t="s">
        <v>63</v>
      </c>
    </row>
    <row r="43" customFormat="false" ht="22.35" hidden="false" customHeight="false" outlineLevel="0" collapsed="false">
      <c r="A43" s="4" t="s">
        <v>64</v>
      </c>
      <c r="B43" s="5" t="s">
        <v>65</v>
      </c>
    </row>
    <row r="44" customFormat="false" ht="22.35" hidden="false" customHeight="false" outlineLevel="0" collapsed="false">
      <c r="A44" s="4" t="s">
        <v>66</v>
      </c>
      <c r="B44" s="5" t="s">
        <v>67</v>
      </c>
    </row>
    <row r="45" customFormat="false" ht="15" hidden="false" customHeight="false" outlineLevel="0" collapsed="false">
      <c r="A45" s="4" t="s">
        <v>68</v>
      </c>
      <c r="B45" s="5" t="s">
        <v>69</v>
      </c>
    </row>
    <row r="46" customFormat="false" ht="15" hidden="false" customHeight="false" outlineLevel="0" collapsed="false">
      <c r="A46" s="4" t="s">
        <v>70</v>
      </c>
      <c r="B46" s="5" t="s">
        <v>71</v>
      </c>
    </row>
    <row r="48" customFormat="false" ht="15" hidden="false" customHeight="false" outlineLevel="0" collapsed="false">
      <c r="A48" s="3" t="s">
        <v>72</v>
      </c>
      <c r="B48" s="3"/>
    </row>
    <row r="49" customFormat="false" ht="43.25" hidden="false" customHeight="false" outlineLevel="0" collapsed="false">
      <c r="A49" s="4" t="s">
        <v>73</v>
      </c>
      <c r="B49" s="5" t="s">
        <v>74</v>
      </c>
    </row>
    <row r="50" customFormat="false" ht="22.35" hidden="false" customHeight="false" outlineLevel="0" collapsed="false">
      <c r="A50" s="4" t="s">
        <v>75</v>
      </c>
      <c r="B50" s="5" t="s">
        <v>76</v>
      </c>
    </row>
    <row r="51" customFormat="false" ht="15" hidden="false" customHeight="false" outlineLevel="0" collapsed="false">
      <c r="A51" s="4" t="s">
        <v>77</v>
      </c>
      <c r="B51" s="5" t="s">
        <v>78</v>
      </c>
    </row>
    <row r="52" customFormat="false" ht="15" hidden="false" customHeight="false" outlineLevel="0" collapsed="false">
      <c r="A52" s="4" t="s">
        <v>79</v>
      </c>
      <c r="B52" s="5" t="s">
        <v>80</v>
      </c>
    </row>
    <row r="53" customFormat="false" ht="22.35" hidden="false" customHeight="false" outlineLevel="0" collapsed="false">
      <c r="A53" s="4" t="s">
        <v>81</v>
      </c>
      <c r="B53" s="5" t="s">
        <v>82</v>
      </c>
    </row>
    <row r="54" customFormat="false" ht="32.8" hidden="false" customHeight="false" outlineLevel="0" collapsed="false">
      <c r="A54" s="4" t="s">
        <v>83</v>
      </c>
      <c r="B54" s="5" t="s">
        <v>84</v>
      </c>
    </row>
    <row r="55" customFormat="false" ht="22.35" hidden="false" customHeight="false" outlineLevel="0" collapsed="false">
      <c r="A55" s="4" t="s">
        <v>85</v>
      </c>
      <c r="B55" s="5" t="s">
        <v>86</v>
      </c>
    </row>
    <row r="56" customFormat="false" ht="15" hidden="false" customHeight="false" outlineLevel="0" collapsed="false">
      <c r="A56" s="4" t="s">
        <v>87</v>
      </c>
      <c r="B56" s="5" t="s">
        <v>88</v>
      </c>
    </row>
    <row r="57" customFormat="false" ht="15" hidden="false" customHeight="false" outlineLevel="0" collapsed="false">
      <c r="A57" s="4" t="s">
        <v>89</v>
      </c>
      <c r="B57" s="5" t="s">
        <v>90</v>
      </c>
    </row>
    <row r="58" customFormat="false" ht="15" hidden="false" customHeight="false" outlineLevel="0" collapsed="false">
      <c r="A58" s="4" t="s">
        <v>91</v>
      </c>
      <c r="B58" s="5" t="s">
        <v>92</v>
      </c>
    </row>
    <row r="60" customFormat="false" ht="15" hidden="false" customHeight="false" outlineLevel="0" collapsed="false">
      <c r="A60" s="3" t="s">
        <v>93</v>
      </c>
      <c r="B60" s="3"/>
    </row>
    <row r="61" customFormat="false" ht="15" hidden="false" customHeight="false" outlineLevel="0" collapsed="false">
      <c r="A61" s="4" t="s">
        <v>94</v>
      </c>
      <c r="B61" s="5" t="s">
        <v>95</v>
      </c>
    </row>
    <row r="62" customFormat="false" ht="15" hidden="false" customHeight="false" outlineLevel="0" collapsed="false">
      <c r="A62" s="4" t="s">
        <v>96</v>
      </c>
      <c r="B62" s="5" t="s">
        <v>97</v>
      </c>
    </row>
    <row r="63" customFormat="false" ht="15" hidden="false" customHeight="false" outlineLevel="0" collapsed="false">
      <c r="A63" s="4" t="s">
        <v>98</v>
      </c>
      <c r="B63" s="5" t="s">
        <v>99</v>
      </c>
    </row>
    <row r="64" customFormat="false" ht="15" hidden="false" customHeight="false" outlineLevel="0" collapsed="false">
      <c r="A64" s="4" t="s">
        <v>100</v>
      </c>
      <c r="B64" s="5" t="s">
        <v>101</v>
      </c>
    </row>
    <row r="65" customFormat="false" ht="15" hidden="false" customHeight="false" outlineLevel="0" collapsed="false">
      <c r="A65" s="4" t="s">
        <v>102</v>
      </c>
      <c r="B65" s="5" t="s">
        <v>103</v>
      </c>
    </row>
    <row r="66" customFormat="false" ht="15" hidden="false" customHeight="false" outlineLevel="0" collapsed="false">
      <c r="A66" s="4" t="s">
        <v>104</v>
      </c>
      <c r="B66" s="5" t="s">
        <v>105</v>
      </c>
    </row>
    <row r="67" customFormat="false" ht="15" hidden="false" customHeight="false" outlineLevel="0" collapsed="false">
      <c r="A67" s="4" t="s">
        <v>106</v>
      </c>
      <c r="B67" s="5" t="s">
        <v>107</v>
      </c>
    </row>
    <row r="69" customFormat="false" ht="15" hidden="false" customHeight="false" outlineLevel="0" collapsed="false">
      <c r="A69" s="3" t="s">
        <v>108</v>
      </c>
      <c r="B69" s="3"/>
    </row>
    <row r="70" customFormat="false" ht="15" hidden="false" customHeight="false" outlineLevel="0" collapsed="false">
      <c r="A70" s="4" t="s">
        <v>109</v>
      </c>
      <c r="B70" s="5" t="s">
        <v>110</v>
      </c>
    </row>
    <row r="71" customFormat="false" ht="15" hidden="false" customHeight="false" outlineLevel="0" collapsed="false">
      <c r="A71" s="4" t="s">
        <v>111</v>
      </c>
      <c r="B71" s="5" t="s">
        <v>112</v>
      </c>
    </row>
    <row r="73" customFormat="false" ht="15" hidden="false" customHeight="false" outlineLevel="0" collapsed="false">
      <c r="A73" s="3" t="s">
        <v>113</v>
      </c>
      <c r="B73" s="3"/>
    </row>
    <row r="74" customFormat="false" ht="22.35" hidden="false" customHeight="false" outlineLevel="0" collapsed="false">
      <c r="A74" s="4" t="s">
        <v>25</v>
      </c>
      <c r="B74" s="5" t="s">
        <v>114</v>
      </c>
    </row>
    <row r="75" customFormat="false" ht="15" hidden="false" customHeight="false" outlineLevel="0" collapsed="false">
      <c r="A75" s="4" t="s">
        <v>23</v>
      </c>
      <c r="B75" s="5" t="s">
        <v>115</v>
      </c>
    </row>
    <row r="76" customFormat="false" ht="22.35" hidden="false" customHeight="false" outlineLevel="0" collapsed="false">
      <c r="A76" s="4" t="s">
        <v>21</v>
      </c>
      <c r="B76" s="5" t="s">
        <v>116</v>
      </c>
    </row>
    <row r="77" customFormat="false" ht="15" hidden="false" customHeight="false" outlineLevel="0" collapsed="false">
      <c r="A77" s="4" t="s">
        <v>19</v>
      </c>
      <c r="B77" s="5" t="s">
        <v>117</v>
      </c>
    </row>
  </sheetData>
  <mergeCells count="12">
    <mergeCell ref="A1:B1"/>
    <mergeCell ref="A2:B2"/>
    <mergeCell ref="A4:B4"/>
    <mergeCell ref="A10:B10"/>
    <mergeCell ref="A15:B15"/>
    <mergeCell ref="A21:B21"/>
    <mergeCell ref="A31:B31"/>
    <mergeCell ref="A40:B40"/>
    <mergeCell ref="A48:B48"/>
    <mergeCell ref="A60:B60"/>
    <mergeCell ref="A69:B69"/>
    <mergeCell ref="A73:B73"/>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N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3" min="2" style="0" width="8"/>
    <col collapsed="false" customWidth="true" hidden="false" outlineLevel="0" max="4" min="4" style="0" width="26"/>
    <col collapsed="false" customWidth="true" hidden="false" outlineLevel="0" max="5" min="5" style="0" width="16"/>
    <col collapsed="false" customWidth="true" hidden="false" outlineLevel="0" max="6" min="6" style="0" width="10"/>
    <col collapsed="false" customWidth="true" hidden="false" outlineLevel="0" max="7" min="7" style="0" width="11"/>
    <col collapsed="false" customWidth="true" hidden="false" outlineLevel="0" max="9" min="8" style="0" width="13"/>
    <col collapsed="false" customWidth="true" hidden="false" outlineLevel="0" max="12" min="10" style="0" width="6"/>
    <col collapsed="false" customWidth="true" hidden="false" outlineLevel="0" max="13" min="13" style="0" width="12"/>
    <col collapsed="false" customWidth="true" hidden="false" outlineLevel="0" max="14" min="14" style="0" width="18"/>
  </cols>
  <sheetData>
    <row r="1" customFormat="false" ht="15" hidden="false" customHeight="false" outlineLevel="0" collapsed="false">
      <c r="A1" s="6" t="s">
        <v>118</v>
      </c>
      <c r="B1" s="6"/>
      <c r="C1" s="6"/>
      <c r="D1" s="6"/>
      <c r="E1" s="6"/>
      <c r="F1" s="6"/>
      <c r="G1" s="6"/>
      <c r="H1" s="6"/>
      <c r="I1" s="6"/>
      <c r="J1" s="6"/>
      <c r="K1" s="6"/>
      <c r="L1" s="6"/>
      <c r="M1" s="6"/>
      <c r="N1" s="6"/>
    </row>
    <row r="3" customFormat="false" ht="15" hidden="false" customHeight="false" outlineLevel="0" collapsed="false">
      <c r="A3" s="7" t="s">
        <v>119</v>
      </c>
    </row>
    <row r="4" customFormat="false" ht="60" hidden="false" customHeight="true" outlineLevel="0" collapsed="false">
      <c r="A4" s="8" t="s">
        <v>120</v>
      </c>
      <c r="B4" s="8" t="s">
        <v>121</v>
      </c>
      <c r="C4" s="8" t="s">
        <v>122</v>
      </c>
      <c r="D4" s="8" t="s">
        <v>123</v>
      </c>
      <c r="E4" s="8" t="s">
        <v>124</v>
      </c>
      <c r="F4" s="8" t="s">
        <v>125</v>
      </c>
      <c r="G4" s="8" t="s">
        <v>126</v>
      </c>
      <c r="H4" s="8" t="s">
        <v>127</v>
      </c>
      <c r="I4" s="8" t="s">
        <v>128</v>
      </c>
      <c r="J4" s="8" t="s">
        <v>129</v>
      </c>
      <c r="K4" s="8" t="s">
        <v>130</v>
      </c>
      <c r="L4" s="8" t="s">
        <v>131</v>
      </c>
      <c r="M4" s="8" t="s">
        <v>132</v>
      </c>
      <c r="N4" s="8" t="s">
        <v>133</v>
      </c>
    </row>
    <row r="5" customFormat="false" ht="15" hidden="false" customHeight="false" outlineLevel="0" collapsed="false">
      <c r="A5" s="9" t="s">
        <v>19</v>
      </c>
      <c r="B5" s="10" t="n">
        <v>10</v>
      </c>
      <c r="C5" s="11" t="n">
        <f aca="false">COUNTIFS('Diagnostics Events'!$D$3:$D$400,A5)</f>
        <v>13</v>
      </c>
      <c r="D5" s="11" t="n">
        <f aca="false">COUNTIFS('Diagnostics Events'!$D$3:$D$400,A5,'Diagnostics Events'!$C$3:$C$400,"Diagnostics",'Diagnostics Events'!$M$3:$M$400,"&lt;&gt;*Pet*")</f>
        <v>13</v>
      </c>
      <c r="E5" s="11" t="n">
        <f aca="false">COUNTIFS('Diagnostics Events'!$D$3:$D$400,A5,'Diagnostics Events'!$C$3:$C$400,"Both")</f>
        <v>0</v>
      </c>
      <c r="F5" s="11" t="n">
        <f aca="false">COUNTIFS('Diagnostics Events'!$D$3:$D$400,A5,'Diagnostics Events'!$M$3:$M$400,"*Pet*")</f>
        <v>0</v>
      </c>
      <c r="G5" s="11" t="n">
        <f aca="false">COUNTIFS('Diagnostics Events'!$D$3:$D$400,A5,'Diagnostics Events'!$J$3:$J$400,"Confirmed")</f>
        <v>5</v>
      </c>
      <c r="H5" s="11" t="n">
        <f aca="false">COUNTIFS('Diagnostics Events'!$D$3:$D$400,A5,'Diagnostics Events'!$J$3:$J$400,"Provisional")</f>
        <v>7</v>
      </c>
      <c r="I5" s="11" t="n">
        <f aca="false">COUNTIFS('Diagnostics Events'!$D$3:$D$400,A5,'Diagnostics Events'!$J$3:$J$400,"TBC")</f>
        <v>1</v>
      </c>
      <c r="J5" s="11" t="n">
        <f aca="false">COUNTIFS('Diagnostics Events'!$D$3:$D$400,A5,'Diagnostics Events'!$B$3:$B$400,"P1")</f>
        <v>2</v>
      </c>
      <c r="K5" s="11" t="n">
        <f aca="false">COUNTIFS('Diagnostics Events'!$D$3:$D$400,A5,'Diagnostics Events'!$B$3:$B$400,"P2")</f>
        <v>5</v>
      </c>
      <c r="L5" s="11" t="n">
        <f aca="false">COUNTIFS('Diagnostics Events'!$D$3:$D$400,A5,'Diagnostics Events'!$B$3:$B$400,"P3")</f>
        <v>6</v>
      </c>
      <c r="M5" s="11" t="n">
        <f aca="false">J5+K5</f>
        <v>7</v>
      </c>
      <c r="N5" s="12" t="str">
        <f aca="false">IF(C5&gt;=B5,"Yes","SHORT by "&amp;(B5-C5))</f>
        <v>Yes</v>
      </c>
    </row>
    <row r="6" customFormat="false" ht="15" hidden="false" customHeight="false" outlineLevel="0" collapsed="false">
      <c r="A6" s="9" t="s">
        <v>21</v>
      </c>
      <c r="B6" s="10" t="n">
        <v>10</v>
      </c>
      <c r="C6" s="11" t="n">
        <f aca="false">COUNTIFS('Diagnostics Events'!$D$3:$D$400,A6)</f>
        <v>12</v>
      </c>
      <c r="D6" s="11" t="n">
        <f aca="false">COUNTIFS('Diagnostics Events'!$D$3:$D$400,A6,'Diagnostics Events'!$C$3:$C$400,"Diagnostics",'Diagnostics Events'!$M$3:$M$400,"&lt;&gt;*Pet*")</f>
        <v>9</v>
      </c>
      <c r="E6" s="11" t="n">
        <f aca="false">COUNTIFS('Diagnostics Events'!$D$3:$D$400,A6,'Diagnostics Events'!$C$3:$C$400,"Both")</f>
        <v>3</v>
      </c>
      <c r="F6" s="11" t="n">
        <f aca="false">COUNTIFS('Diagnostics Events'!$D$3:$D$400,A6,'Diagnostics Events'!$M$3:$M$400,"*Pet*")</f>
        <v>0</v>
      </c>
      <c r="G6" s="11" t="n">
        <f aca="false">COUNTIFS('Diagnostics Events'!$D$3:$D$400,A6,'Diagnostics Events'!$J$3:$J$400,"Confirmed")</f>
        <v>3</v>
      </c>
      <c r="H6" s="11" t="n">
        <f aca="false">COUNTIFS('Diagnostics Events'!$D$3:$D$400,A6,'Diagnostics Events'!$J$3:$J$400,"Provisional")</f>
        <v>1</v>
      </c>
      <c r="I6" s="11" t="n">
        <f aca="false">COUNTIFS('Diagnostics Events'!$D$3:$D$400,A6,'Diagnostics Events'!$J$3:$J$400,"TBC")</f>
        <v>8</v>
      </c>
      <c r="J6" s="11" t="n">
        <f aca="false">COUNTIFS('Diagnostics Events'!$D$3:$D$400,A6,'Diagnostics Events'!$B$3:$B$400,"P1")</f>
        <v>3</v>
      </c>
      <c r="K6" s="11" t="n">
        <f aca="false">COUNTIFS('Diagnostics Events'!$D$3:$D$400,A6,'Diagnostics Events'!$B$3:$B$400,"P2")</f>
        <v>9</v>
      </c>
      <c r="L6" s="11" t="n">
        <f aca="false">COUNTIFS('Diagnostics Events'!$D$3:$D$400,A6,'Diagnostics Events'!$B$3:$B$400,"P3")</f>
        <v>0</v>
      </c>
      <c r="M6" s="11" t="n">
        <f aca="false">J6+K6</f>
        <v>12</v>
      </c>
      <c r="N6" s="12" t="str">
        <f aca="false">IF(C6&gt;=B6,"Yes","SHORT by "&amp;(B6-C6))</f>
        <v>Yes</v>
      </c>
    </row>
    <row r="7" customFormat="false" ht="15" hidden="false" customHeight="false" outlineLevel="0" collapsed="false">
      <c r="A7" s="9" t="s">
        <v>23</v>
      </c>
      <c r="B7" s="10" t="n">
        <v>10</v>
      </c>
      <c r="C7" s="11" t="n">
        <f aca="false">COUNTIFS('Diagnostics Events'!$D$3:$D$400,A7)</f>
        <v>13</v>
      </c>
      <c r="D7" s="11" t="n">
        <f aca="false">COUNTIFS('Diagnostics Events'!$D$3:$D$400,A7,'Diagnostics Events'!$C$3:$C$400,"Diagnostics",'Diagnostics Events'!$M$3:$M$400,"&lt;&gt;*Pet*")</f>
        <v>12</v>
      </c>
      <c r="E7" s="11" t="n">
        <f aca="false">COUNTIFS('Diagnostics Events'!$D$3:$D$400,A7,'Diagnostics Events'!$C$3:$C$400,"Both")</f>
        <v>1</v>
      </c>
      <c r="F7" s="11" t="n">
        <f aca="false">COUNTIFS('Diagnostics Events'!$D$3:$D$400,A7,'Diagnostics Events'!$M$3:$M$400,"*Pet*")</f>
        <v>0</v>
      </c>
      <c r="G7" s="11" t="n">
        <f aca="false">COUNTIFS('Diagnostics Events'!$D$3:$D$400,A7,'Diagnostics Events'!$J$3:$J$400,"Confirmed")</f>
        <v>4</v>
      </c>
      <c r="H7" s="11" t="n">
        <f aca="false">COUNTIFS('Diagnostics Events'!$D$3:$D$400,A7,'Diagnostics Events'!$J$3:$J$400,"Provisional")</f>
        <v>1</v>
      </c>
      <c r="I7" s="11" t="n">
        <f aca="false">COUNTIFS('Diagnostics Events'!$D$3:$D$400,A7,'Diagnostics Events'!$J$3:$J$400,"TBC")</f>
        <v>8</v>
      </c>
      <c r="J7" s="11" t="n">
        <f aca="false">COUNTIFS('Diagnostics Events'!$D$3:$D$400,A7,'Diagnostics Events'!$B$3:$B$400,"P1")</f>
        <v>3</v>
      </c>
      <c r="K7" s="11" t="n">
        <f aca="false">COUNTIFS('Diagnostics Events'!$D$3:$D$400,A7,'Diagnostics Events'!$B$3:$B$400,"P2")</f>
        <v>8</v>
      </c>
      <c r="L7" s="11" t="n">
        <f aca="false">COUNTIFS('Diagnostics Events'!$D$3:$D$400,A7,'Diagnostics Events'!$B$3:$B$400,"P3")</f>
        <v>2</v>
      </c>
      <c r="M7" s="11" t="n">
        <f aca="false">J7+K7</f>
        <v>11</v>
      </c>
      <c r="N7" s="12" t="str">
        <f aca="false">IF(C7&gt;=B7,"Yes","SHORT by "&amp;(B7-C7))</f>
        <v>Yes</v>
      </c>
    </row>
    <row r="8" customFormat="false" ht="15" hidden="false" customHeight="false" outlineLevel="0" collapsed="false">
      <c r="A8" s="9" t="s">
        <v>25</v>
      </c>
      <c r="B8" s="10" t="n">
        <v>20</v>
      </c>
      <c r="C8" s="11" t="n">
        <f aca="false">COUNTIFS('Diagnostics Events'!$D$3:$D$400,A8)</f>
        <v>23</v>
      </c>
      <c r="D8" s="11" t="n">
        <f aca="false">COUNTIFS('Diagnostics Events'!$D$3:$D$400,A8,'Diagnostics Events'!$C$3:$C$400,"Diagnostics",'Diagnostics Events'!$M$3:$M$400,"&lt;&gt;*Pet*")</f>
        <v>21</v>
      </c>
      <c r="E8" s="11" t="n">
        <f aca="false">COUNTIFS('Diagnostics Events'!$D$3:$D$400,A8,'Diagnostics Events'!$C$3:$C$400,"Both")</f>
        <v>2</v>
      </c>
      <c r="F8" s="11" t="n">
        <f aca="false">COUNTIFS('Diagnostics Events'!$D$3:$D$400,A8,'Diagnostics Events'!$M$3:$M$400,"*Pet*")</f>
        <v>0</v>
      </c>
      <c r="G8" s="11" t="n">
        <f aca="false">COUNTIFS('Diagnostics Events'!$D$3:$D$400,A8,'Diagnostics Events'!$J$3:$J$400,"Confirmed")</f>
        <v>19</v>
      </c>
      <c r="H8" s="11" t="n">
        <f aca="false">COUNTIFS('Diagnostics Events'!$D$3:$D$400,A8,'Diagnostics Events'!$J$3:$J$400,"Provisional")</f>
        <v>1</v>
      </c>
      <c r="I8" s="11" t="n">
        <f aca="false">COUNTIFS('Diagnostics Events'!$D$3:$D$400,A8,'Diagnostics Events'!$J$3:$J$400,"TBC")</f>
        <v>3</v>
      </c>
      <c r="J8" s="11" t="n">
        <f aca="false">COUNTIFS('Diagnostics Events'!$D$3:$D$400,A8,'Diagnostics Events'!$B$3:$B$400,"P1")</f>
        <v>4</v>
      </c>
      <c r="K8" s="11" t="n">
        <f aca="false">COUNTIFS('Diagnostics Events'!$D$3:$D$400,A8,'Diagnostics Events'!$B$3:$B$400,"P2")</f>
        <v>13</v>
      </c>
      <c r="L8" s="11" t="n">
        <f aca="false">COUNTIFS('Diagnostics Events'!$D$3:$D$400,A8,'Diagnostics Events'!$B$3:$B$400,"P3")</f>
        <v>6</v>
      </c>
      <c r="M8" s="11" t="n">
        <f aca="false">J8+K8</f>
        <v>17</v>
      </c>
      <c r="N8" s="12" t="str">
        <f aca="false">IF(C8&gt;=B8,"Yes","SHORT by "&amp;(B8-C8))</f>
        <v>Yes</v>
      </c>
    </row>
    <row r="9" customFormat="false" ht="15" hidden="false" customHeight="false" outlineLevel="0" collapsed="false">
      <c r="A9" s="13" t="s">
        <v>134</v>
      </c>
      <c r="B9" s="14" t="n">
        <f aca="false">SUM(B5:B8)</f>
        <v>50</v>
      </c>
      <c r="C9" s="14" t="n">
        <f aca="false">SUM(C5:C8)</f>
        <v>61</v>
      </c>
      <c r="D9" s="14" t="n">
        <f aca="false">SUM(D5:D8)</f>
        <v>55</v>
      </c>
      <c r="E9" s="14" t="n">
        <f aca="false">SUM(E5:E8)</f>
        <v>6</v>
      </c>
      <c r="F9" s="14" t="n">
        <f aca="false">SUM(F5:F8)</f>
        <v>0</v>
      </c>
      <c r="G9" s="14" t="n">
        <f aca="false">SUM(G5:G8)</f>
        <v>31</v>
      </c>
      <c r="H9" s="14" t="n">
        <f aca="false">SUM(H5:H8)</f>
        <v>10</v>
      </c>
      <c r="I9" s="14" t="n">
        <f aca="false">SUM(I5:I8)</f>
        <v>20</v>
      </c>
      <c r="J9" s="14" t="n">
        <f aca="false">SUM(J5:J8)</f>
        <v>12</v>
      </c>
      <c r="K9" s="14" t="n">
        <f aca="false">SUM(K5:K8)</f>
        <v>35</v>
      </c>
      <c r="L9" s="14" t="n">
        <f aca="false">SUM(L5:L8)</f>
        <v>14</v>
      </c>
      <c r="M9" s="14" t="n">
        <f aca="false">SUM(M5:M8)</f>
        <v>47</v>
      </c>
      <c r="N9" s="15" t="str">
        <f aca="false">IF(COUNTIF(N5:N8,"Yes")=4,"Yes","SHORT in "&amp;(4-COUNTIF(N5:N8,"Yes"))&amp;" market(s)")</f>
        <v>Yes</v>
      </c>
    </row>
    <row r="12" customFormat="false" ht="15" hidden="false" customHeight="false" outlineLevel="0" collapsed="false">
      <c r="A12" s="7" t="s">
        <v>135</v>
      </c>
    </row>
    <row r="13" customFormat="false" ht="60" hidden="false" customHeight="true" outlineLevel="0" collapsed="false">
      <c r="A13" s="8" t="s">
        <v>120</v>
      </c>
      <c r="B13" s="8" t="s">
        <v>121</v>
      </c>
      <c r="C13" s="8" t="s">
        <v>122</v>
      </c>
      <c r="D13" s="8" t="s">
        <v>123</v>
      </c>
      <c r="E13" s="8" t="s">
        <v>124</v>
      </c>
      <c r="F13" s="8" t="s">
        <v>125</v>
      </c>
      <c r="G13" s="8" t="s">
        <v>126</v>
      </c>
      <c r="H13" s="8" t="s">
        <v>127</v>
      </c>
      <c r="I13" s="8" t="s">
        <v>128</v>
      </c>
      <c r="J13" s="8" t="s">
        <v>129</v>
      </c>
      <c r="K13" s="8" t="s">
        <v>130</v>
      </c>
      <c r="L13" s="8" t="s">
        <v>131</v>
      </c>
      <c r="M13" s="8" t="s">
        <v>132</v>
      </c>
      <c r="N13" s="8" t="s">
        <v>133</v>
      </c>
    </row>
    <row r="14" customFormat="false" ht="15" hidden="false" customHeight="false" outlineLevel="0" collapsed="false">
      <c r="A14" s="9" t="s">
        <v>19</v>
      </c>
      <c r="B14" s="10" t="n">
        <v>10</v>
      </c>
      <c r="C14" s="11" t="n">
        <f aca="false">COUNTIFS('Vet Events'!$D$3:$D$400,A14)</f>
        <v>7</v>
      </c>
      <c r="D14" s="11" t="n">
        <f aca="false">COUNTIFS('Vet Events'!$D$3:$D$400,A14,'Vet Events'!$C$3:$C$400,"Vet",'Vet Events'!$M$3:$M$400,"&lt;&gt;*Pet*")</f>
        <v>5</v>
      </c>
      <c r="E14" s="11" t="n">
        <f aca="false">COUNTIFS('Vet Events'!$D$3:$D$400,A14,'Vet Events'!$C$3:$C$400,"Both")</f>
        <v>0</v>
      </c>
      <c r="F14" s="11" t="n">
        <f aca="false">COUNTIFS('Vet Events'!$D$3:$D$400,A14,'Vet Events'!$M$3:$M$400,"*Pet*")</f>
        <v>2</v>
      </c>
      <c r="G14" s="11" t="n">
        <f aca="false">COUNTIFS('Vet Events'!$D$3:$D$400,A14,'Vet Events'!$J$3:$J$400,"Confirmed")</f>
        <v>0</v>
      </c>
      <c r="H14" s="11" t="n">
        <f aca="false">COUNTIFS('Vet Events'!$D$3:$D$400,A14,'Vet Events'!$J$3:$J$400,"Provisional")</f>
        <v>2</v>
      </c>
      <c r="I14" s="11" t="n">
        <f aca="false">COUNTIFS('Vet Events'!$D$3:$D$400,A14,'Vet Events'!$J$3:$J$400,"TBC")</f>
        <v>5</v>
      </c>
      <c r="J14" s="11" t="n">
        <f aca="false">COUNTIFS('Vet Events'!$D$3:$D$400,A14,'Vet Events'!$B$3:$B$400,"P1")</f>
        <v>1</v>
      </c>
      <c r="K14" s="11" t="n">
        <f aca="false">COUNTIFS('Vet Events'!$D$3:$D$400,A14,'Vet Events'!$B$3:$B$400,"P2")</f>
        <v>4</v>
      </c>
      <c r="L14" s="11" t="n">
        <f aca="false">COUNTIFS('Vet Events'!$D$3:$D$400,A14,'Vet Events'!$B$3:$B$400,"P3")</f>
        <v>2</v>
      </c>
      <c r="M14" s="11" t="n">
        <f aca="false">J14+K14</f>
        <v>5</v>
      </c>
      <c r="N14" s="12" t="str">
        <f aca="false">IF(C14&gt;=B14,"Yes","SHORT by "&amp;(B14-C14))</f>
        <v>SHORT by 3</v>
      </c>
    </row>
    <row r="15" customFormat="false" ht="15" hidden="false" customHeight="false" outlineLevel="0" collapsed="false">
      <c r="A15" s="9" t="s">
        <v>21</v>
      </c>
      <c r="B15" s="10" t="n">
        <v>10</v>
      </c>
      <c r="C15" s="11" t="n">
        <f aca="false">COUNTIFS('Vet Events'!$D$3:$D$400,A15)</f>
        <v>11</v>
      </c>
      <c r="D15" s="11" t="n">
        <f aca="false">COUNTIFS('Vet Events'!$D$3:$D$400,A15,'Vet Events'!$C$3:$C$400,"Vet",'Vet Events'!$M$3:$M$400,"&lt;&gt;*Pet*")</f>
        <v>4</v>
      </c>
      <c r="E15" s="11" t="n">
        <f aca="false">COUNTIFS('Vet Events'!$D$3:$D$400,A15,'Vet Events'!$C$3:$C$400,"Both")</f>
        <v>2</v>
      </c>
      <c r="F15" s="11" t="n">
        <f aca="false">COUNTIFS('Vet Events'!$D$3:$D$400,A15,'Vet Events'!$M$3:$M$400,"*Pet*")</f>
        <v>5</v>
      </c>
      <c r="G15" s="11" t="n">
        <f aca="false">COUNTIFS('Vet Events'!$D$3:$D$400,A15,'Vet Events'!$J$3:$J$400,"Confirmed")</f>
        <v>4</v>
      </c>
      <c r="H15" s="11" t="n">
        <f aca="false">COUNTIFS('Vet Events'!$D$3:$D$400,A15,'Vet Events'!$J$3:$J$400,"Provisional")</f>
        <v>1</v>
      </c>
      <c r="I15" s="11" t="n">
        <f aca="false">COUNTIFS('Vet Events'!$D$3:$D$400,A15,'Vet Events'!$J$3:$J$400,"TBC")</f>
        <v>6</v>
      </c>
      <c r="J15" s="11" t="n">
        <f aca="false">COUNTIFS('Vet Events'!$D$3:$D$400,A15,'Vet Events'!$B$3:$B$400,"P1")</f>
        <v>1</v>
      </c>
      <c r="K15" s="11" t="n">
        <f aca="false">COUNTIFS('Vet Events'!$D$3:$D$400,A15,'Vet Events'!$B$3:$B$400,"P2")</f>
        <v>4</v>
      </c>
      <c r="L15" s="11" t="n">
        <f aca="false">COUNTIFS('Vet Events'!$D$3:$D$400,A15,'Vet Events'!$B$3:$B$400,"P3")</f>
        <v>6</v>
      </c>
      <c r="M15" s="11" t="n">
        <f aca="false">J15+K15</f>
        <v>5</v>
      </c>
      <c r="N15" s="12" t="str">
        <f aca="false">IF(C15&gt;=B15,"Yes","SHORT by "&amp;(B15-C15))</f>
        <v>Yes</v>
      </c>
    </row>
    <row r="16" customFormat="false" ht="15" hidden="false" customHeight="false" outlineLevel="0" collapsed="false">
      <c r="A16" s="9" t="s">
        <v>23</v>
      </c>
      <c r="B16" s="10" t="n">
        <v>10</v>
      </c>
      <c r="C16" s="11" t="n">
        <f aca="false">COUNTIFS('Vet Events'!$D$3:$D$400,A16)</f>
        <v>12</v>
      </c>
      <c r="D16" s="11" t="n">
        <f aca="false">COUNTIFS('Vet Events'!$D$3:$D$400,A16,'Vet Events'!$C$3:$C$400,"Vet",'Vet Events'!$M$3:$M$400,"&lt;&gt;*Pet*")</f>
        <v>9</v>
      </c>
      <c r="E16" s="11" t="n">
        <f aca="false">COUNTIFS('Vet Events'!$D$3:$D$400,A16,'Vet Events'!$C$3:$C$400,"Both")</f>
        <v>1</v>
      </c>
      <c r="F16" s="11" t="n">
        <f aca="false">COUNTIFS('Vet Events'!$D$3:$D$400,A16,'Vet Events'!$M$3:$M$400,"*Pet*")</f>
        <v>2</v>
      </c>
      <c r="G16" s="11" t="n">
        <f aca="false">COUNTIFS('Vet Events'!$D$3:$D$400,A16,'Vet Events'!$J$3:$J$400,"Confirmed")</f>
        <v>0</v>
      </c>
      <c r="H16" s="11" t="n">
        <f aca="false">COUNTIFS('Vet Events'!$D$3:$D$400,A16,'Vet Events'!$J$3:$J$400,"Provisional")</f>
        <v>3</v>
      </c>
      <c r="I16" s="11" t="n">
        <f aca="false">COUNTIFS('Vet Events'!$D$3:$D$400,A16,'Vet Events'!$J$3:$J$400,"TBC")</f>
        <v>9</v>
      </c>
      <c r="J16" s="11" t="n">
        <f aca="false">COUNTIFS('Vet Events'!$D$3:$D$400,A16,'Vet Events'!$B$3:$B$400,"P1")</f>
        <v>2</v>
      </c>
      <c r="K16" s="11" t="n">
        <f aca="false">COUNTIFS('Vet Events'!$D$3:$D$400,A16,'Vet Events'!$B$3:$B$400,"P2")</f>
        <v>5</v>
      </c>
      <c r="L16" s="11" t="n">
        <f aca="false">COUNTIFS('Vet Events'!$D$3:$D$400,A16,'Vet Events'!$B$3:$B$400,"P3")</f>
        <v>5</v>
      </c>
      <c r="M16" s="11" t="n">
        <f aca="false">J16+K16</f>
        <v>7</v>
      </c>
      <c r="N16" s="12" t="str">
        <f aca="false">IF(C16&gt;=B16,"Yes","SHORT by "&amp;(B16-C16))</f>
        <v>Yes</v>
      </c>
    </row>
    <row r="17" customFormat="false" ht="15" hidden="false" customHeight="false" outlineLevel="0" collapsed="false">
      <c r="A17" s="9" t="s">
        <v>25</v>
      </c>
      <c r="B17" s="10" t="n">
        <v>20</v>
      </c>
      <c r="C17" s="11" t="n">
        <f aca="false">COUNTIFS('Vet Events'!$D$3:$D$400,A17)</f>
        <v>23</v>
      </c>
      <c r="D17" s="11" t="n">
        <f aca="false">COUNTIFS('Vet Events'!$D$3:$D$400,A17,'Vet Events'!$C$3:$C$400,"Vet",'Vet Events'!$M$3:$M$400,"&lt;&gt;*Pet*")</f>
        <v>19</v>
      </c>
      <c r="E17" s="11" t="n">
        <f aca="false">COUNTIFS('Vet Events'!$D$3:$D$400,A17,'Vet Events'!$C$3:$C$400,"Both")</f>
        <v>2</v>
      </c>
      <c r="F17" s="11" t="n">
        <f aca="false">COUNTIFS('Vet Events'!$D$3:$D$400,A17,'Vet Events'!$M$3:$M$400,"*Pet*")</f>
        <v>2</v>
      </c>
      <c r="G17" s="11" t="n">
        <f aca="false">COUNTIFS('Vet Events'!$D$3:$D$400,A17,'Vet Events'!$J$3:$J$400,"Confirmed")</f>
        <v>16</v>
      </c>
      <c r="H17" s="11" t="n">
        <f aca="false">COUNTIFS('Vet Events'!$D$3:$D$400,A17,'Vet Events'!$J$3:$J$400,"Provisional")</f>
        <v>0</v>
      </c>
      <c r="I17" s="11" t="n">
        <f aca="false">COUNTIFS('Vet Events'!$D$3:$D$400,A17,'Vet Events'!$J$3:$J$400,"TBC")</f>
        <v>7</v>
      </c>
      <c r="J17" s="11" t="n">
        <f aca="false">COUNTIFS('Vet Events'!$D$3:$D$400,A17,'Vet Events'!$B$3:$B$400,"P1")</f>
        <v>4</v>
      </c>
      <c r="K17" s="11" t="n">
        <f aca="false">COUNTIFS('Vet Events'!$D$3:$D$400,A17,'Vet Events'!$B$3:$B$400,"P2")</f>
        <v>8</v>
      </c>
      <c r="L17" s="11" t="n">
        <f aca="false">COUNTIFS('Vet Events'!$D$3:$D$400,A17,'Vet Events'!$B$3:$B$400,"P3")</f>
        <v>11</v>
      </c>
      <c r="M17" s="11" t="n">
        <f aca="false">J17+K17</f>
        <v>12</v>
      </c>
      <c r="N17" s="12" t="str">
        <f aca="false">IF(C17&gt;=B17,"Yes","SHORT by "&amp;(B17-C17))</f>
        <v>Yes</v>
      </c>
    </row>
    <row r="18" customFormat="false" ht="15" hidden="false" customHeight="false" outlineLevel="0" collapsed="false">
      <c r="A18" s="13" t="s">
        <v>134</v>
      </c>
      <c r="B18" s="14" t="n">
        <f aca="false">SUM(B14:B17)</f>
        <v>50</v>
      </c>
      <c r="C18" s="14" t="n">
        <f aca="false">SUM(C14:C17)</f>
        <v>53</v>
      </c>
      <c r="D18" s="14" t="n">
        <f aca="false">SUM(D14:D17)</f>
        <v>37</v>
      </c>
      <c r="E18" s="14" t="n">
        <f aca="false">SUM(E14:E17)</f>
        <v>5</v>
      </c>
      <c r="F18" s="14" t="n">
        <f aca="false">SUM(F14:F17)</f>
        <v>11</v>
      </c>
      <c r="G18" s="14" t="n">
        <f aca="false">SUM(G14:G17)</f>
        <v>20</v>
      </c>
      <c r="H18" s="14" t="n">
        <f aca="false">SUM(H14:H17)</f>
        <v>6</v>
      </c>
      <c r="I18" s="14" t="n">
        <f aca="false">SUM(I14:I17)</f>
        <v>27</v>
      </c>
      <c r="J18" s="14" t="n">
        <f aca="false">SUM(J14:J17)</f>
        <v>8</v>
      </c>
      <c r="K18" s="14" t="n">
        <f aca="false">SUM(K14:K17)</f>
        <v>21</v>
      </c>
      <c r="L18" s="14" t="n">
        <f aca="false">SUM(L14:L17)</f>
        <v>24</v>
      </c>
      <c r="M18" s="14" t="n">
        <f aca="false">SUM(M14:M17)</f>
        <v>29</v>
      </c>
      <c r="N18" s="15" t="str">
        <f aca="false">IF(COUNTIF(N14:N17,"Yes")=4,"Yes","SHORT in "&amp;(4-COUNTIF(N14:N17,"Yes"))&amp;" market(s)")</f>
        <v>SHORT in 1 market(s)</v>
      </c>
    </row>
    <row r="20" customFormat="false" ht="27.75" hidden="false" customHeight="true" outlineLevel="0" collapsed="false">
      <c r="A20" s="16" t="s">
        <v>136</v>
      </c>
      <c r="B20" s="16"/>
      <c r="C20" s="16"/>
      <c r="D20" s="16"/>
      <c r="E20" s="16"/>
      <c r="F20" s="16"/>
      <c r="G20" s="16"/>
      <c r="H20" s="16"/>
      <c r="I20" s="16"/>
      <c r="J20" s="16"/>
      <c r="K20" s="16"/>
      <c r="L20" s="16"/>
      <c r="M20" s="16"/>
      <c r="N20" s="16"/>
    </row>
    <row r="21" customFormat="false" ht="27.75" hidden="false" customHeight="true" outlineLevel="0" collapsed="false">
      <c r="A21" s="16" t="s">
        <v>137</v>
      </c>
      <c r="B21" s="16"/>
      <c r="C21" s="16"/>
      <c r="D21" s="16"/>
      <c r="E21" s="16"/>
      <c r="F21" s="16"/>
      <c r="G21" s="16"/>
      <c r="H21" s="16"/>
      <c r="I21" s="16"/>
      <c r="J21" s="16"/>
      <c r="K21" s="16"/>
      <c r="L21" s="16"/>
      <c r="M21" s="16"/>
      <c r="N21" s="16"/>
    </row>
    <row r="22" customFormat="false" ht="27.75" hidden="false" customHeight="true" outlineLevel="0" collapsed="false">
      <c r="A22" s="16" t="s">
        <v>138</v>
      </c>
      <c r="B22" s="16"/>
      <c r="C22" s="16"/>
      <c r="D22" s="16"/>
      <c r="E22" s="16"/>
      <c r="F22" s="16"/>
      <c r="G22" s="16"/>
      <c r="H22" s="16"/>
      <c r="I22" s="16"/>
      <c r="J22" s="16"/>
      <c r="K22" s="16"/>
      <c r="L22" s="16"/>
      <c r="M22" s="16"/>
      <c r="N22" s="16"/>
    </row>
    <row r="23" customFormat="false" ht="27.75" hidden="false" customHeight="true" outlineLevel="0" collapsed="false">
      <c r="A23" s="16" t="s">
        <v>139</v>
      </c>
      <c r="B23" s="16"/>
      <c r="C23" s="16"/>
      <c r="D23" s="16"/>
      <c r="E23" s="16"/>
      <c r="F23" s="16"/>
      <c r="G23" s="16"/>
      <c r="H23" s="16"/>
      <c r="I23" s="16"/>
      <c r="J23" s="16"/>
      <c r="K23" s="16"/>
      <c r="L23" s="16"/>
      <c r="M23" s="16"/>
      <c r="N23" s="16"/>
    </row>
  </sheetData>
  <mergeCells count="5">
    <mergeCell ref="A1:N1"/>
    <mergeCell ref="A20:N20"/>
    <mergeCell ref="A21:N21"/>
    <mergeCell ref="A22:N22"/>
    <mergeCell ref="A23:N23"/>
  </mergeCells>
  <conditionalFormatting sqref="N4:N40">
    <cfRule type="expression" priority="2" aboveAverage="0" equalAverage="0" bottom="0" percent="0" rank="0" text="" dxfId="0">
      <formula>LEFT(N4,5)="SHORT"</formula>
    </cfRule>
    <cfRule type="expression" priority="3" aboveAverage="0" equalAverage="0" bottom="0" percent="0" rank="0" text="" dxfId="1">
      <formula>N4="Yes"</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0"/>
    <col collapsed="false" customWidth="true" hidden="false" outlineLevel="0" max="3" min="3" style="0" width="11"/>
    <col collapsed="false" customWidth="true" hidden="false" outlineLevel="0" max="4" min="4" style="0" width="8"/>
    <col collapsed="false" customWidth="true" hidden="false" outlineLevel="0" max="5" min="5" style="0" width="11"/>
    <col collapsed="false" customWidth="true" hidden="false" outlineLevel="0" max="6" min="6" style="0" width="12"/>
    <col collapsed="false" customWidth="true" hidden="false" outlineLevel="0" max="7" min="7" style="0" width="50"/>
    <col collapsed="false" customWidth="true" hidden="false" outlineLevel="0" max="8" min="8" style="0" width="18"/>
    <col collapsed="false" customWidth="true" hidden="false" outlineLevel="0" max="9" min="9" style="0" width="34"/>
    <col collapsed="false" customWidth="true" hidden="false" outlineLevel="0" max="10" min="10" style="0" width="60"/>
    <col collapsed="false" customWidth="true" hidden="false" outlineLevel="0" max="11" min="11" style="0" width="36"/>
  </cols>
  <sheetData>
    <row r="1" customFormat="false" ht="15" hidden="false" customHeight="false" outlineLevel="0" collapsed="false">
      <c r="A1" s="17" t="s">
        <v>140</v>
      </c>
      <c r="B1" s="17"/>
      <c r="C1" s="17"/>
      <c r="D1" s="17"/>
      <c r="E1" s="17"/>
      <c r="F1" s="17"/>
      <c r="G1" s="17"/>
      <c r="H1" s="17"/>
      <c r="I1" s="17"/>
      <c r="J1" s="17"/>
      <c r="K1" s="17"/>
    </row>
    <row r="2" customFormat="false" ht="15" hidden="false" customHeight="false" outlineLevel="0" collapsed="false">
      <c r="A2" s="18" t="s">
        <v>141</v>
      </c>
      <c r="B2" s="19" t="n">
        <v>46320</v>
      </c>
      <c r="C2" s="20" t="s">
        <v>142</v>
      </c>
    </row>
    <row r="3" customFormat="false" ht="30" hidden="false" customHeight="true" outlineLevel="0" collapsed="false">
      <c r="A3" s="8" t="s">
        <v>143</v>
      </c>
      <c r="B3" s="8" t="s">
        <v>144</v>
      </c>
      <c r="C3" s="8" t="s">
        <v>145</v>
      </c>
      <c r="D3" s="8" t="s">
        <v>60</v>
      </c>
      <c r="E3" s="8" t="s">
        <v>62</v>
      </c>
      <c r="F3" s="8" t="s">
        <v>120</v>
      </c>
      <c r="G3" s="8" t="s">
        <v>146</v>
      </c>
      <c r="H3" s="8" t="s">
        <v>147</v>
      </c>
      <c r="I3" s="8" t="s">
        <v>148</v>
      </c>
      <c r="J3" s="8" t="s">
        <v>149</v>
      </c>
      <c r="K3" s="8" t="s">
        <v>150</v>
      </c>
    </row>
    <row r="4" customFormat="false" ht="32.8" hidden="false" customHeight="false" outlineLevel="0" collapsed="false">
      <c r="A4" s="21" t="n">
        <v>46359</v>
      </c>
      <c r="B4" s="11" t="n">
        <f aca="false">A4-$B$2</f>
        <v>39</v>
      </c>
      <c r="C4" s="12" t="str">
        <f aca="false">IF(B4&lt;0,"PASSED",IF(B4&lt;=42,"CRITICAL",IF(B4&lt;=56,"HIGH","MEDIUM")))</f>
        <v>CRITICAL</v>
      </c>
      <c r="D4" s="22" t="s">
        <v>129</v>
      </c>
      <c r="E4" s="23" t="s">
        <v>151</v>
      </c>
      <c r="F4" s="11" t="s">
        <v>21</v>
      </c>
      <c r="G4" s="9" t="s">
        <v>152</v>
      </c>
      <c r="H4" s="24" t="s">
        <v>153</v>
      </c>
      <c r="I4" s="24" t="s">
        <v>154</v>
      </c>
      <c r="J4" s="24" t="s">
        <v>155</v>
      </c>
      <c r="K4" s="25" t="s">
        <v>156</v>
      </c>
    </row>
    <row r="5" customFormat="false" ht="32.8" hidden="false" customHeight="false" outlineLevel="0" collapsed="false">
      <c r="A5" s="21" t="n">
        <v>46360</v>
      </c>
      <c r="B5" s="11" t="n">
        <f aca="false">A5-$B$2</f>
        <v>40</v>
      </c>
      <c r="C5" s="12" t="str">
        <f aca="false">IF(B5&lt;0,"PASSED",IF(B5&lt;=42,"CRITICAL",IF(B5&lt;=56,"HIGH","MEDIUM")))</f>
        <v>CRITICAL</v>
      </c>
      <c r="D5" s="22" t="s">
        <v>129</v>
      </c>
      <c r="E5" s="26" t="s">
        <v>157</v>
      </c>
      <c r="F5" s="11" t="s">
        <v>23</v>
      </c>
      <c r="G5" s="9" t="s">
        <v>158</v>
      </c>
      <c r="H5" s="24" t="s">
        <v>159</v>
      </c>
      <c r="I5" s="24" t="s">
        <v>160</v>
      </c>
      <c r="J5" s="24" t="s">
        <v>161</v>
      </c>
      <c r="K5" s="25" t="s">
        <v>162</v>
      </c>
    </row>
    <row r="6" customFormat="false" ht="22.35" hidden="false" customHeight="false" outlineLevel="0" collapsed="false">
      <c r="A6" s="21" t="n">
        <v>46361</v>
      </c>
      <c r="B6" s="11" t="n">
        <f aca="false">A6-$B$2</f>
        <v>41</v>
      </c>
      <c r="C6" s="12" t="str">
        <f aca="false">IF(B6&lt;0,"PASSED",IF(B6&lt;=42,"CRITICAL",IF(B6&lt;=56,"HIGH","MEDIUM")))</f>
        <v>CRITICAL</v>
      </c>
      <c r="D6" s="23" t="s">
        <v>130</v>
      </c>
      <c r="E6" s="27" t="s">
        <v>163</v>
      </c>
      <c r="F6" s="11" t="s">
        <v>23</v>
      </c>
      <c r="G6" s="9" t="s">
        <v>164</v>
      </c>
      <c r="H6" s="24" t="s">
        <v>165</v>
      </c>
      <c r="I6" s="24" t="s">
        <v>166</v>
      </c>
      <c r="J6" s="24" t="s">
        <v>167</v>
      </c>
      <c r="K6" s="25" t="s">
        <v>168</v>
      </c>
    </row>
    <row r="7" customFormat="false" ht="32.8" hidden="false" customHeight="false" outlineLevel="0" collapsed="false">
      <c r="A7" s="21" t="n">
        <v>46361</v>
      </c>
      <c r="B7" s="11" t="n">
        <f aca="false">A7-$B$2</f>
        <v>41</v>
      </c>
      <c r="C7" s="12" t="str">
        <f aca="false">IF(B7&lt;0,"PASSED",IF(B7&lt;=42,"CRITICAL",IF(B7&lt;=56,"HIGH","MEDIUM")))</f>
        <v>CRITICAL</v>
      </c>
      <c r="D7" s="23" t="s">
        <v>130</v>
      </c>
      <c r="E7" s="27" t="s">
        <v>163</v>
      </c>
      <c r="F7" s="11" t="s">
        <v>23</v>
      </c>
      <c r="G7" s="9" t="s">
        <v>169</v>
      </c>
      <c r="H7" s="24" t="s">
        <v>165</v>
      </c>
      <c r="I7" s="24" t="s">
        <v>170</v>
      </c>
      <c r="J7" s="24" t="s">
        <v>171</v>
      </c>
      <c r="K7" s="25" t="s">
        <v>172</v>
      </c>
    </row>
    <row r="8" customFormat="false" ht="32.8" hidden="false" customHeight="false" outlineLevel="0" collapsed="false">
      <c r="A8" s="21" t="n">
        <v>46361</v>
      </c>
      <c r="B8" s="11" t="n">
        <f aca="false">A8-$B$2</f>
        <v>41</v>
      </c>
      <c r="C8" s="12" t="str">
        <f aca="false">IF(B8&lt;0,"PASSED",IF(B8&lt;=42,"CRITICAL",IF(B8&lt;=56,"HIGH","MEDIUM")))</f>
        <v>CRITICAL</v>
      </c>
      <c r="D8" s="23" t="s">
        <v>130</v>
      </c>
      <c r="E8" s="26" t="s">
        <v>157</v>
      </c>
      <c r="F8" s="11" t="s">
        <v>25</v>
      </c>
      <c r="G8" s="9" t="s">
        <v>173</v>
      </c>
      <c r="H8" s="24" t="s">
        <v>165</v>
      </c>
      <c r="I8" s="24" t="s">
        <v>174</v>
      </c>
      <c r="J8" s="24" t="s">
        <v>175</v>
      </c>
      <c r="K8" s="25" t="s">
        <v>176</v>
      </c>
    </row>
    <row r="9" customFormat="false" ht="15" hidden="false" customHeight="false" outlineLevel="0" collapsed="false">
      <c r="A9" s="21" t="n">
        <v>46367</v>
      </c>
      <c r="B9" s="11" t="n">
        <f aca="false">A9-$B$2</f>
        <v>47</v>
      </c>
      <c r="C9" s="12" t="str">
        <f aca="false">IF(B9&lt;0,"PASSED",IF(B9&lt;=42,"CRITICAL",IF(B9&lt;=56,"HIGH","MEDIUM")))</f>
        <v>HIGH</v>
      </c>
      <c r="D9" s="28" t="s">
        <v>131</v>
      </c>
      <c r="E9" s="26" t="s">
        <v>157</v>
      </c>
      <c r="F9" s="11" t="s">
        <v>21</v>
      </c>
      <c r="G9" s="9" t="s">
        <v>177</v>
      </c>
      <c r="H9" s="24" t="s">
        <v>178</v>
      </c>
      <c r="I9" s="24" t="s">
        <v>179</v>
      </c>
      <c r="J9" s="24" t="s">
        <v>180</v>
      </c>
      <c r="K9" s="25" t="s">
        <v>181</v>
      </c>
    </row>
    <row r="10" customFormat="false" ht="22.35" hidden="false" customHeight="false" outlineLevel="0" collapsed="false">
      <c r="A10" s="21" t="n">
        <v>46368</v>
      </c>
      <c r="B10" s="11" t="n">
        <f aca="false">A10-$B$2</f>
        <v>48</v>
      </c>
      <c r="C10" s="12" t="str">
        <f aca="false">IF(B10&lt;0,"PASSED",IF(B10&lt;=42,"CRITICAL",IF(B10&lt;=56,"HIGH","MEDIUM")))</f>
        <v>HIGH</v>
      </c>
      <c r="D10" s="23" t="s">
        <v>130</v>
      </c>
      <c r="E10" s="27" t="s">
        <v>163</v>
      </c>
      <c r="F10" s="11" t="s">
        <v>21</v>
      </c>
      <c r="G10" s="9" t="s">
        <v>182</v>
      </c>
      <c r="H10" s="24" t="s">
        <v>183</v>
      </c>
      <c r="I10" s="24" t="s">
        <v>184</v>
      </c>
      <c r="J10" s="24" t="s">
        <v>185</v>
      </c>
      <c r="K10" s="25" t="s">
        <v>186</v>
      </c>
    </row>
    <row r="11" customFormat="false" ht="32.8" hidden="false" customHeight="false" outlineLevel="0" collapsed="false">
      <c r="A11" s="21" t="n">
        <v>46368</v>
      </c>
      <c r="B11" s="11" t="n">
        <f aca="false">A11-$B$2</f>
        <v>48</v>
      </c>
      <c r="C11" s="12" t="str">
        <f aca="false">IF(B11&lt;0,"PASSED",IF(B11&lt;=42,"CRITICAL",IF(B11&lt;=56,"HIGH","MEDIUM")))</f>
        <v>HIGH</v>
      </c>
      <c r="D11" s="23" t="s">
        <v>130</v>
      </c>
      <c r="E11" s="27" t="s">
        <v>163</v>
      </c>
      <c r="F11" s="11" t="s">
        <v>25</v>
      </c>
      <c r="G11" s="9" t="s">
        <v>187</v>
      </c>
      <c r="H11" s="24" t="s">
        <v>188</v>
      </c>
      <c r="I11" s="24" t="s">
        <v>189</v>
      </c>
      <c r="J11" s="24" t="s">
        <v>190</v>
      </c>
      <c r="K11" s="25" t="s">
        <v>191</v>
      </c>
    </row>
    <row r="12" customFormat="false" ht="32.8" hidden="false" customHeight="false" outlineLevel="0" collapsed="false">
      <c r="A12" s="21" t="n">
        <v>46368</v>
      </c>
      <c r="B12" s="11" t="n">
        <f aca="false">A12-$B$2</f>
        <v>48</v>
      </c>
      <c r="C12" s="12" t="str">
        <f aca="false">IF(B12&lt;0,"PASSED",IF(B12&lt;=42,"CRITICAL",IF(B12&lt;=56,"HIGH","MEDIUM")))</f>
        <v>HIGH</v>
      </c>
      <c r="D12" s="22" t="s">
        <v>129</v>
      </c>
      <c r="E12" s="26" t="s">
        <v>157</v>
      </c>
      <c r="F12" s="11" t="s">
        <v>21</v>
      </c>
      <c r="G12" s="9" t="s">
        <v>192</v>
      </c>
      <c r="H12" s="24" t="s">
        <v>183</v>
      </c>
      <c r="I12" s="24" t="s">
        <v>193</v>
      </c>
      <c r="J12" s="24" t="s">
        <v>194</v>
      </c>
      <c r="K12" s="25" t="s">
        <v>195</v>
      </c>
    </row>
    <row r="13" customFormat="false" ht="22.35" hidden="false" customHeight="false" outlineLevel="0" collapsed="false">
      <c r="A13" s="21" t="n">
        <v>46372</v>
      </c>
      <c r="B13" s="11" t="n">
        <f aca="false">A13-$B$2</f>
        <v>52</v>
      </c>
      <c r="C13" s="12" t="str">
        <f aca="false">IF(B13&lt;0,"PASSED",IF(B13&lt;=42,"CRITICAL",IF(B13&lt;=56,"HIGH","MEDIUM")))</f>
        <v>HIGH</v>
      </c>
      <c r="D13" s="28" t="s">
        <v>131</v>
      </c>
      <c r="E13" s="26" t="s">
        <v>157</v>
      </c>
      <c r="F13" s="11" t="s">
        <v>25</v>
      </c>
      <c r="G13" s="9" t="s">
        <v>196</v>
      </c>
      <c r="H13" s="24" t="s">
        <v>197</v>
      </c>
      <c r="I13" s="24" t="s">
        <v>198</v>
      </c>
      <c r="J13" s="24" t="s">
        <v>199</v>
      </c>
      <c r="K13" s="25" t="s">
        <v>200</v>
      </c>
    </row>
    <row r="14" customFormat="false" ht="22.35" hidden="false" customHeight="false" outlineLevel="0" collapsed="false">
      <c r="A14" s="21" t="n">
        <v>46374</v>
      </c>
      <c r="B14" s="11" t="n">
        <f aca="false">A14-$B$2</f>
        <v>54</v>
      </c>
      <c r="C14" s="12" t="str">
        <f aca="false">IF(B14&lt;0,"PASSED",IF(B14&lt;=42,"CRITICAL",IF(B14&lt;=56,"HIGH","MEDIUM")))</f>
        <v>HIGH</v>
      </c>
      <c r="D14" s="23" t="s">
        <v>130</v>
      </c>
      <c r="E14" s="26" t="s">
        <v>157</v>
      </c>
      <c r="F14" s="11" t="s">
        <v>25</v>
      </c>
      <c r="G14" s="9" t="s">
        <v>201</v>
      </c>
      <c r="H14" s="24" t="s">
        <v>202</v>
      </c>
      <c r="I14" s="24" t="s">
        <v>203</v>
      </c>
      <c r="J14" s="24" t="s">
        <v>204</v>
      </c>
      <c r="K14" s="25" t="s">
        <v>205</v>
      </c>
    </row>
  </sheetData>
  <mergeCells count="1">
    <mergeCell ref="A1:K1"/>
  </mergeCells>
  <conditionalFormatting sqref="C4:C14">
    <cfRule type="cellIs" priority="2" operator="equal" aboveAverage="0" equalAverage="0" bottom="0" percent="0" rank="0" text="" dxfId="0">
      <formula>"CRITICAL"</formula>
    </cfRule>
    <cfRule type="cellIs" priority="3" operator="equal" aboveAverage="0" equalAverage="0" bottom="0" percent="0" rank="0" text="" dxfId="2">
      <formula>"HIGH"</formula>
    </cfRule>
    <cfRule type="cellIs" priority="4" operator="equal" aboveAverage="0" equalAverage="0" bottom="0" percent="0" rank="0" text="" dxfId="3">
      <formula>"MEDIUM"</formula>
    </cfRule>
  </conditionalFormatting>
  <hyperlinks>
    <hyperlink ref="K4" r:id="rId1" display="https://expo.taiwan-healthcare.org/en/"/>
    <hyperlink ref="K5" r:id="rId2" display="https://www.dailyvet.co.kr/news/academy"/>
    <hyperlink ref="K6" r:id="rId3" display="https://www.ksecho.org/academic_event/annual_schedule_all.php"/>
    <hyperlink ref="K7" r:id="rId4" display="https://iscu.or.kr/"/>
    <hyperlink ref="K8" r:id="rId5" display="https://jsvdi.com/conference/3332/"/>
    <hyperlink ref="K9" r:id="rId6" display="https://www.chanchao.com.tw/PetsShow/kaohsiung/"/>
    <hyperlink ref="K10" r:id="rId7" display="https://tsocmeeting.org/"/>
    <hyperlink ref="K11" r:id="rId8" display="https://www.jsum.or.jp/members/calendar/2026/"/>
    <hyperlink ref="K12" r:id="rId9" display="https://www.aicvs-aicvim2026.tw/"/>
    <hyperlink ref="K13" r:id="rId10" display="https://sky-vets.com/seminar/"/>
    <hyperlink ref="K14" r:id="rId11" display="https://www.jsvas.net/conference/index.php"/>
  </hyperlink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Y63"/>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5" ySplit="2" topLeftCell="F3" activePane="bottomRight" state="frozen"/>
      <selection pane="topLeft" activeCell="A1" activeCellId="0" sqref="A1"/>
      <selection pane="topRight" activeCell="F1" activeCellId="0" sqref="F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8"/>
    <col collapsed="false" customWidth="true" hidden="false" outlineLevel="0" max="4" min="3" style="0" width="11"/>
    <col collapsed="false" customWidth="true" hidden="false" outlineLevel="0" max="5" min="5" style="0" width="44"/>
    <col collapsed="false" customWidth="true" hidden="false" outlineLevel="0" max="7" min="6" style="0" width="12"/>
    <col collapsed="false" customWidth="true" hidden="false" outlineLevel="0" max="8" min="8" style="0" width="10"/>
    <col collapsed="false" customWidth="true" hidden="false" outlineLevel="0" max="9" min="9" style="0" width="22"/>
    <col collapsed="false" customWidth="true" hidden="false" outlineLevel="0" max="10" min="10" style="0" width="11"/>
    <col collapsed="false" customWidth="true" hidden="false" outlineLevel="0" max="11" min="11" style="0" width="34"/>
    <col collapsed="false" customWidth="true" hidden="false" outlineLevel="0" max="12" min="12" style="0" width="32"/>
    <col collapsed="false" customWidth="true" hidden="false" outlineLevel="0" max="13" min="13" style="0" width="22"/>
    <col collapsed="false" customWidth="true" hidden="false" outlineLevel="0" max="14" min="14" style="0" width="26"/>
    <col collapsed="false" customWidth="true" hidden="false" outlineLevel="0" max="15" min="15" style="0" width="50"/>
    <col collapsed="false" customWidth="true" hidden="false" outlineLevel="0" max="16" min="16" style="0" width="46"/>
    <col collapsed="false" customWidth="true" hidden="false" outlineLevel="0" max="17" min="17" style="0" width="34"/>
    <col collapsed="false" customWidth="true" hidden="false" outlineLevel="0" max="18" min="18" style="0" width="36"/>
    <col collapsed="false" customWidth="true" hidden="false" outlineLevel="0" max="20" min="19" style="0" width="9"/>
    <col collapsed="false" customWidth="true" hidden="false" outlineLevel="0" max="21" min="21" style="0" width="26"/>
    <col collapsed="false" customWidth="true" hidden="false" outlineLevel="0" max="22" min="22" style="0" width="24"/>
    <col collapsed="false" customWidth="true" hidden="false" outlineLevel="0" max="23" min="23" style="0" width="38"/>
    <col collapsed="false" customWidth="true" hidden="false" outlineLevel="0" max="24" min="24" style="0" width="42"/>
    <col collapsed="false" customWidth="true" hidden="false" outlineLevel="0" max="25" min="25" style="0" width="36"/>
  </cols>
  <sheetData>
    <row r="1" customFormat="false" ht="15" hidden="false" customHeight="false" outlineLevel="0" collapsed="false">
      <c r="A1" s="6" t="s">
        <v>206</v>
      </c>
      <c r="B1" s="6"/>
      <c r="C1" s="6"/>
      <c r="D1" s="6"/>
      <c r="E1" s="6"/>
      <c r="F1" s="6"/>
      <c r="G1" s="6"/>
      <c r="H1" s="6"/>
      <c r="I1" s="6"/>
      <c r="J1" s="6"/>
      <c r="K1" s="6"/>
      <c r="L1" s="6"/>
      <c r="M1" s="6"/>
      <c r="N1" s="6"/>
      <c r="O1" s="6"/>
      <c r="P1" s="6"/>
      <c r="Q1" s="6"/>
      <c r="R1" s="6"/>
      <c r="S1" s="6"/>
      <c r="T1" s="6"/>
      <c r="U1" s="6"/>
      <c r="V1" s="6"/>
      <c r="W1" s="6"/>
      <c r="X1" s="6"/>
      <c r="Y1" s="6"/>
    </row>
    <row r="2" customFormat="false" ht="36" hidden="false" customHeight="true" outlineLevel="0" collapsed="false">
      <c r="A2" s="8" t="s">
        <v>207</v>
      </c>
      <c r="B2" s="8" t="s">
        <v>60</v>
      </c>
      <c r="C2" s="8" t="s">
        <v>62</v>
      </c>
      <c r="D2" s="8" t="s">
        <v>120</v>
      </c>
      <c r="E2" s="8" t="s">
        <v>208</v>
      </c>
      <c r="F2" s="8" t="s">
        <v>143</v>
      </c>
      <c r="G2" s="8" t="s">
        <v>209</v>
      </c>
      <c r="H2" s="8" t="s">
        <v>210</v>
      </c>
      <c r="I2" s="8" t="s">
        <v>211</v>
      </c>
      <c r="J2" s="8" t="s">
        <v>64</v>
      </c>
      <c r="K2" s="8" t="s">
        <v>212</v>
      </c>
      <c r="L2" s="8" t="s">
        <v>148</v>
      </c>
      <c r="M2" s="8" t="s">
        <v>213</v>
      </c>
      <c r="N2" s="8" t="s">
        <v>214</v>
      </c>
      <c r="O2" s="8" t="s">
        <v>215</v>
      </c>
      <c r="P2" s="8" t="s">
        <v>216</v>
      </c>
      <c r="Q2" s="8" t="s">
        <v>66</v>
      </c>
      <c r="R2" s="8" t="s">
        <v>217</v>
      </c>
      <c r="S2" s="8" t="s">
        <v>218</v>
      </c>
      <c r="T2" s="8" t="s">
        <v>219</v>
      </c>
      <c r="U2" s="8" t="s">
        <v>220</v>
      </c>
      <c r="V2" s="8" t="s">
        <v>221</v>
      </c>
      <c r="W2" s="8" t="s">
        <v>222</v>
      </c>
      <c r="X2" s="8" t="s">
        <v>223</v>
      </c>
      <c r="Y2" s="8" t="s">
        <v>150</v>
      </c>
    </row>
    <row r="3" customFormat="false" ht="32.8" hidden="false" customHeight="false" outlineLevel="0" collapsed="false">
      <c r="A3" s="11" t="n">
        <v>1</v>
      </c>
      <c r="B3" s="28" t="s">
        <v>131</v>
      </c>
      <c r="C3" s="27" t="s">
        <v>163</v>
      </c>
      <c r="D3" s="11" t="s">
        <v>19</v>
      </c>
      <c r="E3" s="9" t="s">
        <v>224</v>
      </c>
      <c r="F3" s="21" t="n">
        <v>46415</v>
      </c>
      <c r="G3" s="21" t="n">
        <v>46417</v>
      </c>
      <c r="H3" s="29" t="n">
        <v>46388</v>
      </c>
      <c r="I3" s="24" t="s">
        <v>225</v>
      </c>
      <c r="J3" s="30" t="s">
        <v>226</v>
      </c>
      <c r="K3" s="24" t="s">
        <v>227</v>
      </c>
      <c r="L3" s="24" t="s">
        <v>228</v>
      </c>
      <c r="M3" s="24" t="s">
        <v>229</v>
      </c>
      <c r="N3" s="24" t="s">
        <v>230</v>
      </c>
      <c r="O3" s="24" t="s">
        <v>231</v>
      </c>
      <c r="P3" s="24" t="s">
        <v>232</v>
      </c>
      <c r="Q3" s="24" t="s">
        <v>233</v>
      </c>
      <c r="R3" s="24" t="s">
        <v>234</v>
      </c>
      <c r="S3" s="23" t="s">
        <v>235</v>
      </c>
      <c r="T3" s="28" t="s">
        <v>236</v>
      </c>
      <c r="U3" s="24" t="s">
        <v>237</v>
      </c>
      <c r="V3" s="24" t="s">
        <v>238</v>
      </c>
      <c r="W3" s="24" t="s">
        <v>239</v>
      </c>
      <c r="X3" s="24" t="s">
        <v>240</v>
      </c>
      <c r="Y3" s="25" t="s">
        <v>241</v>
      </c>
    </row>
    <row r="4" customFormat="false" ht="43.25" hidden="false" customHeight="false" outlineLevel="0" collapsed="false">
      <c r="A4" s="11" t="n">
        <v>2</v>
      </c>
      <c r="B4" s="23" t="s">
        <v>130</v>
      </c>
      <c r="C4" s="27" t="s">
        <v>163</v>
      </c>
      <c r="D4" s="11" t="s">
        <v>19</v>
      </c>
      <c r="E4" s="9" t="s">
        <v>242</v>
      </c>
      <c r="F4" s="21" t="n">
        <v>46479</v>
      </c>
      <c r="G4" s="21" t="n">
        <v>46480</v>
      </c>
      <c r="H4" s="29" t="n">
        <v>46478</v>
      </c>
      <c r="I4" s="24" t="s">
        <v>243</v>
      </c>
      <c r="J4" s="31" t="s">
        <v>244</v>
      </c>
      <c r="K4" s="24" t="s">
        <v>245</v>
      </c>
      <c r="L4" s="24" t="s">
        <v>246</v>
      </c>
      <c r="M4" s="24" t="s">
        <v>247</v>
      </c>
      <c r="N4" s="24" t="s">
        <v>248</v>
      </c>
      <c r="O4" s="24" t="s">
        <v>249</v>
      </c>
      <c r="P4" s="24" t="s">
        <v>250</v>
      </c>
      <c r="Q4" s="24" t="s">
        <v>233</v>
      </c>
      <c r="R4" s="24" t="s">
        <v>234</v>
      </c>
      <c r="S4" s="23" t="s">
        <v>235</v>
      </c>
      <c r="T4" s="23" t="s">
        <v>235</v>
      </c>
      <c r="U4" s="24" t="s">
        <v>237</v>
      </c>
      <c r="V4" s="24" t="s">
        <v>238</v>
      </c>
      <c r="W4" s="24" t="s">
        <v>251</v>
      </c>
      <c r="X4" s="24" t="s">
        <v>252</v>
      </c>
      <c r="Y4" s="25" t="s">
        <v>253</v>
      </c>
    </row>
    <row r="5" customFormat="false" ht="32.8" hidden="false" customHeight="false" outlineLevel="0" collapsed="false">
      <c r="A5" s="11" t="n">
        <v>3</v>
      </c>
      <c r="B5" s="23" t="s">
        <v>130</v>
      </c>
      <c r="C5" s="27" t="s">
        <v>163</v>
      </c>
      <c r="D5" s="11" t="s">
        <v>19</v>
      </c>
      <c r="E5" s="9" t="s">
        <v>254</v>
      </c>
      <c r="F5" s="21" t="n">
        <v>46514</v>
      </c>
      <c r="G5" s="21" t="n">
        <v>46514</v>
      </c>
      <c r="H5" s="29" t="n">
        <v>46508</v>
      </c>
      <c r="I5" s="24" t="s">
        <v>255</v>
      </c>
      <c r="J5" s="31" t="s">
        <v>244</v>
      </c>
      <c r="K5" s="24" t="s">
        <v>256</v>
      </c>
      <c r="L5" s="24" t="s">
        <v>257</v>
      </c>
      <c r="M5" s="24" t="s">
        <v>258</v>
      </c>
      <c r="N5" s="24" t="s">
        <v>259</v>
      </c>
      <c r="O5" s="24" t="s">
        <v>260</v>
      </c>
      <c r="P5" s="24" t="s">
        <v>261</v>
      </c>
      <c r="Q5" s="24" t="s">
        <v>233</v>
      </c>
      <c r="R5" s="24" t="s">
        <v>234</v>
      </c>
      <c r="S5" s="30" t="s">
        <v>262</v>
      </c>
      <c r="T5" s="28" t="s">
        <v>236</v>
      </c>
      <c r="U5" s="24" t="s">
        <v>263</v>
      </c>
      <c r="V5" s="24" t="s">
        <v>264</v>
      </c>
      <c r="W5" s="24" t="s">
        <v>265</v>
      </c>
      <c r="X5" s="24" t="s">
        <v>266</v>
      </c>
      <c r="Y5" s="25" t="s">
        <v>267</v>
      </c>
    </row>
    <row r="6" customFormat="false" ht="32.8" hidden="false" customHeight="false" outlineLevel="0" collapsed="false">
      <c r="A6" s="11" t="n">
        <v>4</v>
      </c>
      <c r="B6" s="23" t="s">
        <v>130</v>
      </c>
      <c r="C6" s="27" t="s">
        <v>163</v>
      </c>
      <c r="D6" s="11" t="s">
        <v>19</v>
      </c>
      <c r="E6" s="9" t="s">
        <v>268</v>
      </c>
      <c r="F6" s="21" t="n">
        <v>46515</v>
      </c>
      <c r="G6" s="21" t="n">
        <v>46516</v>
      </c>
      <c r="H6" s="29" t="n">
        <v>46508</v>
      </c>
      <c r="I6" s="24" t="s">
        <v>269</v>
      </c>
      <c r="J6" s="30" t="s">
        <v>226</v>
      </c>
      <c r="K6" s="24" t="s">
        <v>270</v>
      </c>
      <c r="L6" s="24" t="s">
        <v>228</v>
      </c>
      <c r="M6" s="24" t="s">
        <v>271</v>
      </c>
      <c r="N6" s="24" t="s">
        <v>272</v>
      </c>
      <c r="O6" s="24" t="s">
        <v>273</v>
      </c>
      <c r="P6" s="24" t="s">
        <v>274</v>
      </c>
      <c r="Q6" s="24" t="s">
        <v>233</v>
      </c>
      <c r="R6" s="24" t="s">
        <v>234</v>
      </c>
      <c r="S6" s="30" t="s">
        <v>262</v>
      </c>
      <c r="T6" s="23" t="s">
        <v>235</v>
      </c>
      <c r="U6" s="24" t="s">
        <v>275</v>
      </c>
      <c r="V6" s="24" t="s">
        <v>238</v>
      </c>
      <c r="W6" s="24" t="s">
        <v>239</v>
      </c>
      <c r="X6" s="24" t="s">
        <v>276</v>
      </c>
      <c r="Y6" s="25" t="s">
        <v>277</v>
      </c>
    </row>
    <row r="7" customFormat="false" ht="32.8" hidden="false" customHeight="false" outlineLevel="0" collapsed="false">
      <c r="A7" s="11" t="n">
        <v>5</v>
      </c>
      <c r="B7" s="28" t="s">
        <v>131</v>
      </c>
      <c r="C7" s="27" t="s">
        <v>163</v>
      </c>
      <c r="D7" s="11" t="s">
        <v>19</v>
      </c>
      <c r="E7" s="9" t="s">
        <v>278</v>
      </c>
      <c r="F7" s="21" t="n">
        <v>46532</v>
      </c>
      <c r="G7" s="21" t="n">
        <v>46535</v>
      </c>
      <c r="H7" s="29" t="n">
        <v>46508</v>
      </c>
      <c r="I7" s="24" t="s">
        <v>279</v>
      </c>
      <c r="J7" s="31" t="s">
        <v>244</v>
      </c>
      <c r="K7" s="24" t="s">
        <v>280</v>
      </c>
      <c r="L7" s="24" t="s">
        <v>281</v>
      </c>
      <c r="M7" s="24" t="s">
        <v>282</v>
      </c>
      <c r="N7" s="24" t="s">
        <v>283</v>
      </c>
      <c r="O7" s="24" t="s">
        <v>284</v>
      </c>
      <c r="P7" s="24" t="s">
        <v>285</v>
      </c>
      <c r="Q7" s="24" t="s">
        <v>233</v>
      </c>
      <c r="R7" s="24" t="s">
        <v>234</v>
      </c>
      <c r="S7" s="28" t="s">
        <v>236</v>
      </c>
      <c r="T7" s="23" t="s">
        <v>235</v>
      </c>
      <c r="U7" s="24" t="s">
        <v>237</v>
      </c>
      <c r="V7" s="24" t="s">
        <v>238</v>
      </c>
      <c r="W7" s="24" t="s">
        <v>239</v>
      </c>
      <c r="X7" s="24" t="s">
        <v>286</v>
      </c>
      <c r="Y7" s="25" t="s">
        <v>287</v>
      </c>
    </row>
    <row r="8" customFormat="false" ht="32.8" hidden="false" customHeight="false" outlineLevel="0" collapsed="false">
      <c r="A8" s="11" t="n">
        <v>6</v>
      </c>
      <c r="B8" s="28" t="s">
        <v>131</v>
      </c>
      <c r="C8" s="27" t="s">
        <v>163</v>
      </c>
      <c r="D8" s="11" t="s">
        <v>19</v>
      </c>
      <c r="E8" s="9" t="s">
        <v>288</v>
      </c>
      <c r="F8" s="21" t="n">
        <v>46547</v>
      </c>
      <c r="G8" s="21" t="n">
        <v>46548</v>
      </c>
      <c r="H8" s="29" t="n">
        <v>46539</v>
      </c>
      <c r="I8" s="24" t="s">
        <v>289</v>
      </c>
      <c r="J8" s="31" t="s">
        <v>244</v>
      </c>
      <c r="K8" s="24" t="s">
        <v>290</v>
      </c>
      <c r="L8" s="24" t="s">
        <v>291</v>
      </c>
      <c r="M8" s="24" t="s">
        <v>292</v>
      </c>
      <c r="N8" s="24" t="s">
        <v>293</v>
      </c>
      <c r="O8" s="24" t="s">
        <v>294</v>
      </c>
      <c r="P8" s="24" t="s">
        <v>295</v>
      </c>
      <c r="Q8" s="24" t="s">
        <v>233</v>
      </c>
      <c r="R8" s="24" t="s">
        <v>234</v>
      </c>
      <c r="S8" s="28" t="s">
        <v>236</v>
      </c>
      <c r="T8" s="28" t="s">
        <v>236</v>
      </c>
      <c r="U8" s="24" t="s">
        <v>296</v>
      </c>
      <c r="V8" s="24" t="s">
        <v>238</v>
      </c>
      <c r="W8" s="24" t="s">
        <v>239</v>
      </c>
      <c r="X8" s="24" t="s">
        <v>297</v>
      </c>
      <c r="Y8" s="25" t="s">
        <v>298</v>
      </c>
    </row>
    <row r="9" customFormat="false" ht="32.8" hidden="false" customHeight="false" outlineLevel="0" collapsed="false">
      <c r="A9" s="11" t="n">
        <v>7</v>
      </c>
      <c r="B9" s="28" t="s">
        <v>131</v>
      </c>
      <c r="C9" s="27" t="s">
        <v>163</v>
      </c>
      <c r="D9" s="11" t="s">
        <v>19</v>
      </c>
      <c r="E9" s="9" t="s">
        <v>299</v>
      </c>
      <c r="F9" s="21" t="n">
        <v>46575</v>
      </c>
      <c r="G9" s="21" t="n">
        <v>46576</v>
      </c>
      <c r="H9" s="29" t="n">
        <v>46569</v>
      </c>
      <c r="I9" s="24" t="s">
        <v>300</v>
      </c>
      <c r="J9" s="31" t="s">
        <v>244</v>
      </c>
      <c r="K9" s="24" t="s">
        <v>301</v>
      </c>
      <c r="L9" s="24" t="s">
        <v>302</v>
      </c>
      <c r="M9" s="24" t="s">
        <v>292</v>
      </c>
      <c r="N9" s="24" t="s">
        <v>303</v>
      </c>
      <c r="O9" s="24" t="s">
        <v>304</v>
      </c>
      <c r="P9" s="24" t="s">
        <v>295</v>
      </c>
      <c r="Q9" s="24" t="s">
        <v>233</v>
      </c>
      <c r="R9" s="24" t="s">
        <v>234</v>
      </c>
      <c r="S9" s="28" t="s">
        <v>236</v>
      </c>
      <c r="T9" s="28" t="s">
        <v>236</v>
      </c>
      <c r="U9" s="24" t="s">
        <v>305</v>
      </c>
      <c r="V9" s="24" t="s">
        <v>238</v>
      </c>
      <c r="W9" s="24" t="s">
        <v>239</v>
      </c>
      <c r="X9" s="24" t="s">
        <v>306</v>
      </c>
      <c r="Y9" s="25" t="s">
        <v>307</v>
      </c>
    </row>
    <row r="10" customFormat="false" ht="43.25" hidden="false" customHeight="false" outlineLevel="0" collapsed="false">
      <c r="A10" s="11" t="n">
        <v>8</v>
      </c>
      <c r="B10" s="28" t="s">
        <v>131</v>
      </c>
      <c r="C10" s="27" t="s">
        <v>163</v>
      </c>
      <c r="D10" s="11" t="s">
        <v>19</v>
      </c>
      <c r="E10" s="9" t="s">
        <v>308</v>
      </c>
      <c r="F10" s="21" t="n">
        <v>46583</v>
      </c>
      <c r="G10" s="21" t="n">
        <v>46585</v>
      </c>
      <c r="H10" s="29" t="n">
        <v>46569</v>
      </c>
      <c r="I10" s="24" t="s">
        <v>309</v>
      </c>
      <c r="J10" s="30" t="s">
        <v>226</v>
      </c>
      <c r="K10" s="24" t="s">
        <v>310</v>
      </c>
      <c r="L10" s="24" t="s">
        <v>311</v>
      </c>
      <c r="M10" s="24" t="s">
        <v>312</v>
      </c>
      <c r="N10" s="24" t="s">
        <v>313</v>
      </c>
      <c r="O10" s="24" t="s">
        <v>314</v>
      </c>
      <c r="P10" s="24" t="s">
        <v>250</v>
      </c>
      <c r="Q10" s="24" t="s">
        <v>233</v>
      </c>
      <c r="R10" s="24" t="s">
        <v>234</v>
      </c>
      <c r="S10" s="23" t="s">
        <v>235</v>
      </c>
      <c r="T10" s="28" t="s">
        <v>236</v>
      </c>
      <c r="U10" s="24" t="s">
        <v>237</v>
      </c>
      <c r="V10" s="24" t="s">
        <v>238</v>
      </c>
      <c r="W10" s="24" t="s">
        <v>239</v>
      </c>
      <c r="X10" s="24" t="s">
        <v>315</v>
      </c>
      <c r="Y10" s="25" t="s">
        <v>316</v>
      </c>
    </row>
    <row r="11" customFormat="false" ht="43.25" hidden="false" customHeight="false" outlineLevel="0" collapsed="false">
      <c r="A11" s="11" t="n">
        <v>9</v>
      </c>
      <c r="B11" s="23" t="s">
        <v>130</v>
      </c>
      <c r="C11" s="27" t="s">
        <v>163</v>
      </c>
      <c r="D11" s="11" t="s">
        <v>19</v>
      </c>
      <c r="E11" s="9" t="s">
        <v>317</v>
      </c>
      <c r="F11" s="21" t="n">
        <v>46617</v>
      </c>
      <c r="G11" s="21" t="n">
        <v>46622</v>
      </c>
      <c r="H11" s="29" t="n">
        <v>46600</v>
      </c>
      <c r="I11" s="24" t="s">
        <v>318</v>
      </c>
      <c r="J11" s="31" t="s">
        <v>244</v>
      </c>
      <c r="K11" s="24" t="s">
        <v>319</v>
      </c>
      <c r="L11" s="24" t="s">
        <v>320</v>
      </c>
      <c r="M11" s="24" t="s">
        <v>321</v>
      </c>
      <c r="N11" s="24" t="s">
        <v>322</v>
      </c>
      <c r="O11" s="24" t="s">
        <v>323</v>
      </c>
      <c r="P11" s="24" t="s">
        <v>324</v>
      </c>
      <c r="Q11" s="24" t="s">
        <v>233</v>
      </c>
      <c r="R11" s="24" t="s">
        <v>234</v>
      </c>
      <c r="S11" s="30" t="s">
        <v>262</v>
      </c>
      <c r="T11" s="23" t="s">
        <v>235</v>
      </c>
      <c r="U11" s="24" t="s">
        <v>237</v>
      </c>
      <c r="V11" s="24" t="s">
        <v>238</v>
      </c>
      <c r="W11" s="24" t="s">
        <v>239</v>
      </c>
      <c r="X11" s="24" t="s">
        <v>325</v>
      </c>
      <c r="Y11" s="25" t="s">
        <v>326</v>
      </c>
    </row>
    <row r="12" customFormat="false" ht="53.7" hidden="false" customHeight="false" outlineLevel="0" collapsed="false">
      <c r="A12" s="11" t="n">
        <v>10</v>
      </c>
      <c r="B12" s="22" t="s">
        <v>129</v>
      </c>
      <c r="C12" s="27" t="s">
        <v>163</v>
      </c>
      <c r="D12" s="11" t="s">
        <v>19</v>
      </c>
      <c r="E12" s="9" t="s">
        <v>327</v>
      </c>
      <c r="F12" s="21" t="n">
        <v>46618</v>
      </c>
      <c r="G12" s="21" t="n">
        <v>46621</v>
      </c>
      <c r="H12" s="29" t="n">
        <v>46600</v>
      </c>
      <c r="I12" s="24" t="s">
        <v>328</v>
      </c>
      <c r="J12" s="30" t="s">
        <v>226</v>
      </c>
      <c r="K12" s="24" t="s">
        <v>329</v>
      </c>
      <c r="L12" s="24" t="s">
        <v>330</v>
      </c>
      <c r="M12" s="24" t="s">
        <v>331</v>
      </c>
      <c r="N12" s="24" t="s">
        <v>332</v>
      </c>
      <c r="O12" s="24" t="s">
        <v>333</v>
      </c>
      <c r="P12" s="24" t="s">
        <v>250</v>
      </c>
      <c r="Q12" s="24" t="s">
        <v>334</v>
      </c>
      <c r="R12" s="24" t="s">
        <v>234</v>
      </c>
      <c r="S12" s="30" t="s">
        <v>262</v>
      </c>
      <c r="T12" s="30" t="s">
        <v>262</v>
      </c>
      <c r="U12" s="24" t="s">
        <v>237</v>
      </c>
      <c r="V12" s="24" t="s">
        <v>238</v>
      </c>
      <c r="W12" s="24" t="s">
        <v>335</v>
      </c>
      <c r="X12" s="24" t="s">
        <v>336</v>
      </c>
      <c r="Y12" s="25" t="s">
        <v>337</v>
      </c>
    </row>
    <row r="13" customFormat="false" ht="32.8" hidden="false" customHeight="false" outlineLevel="0" collapsed="false">
      <c r="A13" s="11" t="n">
        <v>11</v>
      </c>
      <c r="B13" s="23" t="s">
        <v>130</v>
      </c>
      <c r="C13" s="27" t="s">
        <v>163</v>
      </c>
      <c r="D13" s="11" t="s">
        <v>19</v>
      </c>
      <c r="E13" s="9" t="s">
        <v>338</v>
      </c>
      <c r="F13" s="21" t="n">
        <v>46640</v>
      </c>
      <c r="G13" s="21" t="n">
        <v>46640</v>
      </c>
      <c r="H13" s="29" t="n">
        <v>46631</v>
      </c>
      <c r="I13" s="24" t="s">
        <v>339</v>
      </c>
      <c r="J13" s="31" t="s">
        <v>244</v>
      </c>
      <c r="K13" s="24" t="s">
        <v>256</v>
      </c>
      <c r="L13" s="24" t="s">
        <v>257</v>
      </c>
      <c r="M13" s="24" t="s">
        <v>258</v>
      </c>
      <c r="N13" s="24" t="s">
        <v>259</v>
      </c>
      <c r="O13" s="24" t="s">
        <v>260</v>
      </c>
      <c r="P13" s="24" t="s">
        <v>261</v>
      </c>
      <c r="Q13" s="24" t="s">
        <v>233</v>
      </c>
      <c r="R13" s="24" t="s">
        <v>234</v>
      </c>
      <c r="S13" s="30" t="s">
        <v>262</v>
      </c>
      <c r="T13" s="28" t="s">
        <v>236</v>
      </c>
      <c r="U13" s="24" t="s">
        <v>263</v>
      </c>
      <c r="V13" s="24" t="s">
        <v>264</v>
      </c>
      <c r="W13" s="24" t="s">
        <v>265</v>
      </c>
      <c r="X13" s="24" t="s">
        <v>266</v>
      </c>
      <c r="Y13" s="25" t="s">
        <v>267</v>
      </c>
    </row>
    <row r="14" customFormat="false" ht="32.8" hidden="false" customHeight="false" outlineLevel="0" collapsed="false">
      <c r="A14" s="11" t="n">
        <v>12</v>
      </c>
      <c r="B14" s="28" t="s">
        <v>131</v>
      </c>
      <c r="C14" s="27" t="s">
        <v>163</v>
      </c>
      <c r="D14" s="11" t="s">
        <v>19</v>
      </c>
      <c r="E14" s="9" t="s">
        <v>340</v>
      </c>
      <c r="F14" s="21" t="n">
        <v>46642</v>
      </c>
      <c r="G14" s="21" t="n">
        <v>46645</v>
      </c>
      <c r="H14" s="29" t="n">
        <v>46631</v>
      </c>
      <c r="I14" s="24" t="s">
        <v>341</v>
      </c>
      <c r="J14" s="30" t="s">
        <v>226</v>
      </c>
      <c r="K14" s="24" t="s">
        <v>342</v>
      </c>
      <c r="L14" s="24" t="s">
        <v>343</v>
      </c>
      <c r="M14" s="24" t="s">
        <v>344</v>
      </c>
      <c r="N14" s="24" t="s">
        <v>345</v>
      </c>
      <c r="O14" s="24" t="s">
        <v>346</v>
      </c>
      <c r="P14" s="24" t="s">
        <v>347</v>
      </c>
      <c r="Q14" s="24" t="s">
        <v>233</v>
      </c>
      <c r="R14" s="24" t="s">
        <v>348</v>
      </c>
      <c r="S14" s="28" t="s">
        <v>236</v>
      </c>
      <c r="T14" s="28" t="s">
        <v>236</v>
      </c>
      <c r="U14" s="24" t="s">
        <v>237</v>
      </c>
      <c r="V14" s="24" t="s">
        <v>238</v>
      </c>
      <c r="W14" s="24" t="s">
        <v>239</v>
      </c>
      <c r="X14" s="24" t="s">
        <v>349</v>
      </c>
      <c r="Y14" s="25" t="s">
        <v>350</v>
      </c>
    </row>
    <row r="15" customFormat="false" ht="43.25" hidden="false" customHeight="false" outlineLevel="0" collapsed="false">
      <c r="A15" s="11" t="n">
        <v>13</v>
      </c>
      <c r="B15" s="22" t="s">
        <v>129</v>
      </c>
      <c r="C15" s="27" t="s">
        <v>163</v>
      </c>
      <c r="D15" s="11" t="s">
        <v>19</v>
      </c>
      <c r="E15" s="9" t="s">
        <v>351</v>
      </c>
      <c r="F15" s="11"/>
      <c r="G15" s="11"/>
      <c r="H15" s="29" t="n">
        <v>46661</v>
      </c>
      <c r="I15" s="24" t="s">
        <v>352</v>
      </c>
      <c r="J15" s="32" t="s">
        <v>353</v>
      </c>
      <c r="K15" s="24" t="s">
        <v>354</v>
      </c>
      <c r="L15" s="24" t="s">
        <v>355</v>
      </c>
      <c r="M15" s="24" t="s">
        <v>356</v>
      </c>
      <c r="N15" s="24" t="s">
        <v>357</v>
      </c>
      <c r="O15" s="24" t="s">
        <v>358</v>
      </c>
      <c r="P15" s="24" t="s">
        <v>250</v>
      </c>
      <c r="Q15" s="24" t="s">
        <v>233</v>
      </c>
      <c r="R15" s="24" t="s">
        <v>234</v>
      </c>
      <c r="S15" s="30" t="s">
        <v>262</v>
      </c>
      <c r="T15" s="30" t="s">
        <v>262</v>
      </c>
      <c r="U15" s="24" t="s">
        <v>237</v>
      </c>
      <c r="V15" s="24" t="s">
        <v>359</v>
      </c>
      <c r="W15" s="24" t="s">
        <v>239</v>
      </c>
      <c r="X15" s="24" t="s">
        <v>360</v>
      </c>
      <c r="Y15" s="25" t="s">
        <v>361</v>
      </c>
    </row>
    <row r="16" customFormat="false" ht="43.25" hidden="false" customHeight="false" outlineLevel="0" collapsed="false">
      <c r="A16" s="33" t="n">
        <v>1</v>
      </c>
      <c r="B16" s="34" t="s">
        <v>129</v>
      </c>
      <c r="C16" s="35" t="s">
        <v>151</v>
      </c>
      <c r="D16" s="33" t="s">
        <v>21</v>
      </c>
      <c r="E16" s="36" t="s">
        <v>152</v>
      </c>
      <c r="F16" s="37" t="n">
        <v>46359</v>
      </c>
      <c r="G16" s="37" t="n">
        <v>46362</v>
      </c>
      <c r="H16" s="38" t="n">
        <v>46357</v>
      </c>
      <c r="I16" s="39" t="s">
        <v>153</v>
      </c>
      <c r="J16" s="40" t="s">
        <v>226</v>
      </c>
      <c r="K16" s="39" t="s">
        <v>226</v>
      </c>
      <c r="L16" s="39" t="s">
        <v>154</v>
      </c>
      <c r="M16" s="39" t="s">
        <v>362</v>
      </c>
      <c r="N16" s="39" t="s">
        <v>363</v>
      </c>
      <c r="O16" s="39" t="s">
        <v>364</v>
      </c>
      <c r="P16" s="39" t="s">
        <v>365</v>
      </c>
      <c r="Q16" s="39" t="s">
        <v>366</v>
      </c>
      <c r="R16" s="39" t="s">
        <v>367</v>
      </c>
      <c r="S16" s="35" t="s">
        <v>235</v>
      </c>
      <c r="T16" s="40" t="s">
        <v>262</v>
      </c>
      <c r="U16" s="39" t="s">
        <v>368</v>
      </c>
      <c r="V16" s="39" t="s">
        <v>239</v>
      </c>
      <c r="W16" s="39" t="s">
        <v>369</v>
      </c>
      <c r="X16" s="39" t="s">
        <v>370</v>
      </c>
      <c r="Y16" s="41" t="s">
        <v>156</v>
      </c>
    </row>
    <row r="17" customFormat="false" ht="32.8" hidden="false" customHeight="false" outlineLevel="0" collapsed="false">
      <c r="A17" s="11" t="n">
        <v>2</v>
      </c>
      <c r="B17" s="23" t="s">
        <v>130</v>
      </c>
      <c r="C17" s="27" t="s">
        <v>163</v>
      </c>
      <c r="D17" s="11" t="s">
        <v>21</v>
      </c>
      <c r="E17" s="9" t="s">
        <v>182</v>
      </c>
      <c r="F17" s="21" t="n">
        <v>46368</v>
      </c>
      <c r="G17" s="21" t="n">
        <v>46369</v>
      </c>
      <c r="H17" s="29" t="n">
        <v>46357</v>
      </c>
      <c r="I17" s="24" t="s">
        <v>183</v>
      </c>
      <c r="J17" s="30" t="s">
        <v>226</v>
      </c>
      <c r="K17" s="24" t="s">
        <v>226</v>
      </c>
      <c r="L17" s="24" t="s">
        <v>184</v>
      </c>
      <c r="M17" s="24" t="s">
        <v>371</v>
      </c>
      <c r="N17" s="24" t="s">
        <v>372</v>
      </c>
      <c r="O17" s="24" t="s">
        <v>373</v>
      </c>
      <c r="P17" s="24" t="s">
        <v>374</v>
      </c>
      <c r="Q17" s="24" t="s">
        <v>375</v>
      </c>
      <c r="R17" s="24" t="s">
        <v>367</v>
      </c>
      <c r="S17" s="30" t="s">
        <v>262</v>
      </c>
      <c r="T17" s="28" t="s">
        <v>236</v>
      </c>
      <c r="U17" s="24" t="s">
        <v>237</v>
      </c>
      <c r="V17" s="24" t="s">
        <v>238</v>
      </c>
      <c r="W17" s="24" t="s">
        <v>376</v>
      </c>
      <c r="X17" s="24" t="s">
        <v>377</v>
      </c>
      <c r="Y17" s="25" t="s">
        <v>186</v>
      </c>
    </row>
    <row r="18" customFormat="false" ht="43.25" hidden="false" customHeight="false" outlineLevel="0" collapsed="false">
      <c r="A18" s="11" t="n">
        <v>3</v>
      </c>
      <c r="B18" s="22" t="s">
        <v>129</v>
      </c>
      <c r="C18" s="27" t="s">
        <v>163</v>
      </c>
      <c r="D18" s="11" t="s">
        <v>21</v>
      </c>
      <c r="E18" s="9" t="s">
        <v>378</v>
      </c>
      <c r="F18" s="21" t="n">
        <v>46464</v>
      </c>
      <c r="G18" s="21" t="n">
        <v>46467</v>
      </c>
      <c r="H18" s="29" t="n">
        <v>46447</v>
      </c>
      <c r="I18" s="24" t="s">
        <v>379</v>
      </c>
      <c r="J18" s="31" t="s">
        <v>244</v>
      </c>
      <c r="K18" s="24" t="s">
        <v>380</v>
      </c>
      <c r="L18" s="24" t="s">
        <v>381</v>
      </c>
      <c r="M18" s="24" t="s">
        <v>382</v>
      </c>
      <c r="N18" s="24" t="s">
        <v>383</v>
      </c>
      <c r="O18" s="24" t="s">
        <v>384</v>
      </c>
      <c r="P18" s="24" t="s">
        <v>385</v>
      </c>
      <c r="Q18" s="24" t="s">
        <v>375</v>
      </c>
      <c r="R18" s="24" t="s">
        <v>367</v>
      </c>
      <c r="S18" s="30" t="s">
        <v>262</v>
      </c>
      <c r="T18" s="23" t="s">
        <v>235</v>
      </c>
      <c r="U18" s="24" t="s">
        <v>237</v>
      </c>
      <c r="V18" s="24" t="s">
        <v>238</v>
      </c>
      <c r="W18" s="24" t="s">
        <v>386</v>
      </c>
      <c r="X18" s="24" t="s">
        <v>387</v>
      </c>
      <c r="Y18" s="25" t="s">
        <v>388</v>
      </c>
    </row>
    <row r="19" customFormat="false" ht="32.8" hidden="false" customHeight="false" outlineLevel="0" collapsed="false">
      <c r="A19" s="11" t="n">
        <v>4</v>
      </c>
      <c r="B19" s="23" t="s">
        <v>130</v>
      </c>
      <c r="C19" s="27" t="s">
        <v>163</v>
      </c>
      <c r="D19" s="11" t="s">
        <v>21</v>
      </c>
      <c r="E19" s="9" t="s">
        <v>389</v>
      </c>
      <c r="F19" s="11"/>
      <c r="G19" s="11"/>
      <c r="H19" s="29" t="n">
        <v>46447</v>
      </c>
      <c r="I19" s="24" t="s">
        <v>390</v>
      </c>
      <c r="J19" s="32" t="s">
        <v>353</v>
      </c>
      <c r="K19" s="24" t="s">
        <v>391</v>
      </c>
      <c r="L19" s="24" t="s">
        <v>392</v>
      </c>
      <c r="M19" s="24" t="s">
        <v>393</v>
      </c>
      <c r="N19" s="24" t="s">
        <v>394</v>
      </c>
      <c r="O19" s="24" t="s">
        <v>395</v>
      </c>
      <c r="P19" s="24" t="s">
        <v>396</v>
      </c>
      <c r="Q19" s="24" t="s">
        <v>375</v>
      </c>
      <c r="R19" s="24" t="s">
        <v>367</v>
      </c>
      <c r="S19" s="30" t="s">
        <v>262</v>
      </c>
      <c r="T19" s="30" t="s">
        <v>262</v>
      </c>
      <c r="U19" s="24" t="s">
        <v>237</v>
      </c>
      <c r="V19" s="24" t="s">
        <v>397</v>
      </c>
      <c r="W19" s="24" t="s">
        <v>398</v>
      </c>
      <c r="X19" s="24" t="s">
        <v>399</v>
      </c>
      <c r="Y19" s="25" t="s">
        <v>400</v>
      </c>
    </row>
    <row r="20" customFormat="false" ht="43.25" hidden="false" customHeight="false" outlineLevel="0" collapsed="false">
      <c r="A20" s="11" t="n">
        <v>5</v>
      </c>
      <c r="B20" s="23" t="s">
        <v>130</v>
      </c>
      <c r="C20" s="27" t="s">
        <v>163</v>
      </c>
      <c r="D20" s="11" t="s">
        <v>21</v>
      </c>
      <c r="E20" s="9" t="s">
        <v>401</v>
      </c>
      <c r="F20" s="11"/>
      <c r="G20" s="11"/>
      <c r="H20" s="29" t="n">
        <v>46447</v>
      </c>
      <c r="I20" s="24" t="s">
        <v>402</v>
      </c>
      <c r="J20" s="32" t="s">
        <v>353</v>
      </c>
      <c r="K20" s="24" t="s">
        <v>403</v>
      </c>
      <c r="L20" s="24" t="s">
        <v>404</v>
      </c>
      <c r="M20" s="24" t="s">
        <v>247</v>
      </c>
      <c r="N20" s="24" t="s">
        <v>405</v>
      </c>
      <c r="O20" s="24" t="s">
        <v>406</v>
      </c>
      <c r="P20" s="24" t="s">
        <v>385</v>
      </c>
      <c r="Q20" s="24" t="s">
        <v>375</v>
      </c>
      <c r="R20" s="24" t="s">
        <v>367</v>
      </c>
      <c r="S20" s="23" t="s">
        <v>235</v>
      </c>
      <c r="T20" s="23" t="s">
        <v>235</v>
      </c>
      <c r="U20" s="24" t="s">
        <v>237</v>
      </c>
      <c r="V20" s="24" t="s">
        <v>238</v>
      </c>
      <c r="W20" s="24" t="s">
        <v>239</v>
      </c>
      <c r="X20" s="24" t="s">
        <v>407</v>
      </c>
      <c r="Y20" s="25" t="s">
        <v>408</v>
      </c>
    </row>
    <row r="21" customFormat="false" ht="32.8" hidden="false" customHeight="false" outlineLevel="0" collapsed="false">
      <c r="A21" s="11" t="n">
        <v>6</v>
      </c>
      <c r="B21" s="23" t="s">
        <v>130</v>
      </c>
      <c r="C21" s="27" t="s">
        <v>163</v>
      </c>
      <c r="D21" s="11" t="s">
        <v>21</v>
      </c>
      <c r="E21" s="9" t="s">
        <v>409</v>
      </c>
      <c r="F21" s="11"/>
      <c r="G21" s="11"/>
      <c r="H21" s="29" t="n">
        <v>46508</v>
      </c>
      <c r="I21" s="24" t="s">
        <v>410</v>
      </c>
      <c r="J21" s="32" t="s">
        <v>353</v>
      </c>
      <c r="K21" s="24" t="s">
        <v>411</v>
      </c>
      <c r="L21" s="24" t="s">
        <v>412</v>
      </c>
      <c r="M21" s="24" t="s">
        <v>247</v>
      </c>
      <c r="N21" s="24" t="s">
        <v>372</v>
      </c>
      <c r="O21" s="24" t="s">
        <v>413</v>
      </c>
      <c r="P21" s="24" t="s">
        <v>374</v>
      </c>
      <c r="Q21" s="24" t="s">
        <v>375</v>
      </c>
      <c r="R21" s="24" t="s">
        <v>367</v>
      </c>
      <c r="S21" s="30" t="s">
        <v>262</v>
      </c>
      <c r="T21" s="28" t="s">
        <v>236</v>
      </c>
      <c r="U21" s="24" t="s">
        <v>414</v>
      </c>
      <c r="V21" s="24" t="s">
        <v>238</v>
      </c>
      <c r="W21" s="24" t="s">
        <v>239</v>
      </c>
      <c r="X21" s="24" t="s">
        <v>415</v>
      </c>
      <c r="Y21" s="25" t="s">
        <v>416</v>
      </c>
    </row>
    <row r="22" customFormat="false" ht="32.8" hidden="false" customHeight="false" outlineLevel="0" collapsed="false">
      <c r="A22" s="11" t="n">
        <v>7</v>
      </c>
      <c r="B22" s="23" t="s">
        <v>130</v>
      </c>
      <c r="C22" s="27" t="s">
        <v>163</v>
      </c>
      <c r="D22" s="11" t="s">
        <v>21</v>
      </c>
      <c r="E22" s="9" t="s">
        <v>417</v>
      </c>
      <c r="F22" s="11"/>
      <c r="G22" s="11"/>
      <c r="H22" s="29" t="n">
        <v>46539</v>
      </c>
      <c r="I22" s="24" t="s">
        <v>418</v>
      </c>
      <c r="J22" s="32" t="s">
        <v>353</v>
      </c>
      <c r="K22" s="24" t="s">
        <v>419</v>
      </c>
      <c r="L22" s="24" t="s">
        <v>420</v>
      </c>
      <c r="M22" s="24" t="s">
        <v>247</v>
      </c>
      <c r="N22" s="24" t="s">
        <v>421</v>
      </c>
      <c r="O22" s="24" t="s">
        <v>422</v>
      </c>
      <c r="P22" s="24" t="s">
        <v>423</v>
      </c>
      <c r="Q22" s="24" t="s">
        <v>375</v>
      </c>
      <c r="R22" s="24" t="s">
        <v>367</v>
      </c>
      <c r="S22" s="23" t="s">
        <v>235</v>
      </c>
      <c r="T22" s="23" t="s">
        <v>235</v>
      </c>
      <c r="U22" s="24" t="s">
        <v>237</v>
      </c>
      <c r="V22" s="24" t="s">
        <v>238</v>
      </c>
      <c r="W22" s="24" t="s">
        <v>239</v>
      </c>
      <c r="X22" s="24" t="s">
        <v>424</v>
      </c>
      <c r="Y22" s="25" t="s">
        <v>425</v>
      </c>
    </row>
    <row r="23" customFormat="false" ht="32.8" hidden="false" customHeight="false" outlineLevel="0" collapsed="false">
      <c r="A23" s="11" t="n">
        <v>8</v>
      </c>
      <c r="B23" s="23" t="s">
        <v>130</v>
      </c>
      <c r="C23" s="23" t="s">
        <v>151</v>
      </c>
      <c r="D23" s="11" t="s">
        <v>21</v>
      </c>
      <c r="E23" s="9" t="s">
        <v>426</v>
      </c>
      <c r="F23" s="21" t="n">
        <v>46576</v>
      </c>
      <c r="G23" s="21" t="n">
        <v>46578</v>
      </c>
      <c r="H23" s="29" t="n">
        <v>46569</v>
      </c>
      <c r="I23" s="24" t="s">
        <v>427</v>
      </c>
      <c r="J23" s="30" t="s">
        <v>226</v>
      </c>
      <c r="K23" s="24" t="s">
        <v>227</v>
      </c>
      <c r="L23" s="24" t="s">
        <v>428</v>
      </c>
      <c r="M23" s="24" t="s">
        <v>429</v>
      </c>
      <c r="N23" s="24" t="s">
        <v>430</v>
      </c>
      <c r="O23" s="24" t="s">
        <v>431</v>
      </c>
      <c r="P23" s="24" t="s">
        <v>285</v>
      </c>
      <c r="Q23" s="24" t="s">
        <v>375</v>
      </c>
      <c r="R23" s="24" t="s">
        <v>367</v>
      </c>
      <c r="S23" s="28" t="s">
        <v>236</v>
      </c>
      <c r="T23" s="30" t="s">
        <v>262</v>
      </c>
      <c r="U23" s="24" t="s">
        <v>237</v>
      </c>
      <c r="V23" s="24" t="s">
        <v>239</v>
      </c>
      <c r="W23" s="24" t="s">
        <v>432</v>
      </c>
      <c r="X23" s="24" t="s">
        <v>433</v>
      </c>
      <c r="Y23" s="25" t="s">
        <v>434</v>
      </c>
    </row>
    <row r="24" customFormat="false" ht="32.8" hidden="false" customHeight="false" outlineLevel="0" collapsed="false">
      <c r="A24" s="11" t="n">
        <v>9</v>
      </c>
      <c r="B24" s="23" t="s">
        <v>130</v>
      </c>
      <c r="C24" s="27" t="s">
        <v>163</v>
      </c>
      <c r="D24" s="11" t="s">
        <v>21</v>
      </c>
      <c r="E24" s="9" t="s">
        <v>435</v>
      </c>
      <c r="F24" s="11"/>
      <c r="G24" s="11"/>
      <c r="H24" s="29" t="n">
        <v>46631</v>
      </c>
      <c r="I24" s="24" t="s">
        <v>436</v>
      </c>
      <c r="J24" s="32" t="s">
        <v>353</v>
      </c>
      <c r="K24" s="24" t="s">
        <v>437</v>
      </c>
      <c r="L24" s="24" t="s">
        <v>438</v>
      </c>
      <c r="M24" s="24" t="s">
        <v>439</v>
      </c>
      <c r="N24" s="24" t="s">
        <v>440</v>
      </c>
      <c r="O24" s="24" t="s">
        <v>441</v>
      </c>
      <c r="P24" s="24" t="s">
        <v>375</v>
      </c>
      <c r="Q24" s="24" t="s">
        <v>375</v>
      </c>
      <c r="R24" s="24" t="s">
        <v>367</v>
      </c>
      <c r="S24" s="30" t="s">
        <v>262</v>
      </c>
      <c r="T24" s="28" t="s">
        <v>236</v>
      </c>
      <c r="U24" s="24" t="s">
        <v>237</v>
      </c>
      <c r="V24" s="24" t="s">
        <v>238</v>
      </c>
      <c r="W24" s="24" t="s">
        <v>239</v>
      </c>
      <c r="X24" s="24" t="s">
        <v>442</v>
      </c>
      <c r="Y24" s="25" t="s">
        <v>443</v>
      </c>
    </row>
    <row r="25" customFormat="false" ht="32.8" hidden="false" customHeight="false" outlineLevel="0" collapsed="false">
      <c r="A25" s="11" t="n">
        <v>10</v>
      </c>
      <c r="B25" s="23" t="s">
        <v>130</v>
      </c>
      <c r="C25" s="27" t="s">
        <v>163</v>
      </c>
      <c r="D25" s="11" t="s">
        <v>21</v>
      </c>
      <c r="E25" s="9" t="s">
        <v>444</v>
      </c>
      <c r="F25" s="11"/>
      <c r="G25" s="11"/>
      <c r="H25" s="29" t="n">
        <v>46631</v>
      </c>
      <c r="I25" s="24" t="s">
        <v>445</v>
      </c>
      <c r="J25" s="32" t="s">
        <v>353</v>
      </c>
      <c r="K25" s="24" t="s">
        <v>446</v>
      </c>
      <c r="L25" s="24" t="s">
        <v>447</v>
      </c>
      <c r="M25" s="24" t="s">
        <v>247</v>
      </c>
      <c r="N25" s="24" t="s">
        <v>448</v>
      </c>
      <c r="O25" s="24" t="s">
        <v>449</v>
      </c>
      <c r="P25" s="24" t="s">
        <v>450</v>
      </c>
      <c r="Q25" s="24" t="s">
        <v>375</v>
      </c>
      <c r="R25" s="24" t="s">
        <v>367</v>
      </c>
      <c r="S25" s="23" t="s">
        <v>235</v>
      </c>
      <c r="T25" s="23" t="s">
        <v>235</v>
      </c>
      <c r="U25" s="24" t="s">
        <v>237</v>
      </c>
      <c r="V25" s="24" t="s">
        <v>238</v>
      </c>
      <c r="W25" s="24" t="s">
        <v>239</v>
      </c>
      <c r="X25" s="24" t="s">
        <v>451</v>
      </c>
      <c r="Y25" s="25" t="s">
        <v>452</v>
      </c>
    </row>
    <row r="26" customFormat="false" ht="32.8" hidden="false" customHeight="false" outlineLevel="0" collapsed="false">
      <c r="A26" s="11" t="n">
        <v>11</v>
      </c>
      <c r="B26" s="22" t="s">
        <v>129</v>
      </c>
      <c r="C26" s="27" t="s">
        <v>163</v>
      </c>
      <c r="D26" s="11" t="s">
        <v>21</v>
      </c>
      <c r="E26" s="9" t="s">
        <v>453</v>
      </c>
      <c r="F26" s="11"/>
      <c r="G26" s="11"/>
      <c r="H26" s="29" t="n">
        <v>46661</v>
      </c>
      <c r="I26" s="24" t="s">
        <v>454</v>
      </c>
      <c r="J26" s="32" t="s">
        <v>353</v>
      </c>
      <c r="K26" s="24" t="s">
        <v>455</v>
      </c>
      <c r="L26" s="24" t="s">
        <v>456</v>
      </c>
      <c r="M26" s="24" t="s">
        <v>247</v>
      </c>
      <c r="N26" s="24" t="s">
        <v>457</v>
      </c>
      <c r="O26" s="24" t="s">
        <v>458</v>
      </c>
      <c r="P26" s="24" t="s">
        <v>459</v>
      </c>
      <c r="Q26" s="24" t="s">
        <v>460</v>
      </c>
      <c r="R26" s="24" t="s">
        <v>367</v>
      </c>
      <c r="S26" s="30" t="s">
        <v>262</v>
      </c>
      <c r="T26" s="23" t="s">
        <v>235</v>
      </c>
      <c r="U26" s="24" t="s">
        <v>461</v>
      </c>
      <c r="V26" s="24" t="s">
        <v>238</v>
      </c>
      <c r="W26" s="24" t="s">
        <v>462</v>
      </c>
      <c r="X26" s="24" t="s">
        <v>463</v>
      </c>
      <c r="Y26" s="25" t="s">
        <v>464</v>
      </c>
    </row>
    <row r="27" customFormat="false" ht="32.8" hidden="false" customHeight="false" outlineLevel="0" collapsed="false">
      <c r="A27" s="11" t="n">
        <v>12</v>
      </c>
      <c r="B27" s="23" t="s">
        <v>130</v>
      </c>
      <c r="C27" s="23" t="s">
        <v>151</v>
      </c>
      <c r="D27" s="11" t="s">
        <v>21</v>
      </c>
      <c r="E27" s="9" t="s">
        <v>465</v>
      </c>
      <c r="F27" s="11"/>
      <c r="G27" s="11"/>
      <c r="H27" s="29" t="n">
        <v>46722</v>
      </c>
      <c r="I27" s="24" t="s">
        <v>466</v>
      </c>
      <c r="J27" s="32" t="s">
        <v>353</v>
      </c>
      <c r="K27" s="24" t="s">
        <v>467</v>
      </c>
      <c r="L27" s="24" t="s">
        <v>428</v>
      </c>
      <c r="M27" s="24" t="s">
        <v>362</v>
      </c>
      <c r="N27" s="24" t="s">
        <v>468</v>
      </c>
      <c r="O27" s="24" t="s">
        <v>469</v>
      </c>
      <c r="P27" s="24" t="s">
        <v>470</v>
      </c>
      <c r="Q27" s="24" t="s">
        <v>375</v>
      </c>
      <c r="R27" s="24" t="s">
        <v>367</v>
      </c>
      <c r="S27" s="23" t="s">
        <v>235</v>
      </c>
      <c r="T27" s="30" t="s">
        <v>262</v>
      </c>
      <c r="U27" s="24" t="s">
        <v>471</v>
      </c>
      <c r="V27" s="24" t="s">
        <v>239</v>
      </c>
      <c r="W27" s="24" t="s">
        <v>472</v>
      </c>
      <c r="X27" s="24" t="s">
        <v>473</v>
      </c>
      <c r="Y27" s="25" t="s">
        <v>156</v>
      </c>
    </row>
    <row r="28" customFormat="false" ht="43.25" hidden="false" customHeight="false" outlineLevel="0" collapsed="false">
      <c r="A28" s="33" t="n">
        <v>1</v>
      </c>
      <c r="B28" s="35" t="s">
        <v>130</v>
      </c>
      <c r="C28" s="42" t="s">
        <v>163</v>
      </c>
      <c r="D28" s="33" t="s">
        <v>23</v>
      </c>
      <c r="E28" s="36" t="s">
        <v>164</v>
      </c>
      <c r="F28" s="37" t="n">
        <v>46361</v>
      </c>
      <c r="G28" s="37" t="n">
        <v>46362</v>
      </c>
      <c r="H28" s="38" t="n">
        <v>46357</v>
      </c>
      <c r="I28" s="39" t="s">
        <v>165</v>
      </c>
      <c r="J28" s="40" t="s">
        <v>226</v>
      </c>
      <c r="K28" s="39" t="s">
        <v>226</v>
      </c>
      <c r="L28" s="39" t="s">
        <v>166</v>
      </c>
      <c r="M28" s="39" t="s">
        <v>371</v>
      </c>
      <c r="N28" s="39" t="s">
        <v>474</v>
      </c>
      <c r="O28" s="39" t="s">
        <v>475</v>
      </c>
      <c r="P28" s="39" t="s">
        <v>476</v>
      </c>
      <c r="Q28" s="39" t="s">
        <v>477</v>
      </c>
      <c r="R28" s="39" t="s">
        <v>478</v>
      </c>
      <c r="S28" s="40" t="s">
        <v>262</v>
      </c>
      <c r="T28" s="43" t="s">
        <v>236</v>
      </c>
      <c r="U28" s="39" t="s">
        <v>479</v>
      </c>
      <c r="V28" s="39" t="s">
        <v>238</v>
      </c>
      <c r="W28" s="39" t="s">
        <v>480</v>
      </c>
      <c r="X28" s="39" t="s">
        <v>481</v>
      </c>
      <c r="Y28" s="41" t="s">
        <v>168</v>
      </c>
    </row>
    <row r="29" customFormat="false" ht="43.25" hidden="false" customHeight="false" outlineLevel="0" collapsed="false">
      <c r="A29" s="11" t="n">
        <v>2</v>
      </c>
      <c r="B29" s="23" t="s">
        <v>130</v>
      </c>
      <c r="C29" s="27" t="s">
        <v>163</v>
      </c>
      <c r="D29" s="11" t="s">
        <v>23</v>
      </c>
      <c r="E29" s="9" t="s">
        <v>169</v>
      </c>
      <c r="F29" s="21" t="n">
        <v>46361</v>
      </c>
      <c r="G29" s="21" t="n">
        <v>46362</v>
      </c>
      <c r="H29" s="29" t="n">
        <v>46357</v>
      </c>
      <c r="I29" s="24" t="s">
        <v>165</v>
      </c>
      <c r="J29" s="30" t="s">
        <v>226</v>
      </c>
      <c r="K29" s="24" t="s">
        <v>226</v>
      </c>
      <c r="L29" s="24" t="s">
        <v>170</v>
      </c>
      <c r="M29" s="24" t="s">
        <v>482</v>
      </c>
      <c r="N29" s="24" t="s">
        <v>483</v>
      </c>
      <c r="O29" s="24" t="s">
        <v>484</v>
      </c>
      <c r="P29" s="24" t="s">
        <v>485</v>
      </c>
      <c r="Q29" s="24" t="s">
        <v>486</v>
      </c>
      <c r="R29" s="24" t="s">
        <v>478</v>
      </c>
      <c r="S29" s="30" t="s">
        <v>262</v>
      </c>
      <c r="T29" s="23" t="s">
        <v>235</v>
      </c>
      <c r="U29" s="24" t="s">
        <v>237</v>
      </c>
      <c r="V29" s="24" t="s">
        <v>238</v>
      </c>
      <c r="W29" s="24" t="s">
        <v>487</v>
      </c>
      <c r="X29" s="24" t="s">
        <v>488</v>
      </c>
      <c r="Y29" s="25" t="s">
        <v>172</v>
      </c>
    </row>
    <row r="30" customFormat="false" ht="53.7" hidden="false" customHeight="false" outlineLevel="0" collapsed="false">
      <c r="A30" s="11" t="n">
        <v>3</v>
      </c>
      <c r="B30" s="22" t="s">
        <v>129</v>
      </c>
      <c r="C30" s="23" t="s">
        <v>151</v>
      </c>
      <c r="D30" s="11" t="s">
        <v>23</v>
      </c>
      <c r="E30" s="9" t="s">
        <v>489</v>
      </c>
      <c r="F30" s="21" t="n">
        <v>46464</v>
      </c>
      <c r="G30" s="21" t="n">
        <v>46467</v>
      </c>
      <c r="H30" s="29" t="n">
        <v>46447</v>
      </c>
      <c r="I30" s="24" t="s">
        <v>379</v>
      </c>
      <c r="J30" s="31" t="s">
        <v>244</v>
      </c>
      <c r="K30" s="24" t="s">
        <v>490</v>
      </c>
      <c r="L30" s="24" t="s">
        <v>491</v>
      </c>
      <c r="M30" s="24" t="s">
        <v>362</v>
      </c>
      <c r="N30" s="24" t="s">
        <v>492</v>
      </c>
      <c r="O30" s="24" t="s">
        <v>493</v>
      </c>
      <c r="P30" s="24" t="s">
        <v>494</v>
      </c>
      <c r="Q30" s="24" t="s">
        <v>495</v>
      </c>
      <c r="R30" s="24" t="s">
        <v>478</v>
      </c>
      <c r="S30" s="23" t="s">
        <v>235</v>
      </c>
      <c r="T30" s="30" t="s">
        <v>262</v>
      </c>
      <c r="U30" s="24" t="s">
        <v>496</v>
      </c>
      <c r="V30" s="24" t="s">
        <v>239</v>
      </c>
      <c r="W30" s="24" t="s">
        <v>497</v>
      </c>
      <c r="X30" s="24" t="s">
        <v>498</v>
      </c>
      <c r="Y30" s="25" t="s">
        <v>499</v>
      </c>
    </row>
    <row r="31" customFormat="false" ht="43.25" hidden="false" customHeight="false" outlineLevel="0" collapsed="false">
      <c r="A31" s="11" t="n">
        <v>4</v>
      </c>
      <c r="B31" s="28" t="s">
        <v>131</v>
      </c>
      <c r="C31" s="27" t="s">
        <v>163</v>
      </c>
      <c r="D31" s="11" t="s">
        <v>23</v>
      </c>
      <c r="E31" s="9" t="s">
        <v>500</v>
      </c>
      <c r="F31" s="11"/>
      <c r="G31" s="11"/>
      <c r="H31" s="29" t="n">
        <v>46478</v>
      </c>
      <c r="I31" s="24" t="s">
        <v>501</v>
      </c>
      <c r="J31" s="32" t="s">
        <v>353</v>
      </c>
      <c r="K31" s="24" t="s">
        <v>502</v>
      </c>
      <c r="L31" s="24" t="s">
        <v>404</v>
      </c>
      <c r="M31" s="24" t="s">
        <v>503</v>
      </c>
      <c r="N31" s="24" t="s">
        <v>504</v>
      </c>
      <c r="O31" s="24" t="s">
        <v>505</v>
      </c>
      <c r="P31" s="24" t="s">
        <v>506</v>
      </c>
      <c r="Q31" s="24" t="s">
        <v>375</v>
      </c>
      <c r="R31" s="24" t="s">
        <v>478</v>
      </c>
      <c r="S31" s="23" t="s">
        <v>235</v>
      </c>
      <c r="T31" s="28" t="s">
        <v>236</v>
      </c>
      <c r="U31" s="24" t="s">
        <v>237</v>
      </c>
      <c r="V31" s="24" t="s">
        <v>238</v>
      </c>
      <c r="W31" s="24" t="s">
        <v>239</v>
      </c>
      <c r="X31" s="24" t="s">
        <v>507</v>
      </c>
      <c r="Y31" s="25" t="s">
        <v>508</v>
      </c>
    </row>
    <row r="32" customFormat="false" ht="43.25" hidden="false" customHeight="false" outlineLevel="0" collapsed="false">
      <c r="A32" s="11" t="n">
        <v>5</v>
      </c>
      <c r="B32" s="23" t="s">
        <v>130</v>
      </c>
      <c r="C32" s="27" t="s">
        <v>163</v>
      </c>
      <c r="D32" s="11" t="s">
        <v>23</v>
      </c>
      <c r="E32" s="9" t="s">
        <v>509</v>
      </c>
      <c r="F32" s="11"/>
      <c r="G32" s="11"/>
      <c r="H32" s="29" t="n">
        <v>46478</v>
      </c>
      <c r="I32" s="24" t="s">
        <v>510</v>
      </c>
      <c r="J32" s="32" t="s">
        <v>353</v>
      </c>
      <c r="K32" s="24" t="s">
        <v>511</v>
      </c>
      <c r="L32" s="24" t="s">
        <v>404</v>
      </c>
      <c r="M32" s="24" t="s">
        <v>503</v>
      </c>
      <c r="N32" s="24" t="s">
        <v>421</v>
      </c>
      <c r="O32" s="24" t="s">
        <v>512</v>
      </c>
      <c r="P32" s="24" t="s">
        <v>513</v>
      </c>
      <c r="Q32" s="24" t="s">
        <v>375</v>
      </c>
      <c r="R32" s="24" t="s">
        <v>478</v>
      </c>
      <c r="S32" s="23" t="s">
        <v>235</v>
      </c>
      <c r="T32" s="23" t="s">
        <v>235</v>
      </c>
      <c r="U32" s="24" t="s">
        <v>237</v>
      </c>
      <c r="V32" s="24" t="s">
        <v>238</v>
      </c>
      <c r="W32" s="24" t="s">
        <v>514</v>
      </c>
      <c r="X32" s="24" t="s">
        <v>515</v>
      </c>
      <c r="Y32" s="25" t="s">
        <v>516</v>
      </c>
    </row>
    <row r="33" customFormat="false" ht="43.25" hidden="false" customHeight="false" outlineLevel="0" collapsed="false">
      <c r="A33" s="11" t="n">
        <v>6</v>
      </c>
      <c r="B33" s="28" t="s">
        <v>131</v>
      </c>
      <c r="C33" s="27" t="s">
        <v>163</v>
      </c>
      <c r="D33" s="11" t="s">
        <v>23</v>
      </c>
      <c r="E33" s="9" t="s">
        <v>517</v>
      </c>
      <c r="F33" s="11"/>
      <c r="G33" s="11"/>
      <c r="H33" s="29" t="n">
        <v>46478</v>
      </c>
      <c r="I33" s="24" t="s">
        <v>518</v>
      </c>
      <c r="J33" s="32" t="s">
        <v>353</v>
      </c>
      <c r="K33" s="24" t="s">
        <v>519</v>
      </c>
      <c r="L33" s="24" t="s">
        <v>520</v>
      </c>
      <c r="M33" s="24" t="s">
        <v>521</v>
      </c>
      <c r="N33" s="24" t="s">
        <v>522</v>
      </c>
      <c r="O33" s="24" t="s">
        <v>523</v>
      </c>
      <c r="P33" s="24" t="s">
        <v>375</v>
      </c>
      <c r="Q33" s="24" t="s">
        <v>375</v>
      </c>
      <c r="R33" s="24" t="s">
        <v>478</v>
      </c>
      <c r="S33" s="23" t="s">
        <v>235</v>
      </c>
      <c r="T33" s="28" t="s">
        <v>236</v>
      </c>
      <c r="U33" s="24" t="s">
        <v>237</v>
      </c>
      <c r="V33" s="24" t="s">
        <v>238</v>
      </c>
      <c r="W33" s="24" t="s">
        <v>239</v>
      </c>
      <c r="X33" s="24" t="s">
        <v>524</v>
      </c>
      <c r="Y33" s="25" t="s">
        <v>525</v>
      </c>
    </row>
    <row r="34" customFormat="false" ht="43.25" hidden="false" customHeight="false" outlineLevel="0" collapsed="false">
      <c r="A34" s="11" t="n">
        <v>7</v>
      </c>
      <c r="B34" s="22" t="s">
        <v>129</v>
      </c>
      <c r="C34" s="27" t="s">
        <v>163</v>
      </c>
      <c r="D34" s="11" t="s">
        <v>23</v>
      </c>
      <c r="E34" s="9" t="s">
        <v>526</v>
      </c>
      <c r="F34" s="11"/>
      <c r="G34" s="11"/>
      <c r="H34" s="29" t="n">
        <v>46508</v>
      </c>
      <c r="I34" s="24" t="s">
        <v>410</v>
      </c>
      <c r="J34" s="32" t="s">
        <v>353</v>
      </c>
      <c r="K34" s="24" t="s">
        <v>527</v>
      </c>
      <c r="L34" s="24" t="s">
        <v>528</v>
      </c>
      <c r="M34" s="24" t="s">
        <v>529</v>
      </c>
      <c r="N34" s="24" t="s">
        <v>457</v>
      </c>
      <c r="O34" s="24" t="s">
        <v>530</v>
      </c>
      <c r="P34" s="24" t="s">
        <v>531</v>
      </c>
      <c r="Q34" s="24" t="s">
        <v>532</v>
      </c>
      <c r="R34" s="24" t="s">
        <v>478</v>
      </c>
      <c r="S34" s="30" t="s">
        <v>262</v>
      </c>
      <c r="T34" s="23" t="s">
        <v>235</v>
      </c>
      <c r="U34" s="24" t="s">
        <v>533</v>
      </c>
      <c r="V34" s="24" t="s">
        <v>238</v>
      </c>
      <c r="W34" s="24" t="s">
        <v>534</v>
      </c>
      <c r="X34" s="24" t="s">
        <v>535</v>
      </c>
      <c r="Y34" s="25" t="s">
        <v>536</v>
      </c>
    </row>
    <row r="35" customFormat="false" ht="43.25" hidden="false" customHeight="false" outlineLevel="0" collapsed="false">
      <c r="A35" s="11" t="n">
        <v>8</v>
      </c>
      <c r="B35" s="23" t="s">
        <v>130</v>
      </c>
      <c r="C35" s="27" t="s">
        <v>163</v>
      </c>
      <c r="D35" s="11" t="s">
        <v>23</v>
      </c>
      <c r="E35" s="9" t="s">
        <v>537</v>
      </c>
      <c r="F35" s="11"/>
      <c r="G35" s="11"/>
      <c r="H35" s="29" t="n">
        <v>46600</v>
      </c>
      <c r="I35" s="24" t="s">
        <v>538</v>
      </c>
      <c r="J35" s="32" t="s">
        <v>353</v>
      </c>
      <c r="K35" s="24" t="s">
        <v>539</v>
      </c>
      <c r="L35" s="24" t="s">
        <v>540</v>
      </c>
      <c r="M35" s="24" t="s">
        <v>541</v>
      </c>
      <c r="N35" s="24" t="s">
        <v>542</v>
      </c>
      <c r="O35" s="24" t="s">
        <v>543</v>
      </c>
      <c r="P35" s="24" t="s">
        <v>285</v>
      </c>
      <c r="Q35" s="24" t="s">
        <v>375</v>
      </c>
      <c r="R35" s="24" t="s">
        <v>478</v>
      </c>
      <c r="S35" s="28" t="s">
        <v>236</v>
      </c>
      <c r="T35" s="30" t="s">
        <v>262</v>
      </c>
      <c r="U35" s="24" t="s">
        <v>237</v>
      </c>
      <c r="V35" s="24" t="s">
        <v>239</v>
      </c>
      <c r="W35" s="24" t="s">
        <v>239</v>
      </c>
      <c r="X35" s="24" t="s">
        <v>544</v>
      </c>
      <c r="Y35" s="25" t="s">
        <v>545</v>
      </c>
    </row>
    <row r="36" customFormat="false" ht="43.25" hidden="false" customHeight="false" outlineLevel="0" collapsed="false">
      <c r="A36" s="11" t="n">
        <v>9</v>
      </c>
      <c r="B36" s="22" t="s">
        <v>129</v>
      </c>
      <c r="C36" s="27" t="s">
        <v>163</v>
      </c>
      <c r="D36" s="11" t="s">
        <v>23</v>
      </c>
      <c r="E36" s="9" t="s">
        <v>546</v>
      </c>
      <c r="F36" s="21" t="n">
        <v>46652</v>
      </c>
      <c r="G36" s="21" t="n">
        <v>46655</v>
      </c>
      <c r="H36" s="29" t="n">
        <v>46631</v>
      </c>
      <c r="I36" s="24" t="s">
        <v>547</v>
      </c>
      <c r="J36" s="30" t="s">
        <v>226</v>
      </c>
      <c r="K36" s="24" t="s">
        <v>548</v>
      </c>
      <c r="L36" s="24" t="s">
        <v>549</v>
      </c>
      <c r="M36" s="24" t="s">
        <v>550</v>
      </c>
      <c r="N36" s="24" t="s">
        <v>551</v>
      </c>
      <c r="O36" s="24" t="s">
        <v>552</v>
      </c>
      <c r="P36" s="24" t="s">
        <v>553</v>
      </c>
      <c r="Q36" s="24" t="s">
        <v>554</v>
      </c>
      <c r="R36" s="24" t="s">
        <v>478</v>
      </c>
      <c r="S36" s="30" t="s">
        <v>262</v>
      </c>
      <c r="T36" s="23" t="s">
        <v>235</v>
      </c>
      <c r="U36" s="24" t="s">
        <v>555</v>
      </c>
      <c r="V36" s="24" t="s">
        <v>238</v>
      </c>
      <c r="W36" s="24" t="s">
        <v>556</v>
      </c>
      <c r="X36" s="24" t="s">
        <v>557</v>
      </c>
      <c r="Y36" s="25" t="s">
        <v>558</v>
      </c>
    </row>
    <row r="37" customFormat="false" ht="43.25" hidden="false" customHeight="false" outlineLevel="0" collapsed="false">
      <c r="A37" s="11" t="n">
        <v>10</v>
      </c>
      <c r="B37" s="23" t="s">
        <v>130</v>
      </c>
      <c r="C37" s="27" t="s">
        <v>163</v>
      </c>
      <c r="D37" s="11" t="s">
        <v>23</v>
      </c>
      <c r="E37" s="9" t="s">
        <v>559</v>
      </c>
      <c r="F37" s="11"/>
      <c r="G37" s="11"/>
      <c r="H37" s="29" t="n">
        <v>46661</v>
      </c>
      <c r="I37" s="24" t="s">
        <v>560</v>
      </c>
      <c r="J37" s="32" t="s">
        <v>353</v>
      </c>
      <c r="K37" s="24" t="s">
        <v>561</v>
      </c>
      <c r="L37" s="24" t="s">
        <v>562</v>
      </c>
      <c r="M37" s="24" t="s">
        <v>371</v>
      </c>
      <c r="N37" s="24" t="s">
        <v>372</v>
      </c>
      <c r="O37" s="24" t="s">
        <v>563</v>
      </c>
      <c r="P37" s="24" t="s">
        <v>506</v>
      </c>
      <c r="Q37" s="24" t="s">
        <v>375</v>
      </c>
      <c r="R37" s="24" t="s">
        <v>478</v>
      </c>
      <c r="S37" s="30" t="s">
        <v>262</v>
      </c>
      <c r="T37" s="28" t="s">
        <v>236</v>
      </c>
      <c r="U37" s="24" t="s">
        <v>564</v>
      </c>
      <c r="V37" s="24" t="s">
        <v>238</v>
      </c>
      <c r="W37" s="24" t="s">
        <v>239</v>
      </c>
      <c r="X37" s="24" t="s">
        <v>565</v>
      </c>
      <c r="Y37" s="25" t="s">
        <v>508</v>
      </c>
    </row>
    <row r="38" customFormat="false" ht="43.25" hidden="false" customHeight="false" outlineLevel="0" collapsed="false">
      <c r="A38" s="11" t="n">
        <v>11</v>
      </c>
      <c r="B38" s="23" t="s">
        <v>130</v>
      </c>
      <c r="C38" s="27" t="s">
        <v>163</v>
      </c>
      <c r="D38" s="11" t="s">
        <v>23</v>
      </c>
      <c r="E38" s="9" t="s">
        <v>566</v>
      </c>
      <c r="F38" s="11"/>
      <c r="G38" s="11"/>
      <c r="H38" s="29" t="n">
        <v>46661</v>
      </c>
      <c r="I38" s="24" t="s">
        <v>454</v>
      </c>
      <c r="J38" s="32" t="s">
        <v>353</v>
      </c>
      <c r="K38" s="24" t="s">
        <v>567</v>
      </c>
      <c r="L38" s="24" t="s">
        <v>568</v>
      </c>
      <c r="M38" s="24" t="s">
        <v>569</v>
      </c>
      <c r="N38" s="24" t="s">
        <v>394</v>
      </c>
      <c r="O38" s="24" t="s">
        <v>570</v>
      </c>
      <c r="P38" s="24" t="s">
        <v>571</v>
      </c>
      <c r="Q38" s="24" t="s">
        <v>375</v>
      </c>
      <c r="R38" s="24" t="s">
        <v>478</v>
      </c>
      <c r="S38" s="30" t="s">
        <v>262</v>
      </c>
      <c r="T38" s="28" t="s">
        <v>236</v>
      </c>
      <c r="U38" s="24" t="s">
        <v>237</v>
      </c>
      <c r="V38" s="24" t="s">
        <v>238</v>
      </c>
      <c r="W38" s="24" t="s">
        <v>239</v>
      </c>
      <c r="X38" s="24" t="s">
        <v>572</v>
      </c>
      <c r="Y38" s="25" t="s">
        <v>573</v>
      </c>
    </row>
    <row r="39" customFormat="false" ht="43.25" hidden="false" customHeight="false" outlineLevel="0" collapsed="false">
      <c r="A39" s="11" t="n">
        <v>12</v>
      </c>
      <c r="B39" s="23" t="s">
        <v>130</v>
      </c>
      <c r="C39" s="27" t="s">
        <v>163</v>
      </c>
      <c r="D39" s="11" t="s">
        <v>23</v>
      </c>
      <c r="E39" s="9" t="s">
        <v>574</v>
      </c>
      <c r="F39" s="21" t="n">
        <v>46703</v>
      </c>
      <c r="G39" s="21" t="n">
        <v>46704</v>
      </c>
      <c r="H39" s="29" t="n">
        <v>46692</v>
      </c>
      <c r="I39" s="24" t="s">
        <v>575</v>
      </c>
      <c r="J39" s="30" t="s">
        <v>226</v>
      </c>
      <c r="K39" s="24" t="s">
        <v>576</v>
      </c>
      <c r="L39" s="24" t="s">
        <v>170</v>
      </c>
      <c r="M39" s="24" t="s">
        <v>393</v>
      </c>
      <c r="N39" s="24" t="s">
        <v>577</v>
      </c>
      <c r="O39" s="24" t="s">
        <v>578</v>
      </c>
      <c r="P39" s="24" t="s">
        <v>579</v>
      </c>
      <c r="Q39" s="24" t="s">
        <v>580</v>
      </c>
      <c r="R39" s="24" t="s">
        <v>478</v>
      </c>
      <c r="S39" s="30" t="s">
        <v>262</v>
      </c>
      <c r="T39" s="23" t="s">
        <v>235</v>
      </c>
      <c r="U39" s="24" t="s">
        <v>581</v>
      </c>
      <c r="V39" s="24" t="s">
        <v>238</v>
      </c>
      <c r="W39" s="24" t="s">
        <v>239</v>
      </c>
      <c r="X39" s="24" t="s">
        <v>582</v>
      </c>
      <c r="Y39" s="25" t="s">
        <v>583</v>
      </c>
    </row>
    <row r="40" customFormat="false" ht="43.25" hidden="false" customHeight="false" outlineLevel="0" collapsed="false">
      <c r="A40" s="11" t="n">
        <v>13</v>
      </c>
      <c r="B40" s="23" t="s">
        <v>130</v>
      </c>
      <c r="C40" s="27" t="s">
        <v>163</v>
      </c>
      <c r="D40" s="11" t="s">
        <v>23</v>
      </c>
      <c r="E40" s="9" t="s">
        <v>584</v>
      </c>
      <c r="F40" s="11"/>
      <c r="G40" s="11"/>
      <c r="H40" s="29" t="n">
        <v>46722</v>
      </c>
      <c r="I40" s="24" t="s">
        <v>466</v>
      </c>
      <c r="J40" s="32" t="s">
        <v>353</v>
      </c>
      <c r="K40" s="24" t="s">
        <v>585</v>
      </c>
      <c r="L40" s="24" t="s">
        <v>586</v>
      </c>
      <c r="M40" s="24" t="s">
        <v>371</v>
      </c>
      <c r="N40" s="24" t="s">
        <v>474</v>
      </c>
      <c r="O40" s="24" t="s">
        <v>587</v>
      </c>
      <c r="P40" s="24" t="s">
        <v>588</v>
      </c>
      <c r="Q40" s="24" t="s">
        <v>375</v>
      </c>
      <c r="R40" s="24" t="s">
        <v>478</v>
      </c>
      <c r="S40" s="30" t="s">
        <v>262</v>
      </c>
      <c r="T40" s="28" t="s">
        <v>236</v>
      </c>
      <c r="U40" s="24" t="s">
        <v>479</v>
      </c>
      <c r="V40" s="24" t="s">
        <v>238</v>
      </c>
      <c r="W40" s="24" t="s">
        <v>239</v>
      </c>
      <c r="X40" s="24" t="s">
        <v>589</v>
      </c>
      <c r="Y40" s="25" t="s">
        <v>590</v>
      </c>
    </row>
    <row r="41" customFormat="false" ht="53.7" hidden="false" customHeight="false" outlineLevel="0" collapsed="false">
      <c r="A41" s="33" t="n">
        <v>1</v>
      </c>
      <c r="B41" s="35" t="s">
        <v>130</v>
      </c>
      <c r="C41" s="42" t="s">
        <v>163</v>
      </c>
      <c r="D41" s="33" t="s">
        <v>25</v>
      </c>
      <c r="E41" s="36" t="s">
        <v>187</v>
      </c>
      <c r="F41" s="37" t="n">
        <v>46368</v>
      </c>
      <c r="G41" s="37" t="n">
        <v>46368</v>
      </c>
      <c r="H41" s="38" t="n">
        <v>46357</v>
      </c>
      <c r="I41" s="39" t="s">
        <v>188</v>
      </c>
      <c r="J41" s="40" t="s">
        <v>226</v>
      </c>
      <c r="K41" s="39" t="s">
        <v>226</v>
      </c>
      <c r="L41" s="39" t="s">
        <v>189</v>
      </c>
      <c r="M41" s="39" t="s">
        <v>591</v>
      </c>
      <c r="N41" s="39" t="s">
        <v>592</v>
      </c>
      <c r="O41" s="39" t="s">
        <v>593</v>
      </c>
      <c r="P41" s="39" t="s">
        <v>594</v>
      </c>
      <c r="Q41" s="39" t="s">
        <v>595</v>
      </c>
      <c r="R41" s="39" t="s">
        <v>596</v>
      </c>
      <c r="S41" s="40" t="s">
        <v>262</v>
      </c>
      <c r="T41" s="35" t="s">
        <v>235</v>
      </c>
      <c r="U41" s="39" t="s">
        <v>597</v>
      </c>
      <c r="V41" s="39" t="s">
        <v>238</v>
      </c>
      <c r="W41" s="39" t="s">
        <v>598</v>
      </c>
      <c r="X41" s="39" t="s">
        <v>599</v>
      </c>
      <c r="Y41" s="41" t="s">
        <v>191</v>
      </c>
    </row>
    <row r="42" customFormat="false" ht="53.7" hidden="false" customHeight="false" outlineLevel="0" collapsed="false">
      <c r="A42" s="11" t="n">
        <v>2</v>
      </c>
      <c r="B42" s="28" t="s">
        <v>131</v>
      </c>
      <c r="C42" s="27" t="s">
        <v>163</v>
      </c>
      <c r="D42" s="11" t="s">
        <v>25</v>
      </c>
      <c r="E42" s="9" t="s">
        <v>600</v>
      </c>
      <c r="F42" s="21" t="n">
        <v>46410</v>
      </c>
      <c r="G42" s="21" t="n">
        <v>46410</v>
      </c>
      <c r="H42" s="29" t="n">
        <v>46388</v>
      </c>
      <c r="I42" s="24" t="s">
        <v>601</v>
      </c>
      <c r="J42" s="30" t="s">
        <v>226</v>
      </c>
      <c r="K42" s="24" t="s">
        <v>226</v>
      </c>
      <c r="L42" s="24" t="s">
        <v>602</v>
      </c>
      <c r="M42" s="24" t="s">
        <v>603</v>
      </c>
      <c r="N42" s="24" t="s">
        <v>604</v>
      </c>
      <c r="O42" s="24" t="s">
        <v>605</v>
      </c>
      <c r="P42" s="24" t="s">
        <v>594</v>
      </c>
      <c r="Q42" s="24" t="s">
        <v>606</v>
      </c>
      <c r="R42" s="24" t="s">
        <v>607</v>
      </c>
      <c r="S42" s="23" t="s">
        <v>235</v>
      </c>
      <c r="T42" s="28" t="s">
        <v>236</v>
      </c>
      <c r="U42" s="24" t="s">
        <v>608</v>
      </c>
      <c r="V42" s="24" t="s">
        <v>238</v>
      </c>
      <c r="W42" s="24" t="s">
        <v>239</v>
      </c>
      <c r="X42" s="24" t="s">
        <v>609</v>
      </c>
      <c r="Y42" s="25" t="s">
        <v>610</v>
      </c>
    </row>
    <row r="43" customFormat="false" ht="22.35" hidden="false" customHeight="false" outlineLevel="0" collapsed="false">
      <c r="A43" s="11" t="n">
        <v>3</v>
      </c>
      <c r="B43" s="28" t="s">
        <v>131</v>
      </c>
      <c r="C43" s="27" t="s">
        <v>163</v>
      </c>
      <c r="D43" s="11" t="s">
        <v>25</v>
      </c>
      <c r="E43" s="9" t="s">
        <v>611</v>
      </c>
      <c r="F43" s="21" t="n">
        <v>46435</v>
      </c>
      <c r="G43" s="21" t="n">
        <v>46436</v>
      </c>
      <c r="H43" s="29" t="n">
        <v>46419</v>
      </c>
      <c r="I43" s="24" t="s">
        <v>612</v>
      </c>
      <c r="J43" s="30" t="s">
        <v>226</v>
      </c>
      <c r="K43" s="24" t="s">
        <v>226</v>
      </c>
      <c r="L43" s="24" t="s">
        <v>613</v>
      </c>
      <c r="M43" s="24" t="s">
        <v>614</v>
      </c>
      <c r="N43" s="24" t="s">
        <v>615</v>
      </c>
      <c r="O43" s="24" t="s">
        <v>616</v>
      </c>
      <c r="P43" s="24" t="s">
        <v>617</v>
      </c>
      <c r="Q43" s="24" t="s">
        <v>375</v>
      </c>
      <c r="R43" s="24" t="s">
        <v>618</v>
      </c>
      <c r="S43" s="28" t="s">
        <v>236</v>
      </c>
      <c r="T43" s="23" t="s">
        <v>235</v>
      </c>
      <c r="U43" s="24" t="s">
        <v>619</v>
      </c>
      <c r="V43" s="24" t="s">
        <v>620</v>
      </c>
      <c r="W43" s="24" t="s">
        <v>621</v>
      </c>
      <c r="X43" s="24" t="s">
        <v>622</v>
      </c>
      <c r="Y43" s="25" t="s">
        <v>623</v>
      </c>
    </row>
    <row r="44" customFormat="false" ht="53.7" hidden="false" customHeight="false" outlineLevel="0" collapsed="false">
      <c r="A44" s="11" t="n">
        <v>4</v>
      </c>
      <c r="B44" s="28" t="s">
        <v>131</v>
      </c>
      <c r="C44" s="27" t="s">
        <v>163</v>
      </c>
      <c r="D44" s="11" t="s">
        <v>25</v>
      </c>
      <c r="E44" s="9" t="s">
        <v>624</v>
      </c>
      <c r="F44" s="21" t="n">
        <v>46439</v>
      </c>
      <c r="G44" s="21" t="n">
        <v>46439</v>
      </c>
      <c r="H44" s="29" t="n">
        <v>46419</v>
      </c>
      <c r="I44" s="24" t="s">
        <v>625</v>
      </c>
      <c r="J44" s="30" t="s">
        <v>226</v>
      </c>
      <c r="K44" s="24" t="s">
        <v>226</v>
      </c>
      <c r="L44" s="24" t="s">
        <v>626</v>
      </c>
      <c r="M44" s="24" t="s">
        <v>603</v>
      </c>
      <c r="N44" s="24" t="s">
        <v>627</v>
      </c>
      <c r="O44" s="24" t="s">
        <v>628</v>
      </c>
      <c r="P44" s="24" t="s">
        <v>594</v>
      </c>
      <c r="Q44" s="24" t="s">
        <v>375</v>
      </c>
      <c r="R44" s="24" t="s">
        <v>629</v>
      </c>
      <c r="S44" s="23" t="s">
        <v>235</v>
      </c>
      <c r="T44" s="28" t="s">
        <v>236</v>
      </c>
      <c r="U44" s="24" t="s">
        <v>608</v>
      </c>
      <c r="V44" s="24" t="s">
        <v>238</v>
      </c>
      <c r="W44" s="24" t="s">
        <v>239</v>
      </c>
      <c r="X44" s="24" t="s">
        <v>630</v>
      </c>
      <c r="Y44" s="25" t="s">
        <v>610</v>
      </c>
    </row>
    <row r="45" customFormat="false" ht="53.7" hidden="false" customHeight="false" outlineLevel="0" collapsed="false">
      <c r="A45" s="11" t="n">
        <v>5</v>
      </c>
      <c r="B45" s="28" t="s">
        <v>131</v>
      </c>
      <c r="C45" s="27" t="s">
        <v>163</v>
      </c>
      <c r="D45" s="11" t="s">
        <v>25</v>
      </c>
      <c r="E45" s="9" t="s">
        <v>631</v>
      </c>
      <c r="F45" s="21" t="n">
        <v>46452</v>
      </c>
      <c r="G45" s="21" t="n">
        <v>46452</v>
      </c>
      <c r="H45" s="29" t="n">
        <v>46447</v>
      </c>
      <c r="I45" s="24" t="s">
        <v>632</v>
      </c>
      <c r="J45" s="30" t="s">
        <v>226</v>
      </c>
      <c r="K45" s="24" t="s">
        <v>633</v>
      </c>
      <c r="L45" s="24" t="s">
        <v>634</v>
      </c>
      <c r="M45" s="24" t="s">
        <v>603</v>
      </c>
      <c r="N45" s="24" t="s">
        <v>635</v>
      </c>
      <c r="O45" s="24" t="s">
        <v>636</v>
      </c>
      <c r="P45" s="24" t="s">
        <v>594</v>
      </c>
      <c r="Q45" s="24" t="s">
        <v>375</v>
      </c>
      <c r="R45" s="24" t="s">
        <v>629</v>
      </c>
      <c r="S45" s="23" t="s">
        <v>235</v>
      </c>
      <c r="T45" s="28" t="s">
        <v>236</v>
      </c>
      <c r="U45" s="24" t="s">
        <v>608</v>
      </c>
      <c r="V45" s="24" t="s">
        <v>238</v>
      </c>
      <c r="W45" s="24" t="s">
        <v>239</v>
      </c>
      <c r="X45" s="24" t="s">
        <v>637</v>
      </c>
      <c r="Y45" s="25" t="s">
        <v>610</v>
      </c>
    </row>
    <row r="46" customFormat="false" ht="53.7" hidden="false" customHeight="false" outlineLevel="0" collapsed="false">
      <c r="A46" s="11" t="n">
        <v>6</v>
      </c>
      <c r="B46" s="28" t="s">
        <v>131</v>
      </c>
      <c r="C46" s="27" t="s">
        <v>163</v>
      </c>
      <c r="D46" s="11" t="s">
        <v>25</v>
      </c>
      <c r="E46" s="9" t="s">
        <v>638</v>
      </c>
      <c r="F46" s="21" t="n">
        <v>46453</v>
      </c>
      <c r="G46" s="21" t="n">
        <v>46453</v>
      </c>
      <c r="H46" s="29" t="n">
        <v>46447</v>
      </c>
      <c r="I46" s="24" t="s">
        <v>639</v>
      </c>
      <c r="J46" s="30" t="s">
        <v>226</v>
      </c>
      <c r="K46" s="24" t="s">
        <v>226</v>
      </c>
      <c r="L46" s="24" t="s">
        <v>640</v>
      </c>
      <c r="M46" s="24" t="s">
        <v>591</v>
      </c>
      <c r="N46" s="24" t="s">
        <v>641</v>
      </c>
      <c r="O46" s="24" t="s">
        <v>642</v>
      </c>
      <c r="P46" s="24" t="s">
        <v>594</v>
      </c>
      <c r="Q46" s="24" t="s">
        <v>375</v>
      </c>
      <c r="R46" s="24" t="s">
        <v>643</v>
      </c>
      <c r="S46" s="23" t="s">
        <v>235</v>
      </c>
      <c r="T46" s="23" t="s">
        <v>235</v>
      </c>
      <c r="U46" s="24" t="s">
        <v>644</v>
      </c>
      <c r="V46" s="24" t="s">
        <v>238</v>
      </c>
      <c r="W46" s="24" t="s">
        <v>239</v>
      </c>
      <c r="X46" s="24" t="s">
        <v>645</v>
      </c>
      <c r="Y46" s="25" t="s">
        <v>610</v>
      </c>
    </row>
    <row r="47" customFormat="false" ht="53.7" hidden="false" customHeight="false" outlineLevel="0" collapsed="false">
      <c r="A47" s="11" t="n">
        <v>7</v>
      </c>
      <c r="B47" s="23" t="s">
        <v>130</v>
      </c>
      <c r="C47" s="27" t="s">
        <v>163</v>
      </c>
      <c r="D47" s="11" t="s">
        <v>25</v>
      </c>
      <c r="E47" s="9" t="s">
        <v>646</v>
      </c>
      <c r="F47" s="21" t="n">
        <v>46472</v>
      </c>
      <c r="G47" s="21" t="n">
        <v>46474</v>
      </c>
      <c r="H47" s="29" t="n">
        <v>46447</v>
      </c>
      <c r="I47" s="24" t="s">
        <v>647</v>
      </c>
      <c r="J47" s="30" t="s">
        <v>226</v>
      </c>
      <c r="K47" s="24" t="s">
        <v>226</v>
      </c>
      <c r="L47" s="24" t="s">
        <v>648</v>
      </c>
      <c r="M47" s="24" t="s">
        <v>550</v>
      </c>
      <c r="N47" s="24" t="s">
        <v>649</v>
      </c>
      <c r="O47" s="24" t="s">
        <v>650</v>
      </c>
      <c r="P47" s="24" t="s">
        <v>651</v>
      </c>
      <c r="Q47" s="24" t="s">
        <v>652</v>
      </c>
      <c r="R47" s="24" t="s">
        <v>596</v>
      </c>
      <c r="S47" s="30" t="s">
        <v>262</v>
      </c>
      <c r="T47" s="23" t="s">
        <v>235</v>
      </c>
      <c r="U47" s="24" t="s">
        <v>653</v>
      </c>
      <c r="V47" s="24" t="s">
        <v>238</v>
      </c>
      <c r="W47" s="24" t="s">
        <v>654</v>
      </c>
      <c r="X47" s="24" t="s">
        <v>655</v>
      </c>
      <c r="Y47" s="25" t="s">
        <v>656</v>
      </c>
    </row>
    <row r="48" customFormat="false" ht="53.7" hidden="false" customHeight="false" outlineLevel="0" collapsed="false">
      <c r="A48" s="11" t="n">
        <v>8</v>
      </c>
      <c r="B48" s="22" t="s">
        <v>129</v>
      </c>
      <c r="C48" s="27" t="s">
        <v>163</v>
      </c>
      <c r="D48" s="11" t="s">
        <v>25</v>
      </c>
      <c r="E48" s="9" t="s">
        <v>657</v>
      </c>
      <c r="F48" s="21" t="n">
        <v>46492</v>
      </c>
      <c r="G48" s="21" t="n">
        <v>46495</v>
      </c>
      <c r="H48" s="29" t="n">
        <v>46478</v>
      </c>
      <c r="I48" s="24" t="s">
        <v>658</v>
      </c>
      <c r="J48" s="30" t="s">
        <v>226</v>
      </c>
      <c r="K48" s="24" t="s">
        <v>659</v>
      </c>
      <c r="L48" s="24" t="s">
        <v>648</v>
      </c>
      <c r="M48" s="24" t="s">
        <v>660</v>
      </c>
      <c r="N48" s="24" t="s">
        <v>661</v>
      </c>
      <c r="O48" s="24" t="s">
        <v>662</v>
      </c>
      <c r="P48" s="24" t="s">
        <v>663</v>
      </c>
      <c r="Q48" s="24" t="s">
        <v>664</v>
      </c>
      <c r="R48" s="24" t="s">
        <v>596</v>
      </c>
      <c r="S48" s="30" t="s">
        <v>262</v>
      </c>
      <c r="T48" s="30" t="s">
        <v>262</v>
      </c>
      <c r="U48" s="24" t="s">
        <v>665</v>
      </c>
      <c r="V48" s="24" t="s">
        <v>666</v>
      </c>
      <c r="W48" s="24" t="s">
        <v>667</v>
      </c>
      <c r="X48" s="24" t="s">
        <v>668</v>
      </c>
      <c r="Y48" s="25" t="s">
        <v>669</v>
      </c>
    </row>
    <row r="49" customFormat="false" ht="53.7" hidden="false" customHeight="false" outlineLevel="0" collapsed="false">
      <c r="A49" s="11" t="n">
        <v>9</v>
      </c>
      <c r="B49" s="23" t="s">
        <v>130</v>
      </c>
      <c r="C49" s="27" t="s">
        <v>163</v>
      </c>
      <c r="D49" s="11" t="s">
        <v>25</v>
      </c>
      <c r="E49" s="9" t="s">
        <v>670</v>
      </c>
      <c r="F49" s="21" t="n">
        <v>46493</v>
      </c>
      <c r="G49" s="21" t="n">
        <v>46495</v>
      </c>
      <c r="H49" s="29" t="n">
        <v>46478</v>
      </c>
      <c r="I49" s="24" t="s">
        <v>671</v>
      </c>
      <c r="J49" s="30" t="s">
        <v>226</v>
      </c>
      <c r="K49" s="24" t="s">
        <v>226</v>
      </c>
      <c r="L49" s="24" t="s">
        <v>672</v>
      </c>
      <c r="M49" s="24" t="s">
        <v>247</v>
      </c>
      <c r="N49" s="24" t="s">
        <v>474</v>
      </c>
      <c r="O49" s="24" t="s">
        <v>673</v>
      </c>
      <c r="P49" s="24" t="s">
        <v>674</v>
      </c>
      <c r="Q49" s="24" t="s">
        <v>675</v>
      </c>
      <c r="R49" s="24" t="s">
        <v>596</v>
      </c>
      <c r="S49" s="30" t="s">
        <v>262</v>
      </c>
      <c r="T49" s="28" t="s">
        <v>236</v>
      </c>
      <c r="U49" s="24" t="s">
        <v>676</v>
      </c>
      <c r="V49" s="24" t="s">
        <v>238</v>
      </c>
      <c r="W49" s="24" t="s">
        <v>677</v>
      </c>
      <c r="X49" s="24" t="s">
        <v>678</v>
      </c>
      <c r="Y49" s="25" t="s">
        <v>679</v>
      </c>
    </row>
    <row r="50" customFormat="false" ht="53.7" hidden="false" customHeight="false" outlineLevel="0" collapsed="false">
      <c r="A50" s="11" t="n">
        <v>10</v>
      </c>
      <c r="B50" s="23" t="s">
        <v>130</v>
      </c>
      <c r="C50" s="27" t="s">
        <v>163</v>
      </c>
      <c r="D50" s="11" t="s">
        <v>25</v>
      </c>
      <c r="E50" s="9" t="s">
        <v>680</v>
      </c>
      <c r="F50" s="21" t="n">
        <v>46499</v>
      </c>
      <c r="G50" s="21" t="n">
        <v>46502</v>
      </c>
      <c r="H50" s="29" t="n">
        <v>46478</v>
      </c>
      <c r="I50" s="24" t="s">
        <v>681</v>
      </c>
      <c r="J50" s="30" t="s">
        <v>226</v>
      </c>
      <c r="K50" s="24" t="s">
        <v>682</v>
      </c>
      <c r="L50" s="24" t="s">
        <v>683</v>
      </c>
      <c r="M50" s="24" t="s">
        <v>684</v>
      </c>
      <c r="N50" s="24" t="s">
        <v>685</v>
      </c>
      <c r="O50" s="24" t="s">
        <v>686</v>
      </c>
      <c r="P50" s="24" t="s">
        <v>594</v>
      </c>
      <c r="Q50" s="24" t="s">
        <v>687</v>
      </c>
      <c r="R50" s="24" t="s">
        <v>596</v>
      </c>
      <c r="S50" s="30" t="s">
        <v>262</v>
      </c>
      <c r="T50" s="23" t="s">
        <v>235</v>
      </c>
      <c r="U50" s="24" t="s">
        <v>688</v>
      </c>
      <c r="V50" s="24" t="s">
        <v>689</v>
      </c>
      <c r="W50" s="24" t="s">
        <v>690</v>
      </c>
      <c r="X50" s="24" t="s">
        <v>691</v>
      </c>
      <c r="Y50" s="25" t="s">
        <v>692</v>
      </c>
    </row>
    <row r="51" customFormat="false" ht="53.7" hidden="false" customHeight="false" outlineLevel="0" collapsed="false">
      <c r="A51" s="11" t="n">
        <v>11</v>
      </c>
      <c r="B51" s="23" t="s">
        <v>130</v>
      </c>
      <c r="C51" s="27" t="s">
        <v>163</v>
      </c>
      <c r="D51" s="11" t="s">
        <v>25</v>
      </c>
      <c r="E51" s="9" t="s">
        <v>693</v>
      </c>
      <c r="F51" s="21" t="n">
        <v>46500</v>
      </c>
      <c r="G51" s="21" t="n">
        <v>46502</v>
      </c>
      <c r="H51" s="29" t="n">
        <v>46478</v>
      </c>
      <c r="I51" s="24" t="s">
        <v>694</v>
      </c>
      <c r="J51" s="30" t="s">
        <v>226</v>
      </c>
      <c r="K51" s="24" t="s">
        <v>226</v>
      </c>
      <c r="L51" s="24" t="s">
        <v>695</v>
      </c>
      <c r="M51" s="24" t="s">
        <v>550</v>
      </c>
      <c r="N51" s="24" t="s">
        <v>394</v>
      </c>
      <c r="O51" s="24" t="s">
        <v>696</v>
      </c>
      <c r="P51" s="24" t="s">
        <v>697</v>
      </c>
      <c r="Q51" s="24" t="s">
        <v>698</v>
      </c>
      <c r="R51" s="24" t="s">
        <v>596</v>
      </c>
      <c r="S51" s="30" t="s">
        <v>262</v>
      </c>
      <c r="T51" s="30" t="s">
        <v>262</v>
      </c>
      <c r="U51" s="24" t="s">
        <v>699</v>
      </c>
      <c r="V51" s="24" t="s">
        <v>238</v>
      </c>
      <c r="W51" s="24" t="s">
        <v>700</v>
      </c>
      <c r="X51" s="24" t="s">
        <v>701</v>
      </c>
      <c r="Y51" s="25" t="s">
        <v>702</v>
      </c>
    </row>
    <row r="52" customFormat="false" ht="53.7" hidden="false" customHeight="false" outlineLevel="0" collapsed="false">
      <c r="A52" s="11" t="n">
        <v>12</v>
      </c>
      <c r="B52" s="23" t="s">
        <v>130</v>
      </c>
      <c r="C52" s="27" t="s">
        <v>163</v>
      </c>
      <c r="D52" s="11" t="s">
        <v>25</v>
      </c>
      <c r="E52" s="9" t="s">
        <v>703</v>
      </c>
      <c r="F52" s="21" t="n">
        <v>46520</v>
      </c>
      <c r="G52" s="21" t="n">
        <v>46523</v>
      </c>
      <c r="H52" s="29" t="n">
        <v>46508</v>
      </c>
      <c r="I52" s="24" t="s">
        <v>704</v>
      </c>
      <c r="J52" s="30" t="s">
        <v>226</v>
      </c>
      <c r="K52" s="24" t="s">
        <v>705</v>
      </c>
      <c r="L52" s="24" t="s">
        <v>706</v>
      </c>
      <c r="M52" s="24" t="s">
        <v>707</v>
      </c>
      <c r="N52" s="24" t="s">
        <v>708</v>
      </c>
      <c r="O52" s="24" t="s">
        <v>709</v>
      </c>
      <c r="P52" s="24" t="s">
        <v>710</v>
      </c>
      <c r="Q52" s="24" t="s">
        <v>375</v>
      </c>
      <c r="R52" s="24" t="s">
        <v>596</v>
      </c>
      <c r="S52" s="23" t="s">
        <v>235</v>
      </c>
      <c r="T52" s="30" t="s">
        <v>262</v>
      </c>
      <c r="U52" s="24" t="s">
        <v>711</v>
      </c>
      <c r="V52" s="24" t="s">
        <v>238</v>
      </c>
      <c r="W52" s="24" t="s">
        <v>239</v>
      </c>
      <c r="X52" s="24" t="s">
        <v>712</v>
      </c>
      <c r="Y52" s="25" t="s">
        <v>713</v>
      </c>
    </row>
    <row r="53" customFormat="false" ht="53.7" hidden="false" customHeight="false" outlineLevel="0" collapsed="false">
      <c r="A53" s="11" t="n">
        <v>13</v>
      </c>
      <c r="B53" s="22" t="s">
        <v>129</v>
      </c>
      <c r="C53" s="27" t="s">
        <v>163</v>
      </c>
      <c r="D53" s="11" t="s">
        <v>25</v>
      </c>
      <c r="E53" s="9" t="s">
        <v>714</v>
      </c>
      <c r="F53" s="21" t="n">
        <v>46535</v>
      </c>
      <c r="G53" s="21" t="n">
        <v>46537</v>
      </c>
      <c r="H53" s="29" t="n">
        <v>46508</v>
      </c>
      <c r="I53" s="24" t="s">
        <v>715</v>
      </c>
      <c r="J53" s="30" t="s">
        <v>226</v>
      </c>
      <c r="K53" s="24" t="s">
        <v>226</v>
      </c>
      <c r="L53" s="24" t="s">
        <v>716</v>
      </c>
      <c r="M53" s="24" t="s">
        <v>550</v>
      </c>
      <c r="N53" s="24" t="s">
        <v>457</v>
      </c>
      <c r="O53" s="24" t="s">
        <v>717</v>
      </c>
      <c r="P53" s="24" t="s">
        <v>718</v>
      </c>
      <c r="Q53" s="24" t="s">
        <v>719</v>
      </c>
      <c r="R53" s="24" t="s">
        <v>596</v>
      </c>
      <c r="S53" s="30" t="s">
        <v>262</v>
      </c>
      <c r="T53" s="30" t="s">
        <v>262</v>
      </c>
      <c r="U53" s="24" t="s">
        <v>720</v>
      </c>
      <c r="V53" s="24" t="s">
        <v>238</v>
      </c>
      <c r="W53" s="24" t="s">
        <v>721</v>
      </c>
      <c r="X53" s="24" t="s">
        <v>722</v>
      </c>
      <c r="Y53" s="25" t="s">
        <v>610</v>
      </c>
    </row>
    <row r="54" customFormat="false" ht="53.7" hidden="false" customHeight="false" outlineLevel="0" collapsed="false">
      <c r="A54" s="11" t="n">
        <v>14</v>
      </c>
      <c r="B54" s="23" t="s">
        <v>130</v>
      </c>
      <c r="C54" s="27" t="s">
        <v>163</v>
      </c>
      <c r="D54" s="11" t="s">
        <v>25</v>
      </c>
      <c r="E54" s="9" t="s">
        <v>723</v>
      </c>
      <c r="F54" s="21" t="n">
        <v>46541</v>
      </c>
      <c r="G54" s="21" t="n">
        <v>46543</v>
      </c>
      <c r="H54" s="29" t="n">
        <v>46539</v>
      </c>
      <c r="I54" s="24" t="s">
        <v>724</v>
      </c>
      <c r="J54" s="30" t="s">
        <v>226</v>
      </c>
      <c r="K54" s="24" t="s">
        <v>226</v>
      </c>
      <c r="L54" s="24" t="s">
        <v>725</v>
      </c>
      <c r="M54" s="24" t="s">
        <v>550</v>
      </c>
      <c r="N54" s="24" t="s">
        <v>726</v>
      </c>
      <c r="O54" s="24" t="s">
        <v>727</v>
      </c>
      <c r="P54" s="24" t="s">
        <v>728</v>
      </c>
      <c r="Q54" s="24" t="s">
        <v>375</v>
      </c>
      <c r="R54" s="24" t="s">
        <v>596</v>
      </c>
      <c r="S54" s="23" t="s">
        <v>235</v>
      </c>
      <c r="T54" s="30" t="s">
        <v>262</v>
      </c>
      <c r="U54" s="24" t="s">
        <v>564</v>
      </c>
      <c r="V54" s="24" t="s">
        <v>238</v>
      </c>
      <c r="W54" s="24" t="s">
        <v>239</v>
      </c>
      <c r="X54" s="24" t="s">
        <v>729</v>
      </c>
      <c r="Y54" s="25" t="s">
        <v>730</v>
      </c>
    </row>
    <row r="55" customFormat="false" ht="53.7" hidden="false" customHeight="false" outlineLevel="0" collapsed="false">
      <c r="A55" s="11" t="n">
        <v>15</v>
      </c>
      <c r="B55" s="22" t="s">
        <v>129</v>
      </c>
      <c r="C55" s="27" t="s">
        <v>163</v>
      </c>
      <c r="D55" s="11" t="s">
        <v>25</v>
      </c>
      <c r="E55" s="9" t="s">
        <v>731</v>
      </c>
      <c r="F55" s="21" t="n">
        <v>46557</v>
      </c>
      <c r="G55" s="21" t="n">
        <v>46558</v>
      </c>
      <c r="H55" s="29" t="n">
        <v>46539</v>
      </c>
      <c r="I55" s="24" t="s">
        <v>732</v>
      </c>
      <c r="J55" s="30" t="s">
        <v>226</v>
      </c>
      <c r="K55" s="24" t="s">
        <v>226</v>
      </c>
      <c r="L55" s="24" t="s">
        <v>733</v>
      </c>
      <c r="M55" s="24" t="s">
        <v>734</v>
      </c>
      <c r="N55" s="24" t="s">
        <v>735</v>
      </c>
      <c r="O55" s="24" t="s">
        <v>736</v>
      </c>
      <c r="P55" s="24" t="s">
        <v>737</v>
      </c>
      <c r="Q55" s="24" t="s">
        <v>738</v>
      </c>
      <c r="R55" s="24" t="s">
        <v>596</v>
      </c>
      <c r="S55" s="30" t="s">
        <v>262</v>
      </c>
      <c r="T55" s="23" t="s">
        <v>235</v>
      </c>
      <c r="U55" s="24" t="s">
        <v>739</v>
      </c>
      <c r="V55" s="24" t="s">
        <v>740</v>
      </c>
      <c r="W55" s="24" t="s">
        <v>741</v>
      </c>
      <c r="X55" s="24" t="s">
        <v>742</v>
      </c>
      <c r="Y55" s="25" t="s">
        <v>743</v>
      </c>
    </row>
    <row r="56" customFormat="false" ht="53.7" hidden="false" customHeight="false" outlineLevel="0" collapsed="false">
      <c r="A56" s="11" t="n">
        <v>16</v>
      </c>
      <c r="B56" s="23" t="s">
        <v>130</v>
      </c>
      <c r="C56" s="27" t="s">
        <v>163</v>
      </c>
      <c r="D56" s="11" t="s">
        <v>25</v>
      </c>
      <c r="E56" s="9" t="s">
        <v>744</v>
      </c>
      <c r="F56" s="21" t="n">
        <v>46576</v>
      </c>
      <c r="G56" s="21" t="n">
        <v>46578</v>
      </c>
      <c r="H56" s="29" t="n">
        <v>46569</v>
      </c>
      <c r="I56" s="24" t="s">
        <v>427</v>
      </c>
      <c r="J56" s="30" t="s">
        <v>226</v>
      </c>
      <c r="K56" s="24" t="s">
        <v>226</v>
      </c>
      <c r="L56" s="24" t="s">
        <v>745</v>
      </c>
      <c r="M56" s="24" t="s">
        <v>550</v>
      </c>
      <c r="N56" s="24" t="s">
        <v>746</v>
      </c>
      <c r="O56" s="24" t="s">
        <v>747</v>
      </c>
      <c r="P56" s="24" t="s">
        <v>748</v>
      </c>
      <c r="Q56" s="24" t="s">
        <v>375</v>
      </c>
      <c r="R56" s="24" t="s">
        <v>596</v>
      </c>
      <c r="S56" s="30" t="s">
        <v>262</v>
      </c>
      <c r="T56" s="23" t="s">
        <v>235</v>
      </c>
      <c r="U56" s="24" t="s">
        <v>564</v>
      </c>
      <c r="V56" s="24" t="s">
        <v>238</v>
      </c>
      <c r="W56" s="24" t="s">
        <v>239</v>
      </c>
      <c r="X56" s="24" t="s">
        <v>749</v>
      </c>
      <c r="Y56" s="25" t="s">
        <v>750</v>
      </c>
    </row>
    <row r="57" customFormat="false" ht="22.35" hidden="false" customHeight="false" outlineLevel="0" collapsed="false">
      <c r="A57" s="11" t="n">
        <v>17</v>
      </c>
      <c r="B57" s="23" t="s">
        <v>130</v>
      </c>
      <c r="C57" s="23" t="s">
        <v>151</v>
      </c>
      <c r="D57" s="11" t="s">
        <v>25</v>
      </c>
      <c r="E57" s="9" t="s">
        <v>751</v>
      </c>
      <c r="F57" s="11"/>
      <c r="G57" s="11"/>
      <c r="H57" s="29" t="n">
        <v>46569</v>
      </c>
      <c r="I57" s="24" t="s">
        <v>752</v>
      </c>
      <c r="J57" s="32" t="s">
        <v>353</v>
      </c>
      <c r="K57" s="24" t="s">
        <v>753</v>
      </c>
      <c r="L57" s="24" t="s">
        <v>754</v>
      </c>
      <c r="M57" s="24" t="s">
        <v>755</v>
      </c>
      <c r="N57" s="24" t="s">
        <v>756</v>
      </c>
      <c r="O57" s="24" t="s">
        <v>757</v>
      </c>
      <c r="P57" s="24" t="s">
        <v>758</v>
      </c>
      <c r="Q57" s="24" t="s">
        <v>375</v>
      </c>
      <c r="R57" s="24" t="s">
        <v>759</v>
      </c>
      <c r="S57" s="28" t="s">
        <v>236</v>
      </c>
      <c r="T57" s="30" t="s">
        <v>262</v>
      </c>
      <c r="U57" s="24" t="s">
        <v>760</v>
      </c>
      <c r="V57" s="24" t="s">
        <v>239</v>
      </c>
      <c r="W57" s="24" t="s">
        <v>761</v>
      </c>
      <c r="X57" s="24" t="s">
        <v>762</v>
      </c>
      <c r="Y57" s="25" t="s">
        <v>763</v>
      </c>
    </row>
    <row r="58" customFormat="false" ht="32.8" hidden="false" customHeight="false" outlineLevel="0" collapsed="false">
      <c r="A58" s="11" t="n">
        <v>18</v>
      </c>
      <c r="B58" s="23" t="s">
        <v>130</v>
      </c>
      <c r="C58" s="27" t="s">
        <v>163</v>
      </c>
      <c r="D58" s="11" t="s">
        <v>25</v>
      </c>
      <c r="E58" s="9" t="s">
        <v>764</v>
      </c>
      <c r="F58" s="21" t="n">
        <v>46633</v>
      </c>
      <c r="G58" s="21" t="n">
        <v>46634</v>
      </c>
      <c r="H58" s="29" t="n">
        <v>46631</v>
      </c>
      <c r="I58" s="24" t="s">
        <v>765</v>
      </c>
      <c r="J58" s="31" t="s">
        <v>244</v>
      </c>
      <c r="K58" s="24" t="s">
        <v>766</v>
      </c>
      <c r="L58" s="24" t="s">
        <v>767</v>
      </c>
      <c r="M58" s="24" t="s">
        <v>247</v>
      </c>
      <c r="N58" s="24" t="s">
        <v>768</v>
      </c>
      <c r="O58" s="24" t="s">
        <v>769</v>
      </c>
      <c r="P58" s="24" t="s">
        <v>770</v>
      </c>
      <c r="Q58" s="24" t="s">
        <v>771</v>
      </c>
      <c r="R58" s="24" t="s">
        <v>772</v>
      </c>
      <c r="S58" s="23" t="s">
        <v>235</v>
      </c>
      <c r="T58" s="30" t="s">
        <v>262</v>
      </c>
      <c r="U58" s="24" t="s">
        <v>773</v>
      </c>
      <c r="V58" s="24" t="s">
        <v>238</v>
      </c>
      <c r="W58" s="24" t="s">
        <v>239</v>
      </c>
      <c r="X58" s="24" t="s">
        <v>774</v>
      </c>
      <c r="Y58" s="25" t="s">
        <v>775</v>
      </c>
    </row>
    <row r="59" customFormat="false" ht="53.7" hidden="false" customHeight="false" outlineLevel="0" collapsed="false">
      <c r="A59" s="11" t="n">
        <v>19</v>
      </c>
      <c r="B59" s="23" t="s">
        <v>130</v>
      </c>
      <c r="C59" s="27" t="s">
        <v>163</v>
      </c>
      <c r="D59" s="11" t="s">
        <v>25</v>
      </c>
      <c r="E59" s="9" t="s">
        <v>776</v>
      </c>
      <c r="F59" s="21" t="n">
        <v>46648</v>
      </c>
      <c r="G59" s="21" t="n">
        <v>46649</v>
      </c>
      <c r="H59" s="29" t="n">
        <v>46631</v>
      </c>
      <c r="I59" s="24" t="s">
        <v>777</v>
      </c>
      <c r="J59" s="30" t="s">
        <v>226</v>
      </c>
      <c r="K59" s="24" t="s">
        <v>778</v>
      </c>
      <c r="L59" s="24" t="s">
        <v>779</v>
      </c>
      <c r="M59" s="24" t="s">
        <v>247</v>
      </c>
      <c r="N59" s="24" t="s">
        <v>780</v>
      </c>
      <c r="O59" s="24" t="s">
        <v>781</v>
      </c>
      <c r="P59" s="24" t="s">
        <v>748</v>
      </c>
      <c r="Q59" s="24" t="s">
        <v>375</v>
      </c>
      <c r="R59" s="24" t="s">
        <v>596</v>
      </c>
      <c r="S59" s="30" t="s">
        <v>262</v>
      </c>
      <c r="T59" s="23" t="s">
        <v>235</v>
      </c>
      <c r="U59" s="24" t="s">
        <v>782</v>
      </c>
      <c r="V59" s="24" t="s">
        <v>238</v>
      </c>
      <c r="W59" s="24" t="s">
        <v>239</v>
      </c>
      <c r="X59" s="24" t="s">
        <v>783</v>
      </c>
      <c r="Y59" s="25" t="s">
        <v>784</v>
      </c>
    </row>
    <row r="60" customFormat="false" ht="53.7" hidden="false" customHeight="false" outlineLevel="0" collapsed="false">
      <c r="A60" s="11" t="n">
        <v>20</v>
      </c>
      <c r="B60" s="23" t="s">
        <v>130</v>
      </c>
      <c r="C60" s="27" t="s">
        <v>163</v>
      </c>
      <c r="D60" s="11" t="s">
        <v>25</v>
      </c>
      <c r="E60" s="9" t="s">
        <v>785</v>
      </c>
      <c r="F60" s="11"/>
      <c r="G60" s="11"/>
      <c r="H60" s="29" t="n">
        <v>46631</v>
      </c>
      <c r="I60" s="24" t="s">
        <v>786</v>
      </c>
      <c r="J60" s="32" t="s">
        <v>353</v>
      </c>
      <c r="K60" s="24" t="s">
        <v>787</v>
      </c>
      <c r="L60" s="24" t="s">
        <v>788</v>
      </c>
      <c r="M60" s="24" t="s">
        <v>789</v>
      </c>
      <c r="N60" s="24" t="s">
        <v>641</v>
      </c>
      <c r="O60" s="24" t="s">
        <v>790</v>
      </c>
      <c r="P60" s="24" t="s">
        <v>594</v>
      </c>
      <c r="Q60" s="24" t="s">
        <v>375</v>
      </c>
      <c r="R60" s="24" t="s">
        <v>596</v>
      </c>
      <c r="S60" s="23" t="s">
        <v>235</v>
      </c>
      <c r="T60" s="23" t="s">
        <v>235</v>
      </c>
      <c r="U60" s="24" t="s">
        <v>791</v>
      </c>
      <c r="V60" s="24" t="s">
        <v>238</v>
      </c>
      <c r="W60" s="24" t="s">
        <v>239</v>
      </c>
      <c r="X60" s="24" t="s">
        <v>792</v>
      </c>
      <c r="Y60" s="25" t="s">
        <v>191</v>
      </c>
    </row>
    <row r="61" customFormat="false" ht="32.8" hidden="false" customHeight="false" outlineLevel="0" collapsed="false">
      <c r="A61" s="11" t="n">
        <v>21</v>
      </c>
      <c r="B61" s="22" t="s">
        <v>129</v>
      </c>
      <c r="C61" s="23" t="s">
        <v>151</v>
      </c>
      <c r="D61" s="11" t="s">
        <v>25</v>
      </c>
      <c r="E61" s="9" t="s">
        <v>793</v>
      </c>
      <c r="F61" s="21" t="n">
        <v>46659</v>
      </c>
      <c r="G61" s="21" t="n">
        <v>46661</v>
      </c>
      <c r="H61" s="29" t="n">
        <v>46631</v>
      </c>
      <c r="I61" s="24" t="s">
        <v>794</v>
      </c>
      <c r="J61" s="30" t="s">
        <v>226</v>
      </c>
      <c r="K61" s="24" t="s">
        <v>226</v>
      </c>
      <c r="L61" s="24" t="s">
        <v>795</v>
      </c>
      <c r="M61" s="24" t="s">
        <v>796</v>
      </c>
      <c r="N61" s="24" t="s">
        <v>797</v>
      </c>
      <c r="O61" s="24" t="s">
        <v>798</v>
      </c>
      <c r="P61" s="24" t="s">
        <v>799</v>
      </c>
      <c r="Q61" s="24" t="s">
        <v>375</v>
      </c>
      <c r="R61" s="24" t="s">
        <v>800</v>
      </c>
      <c r="S61" s="28" t="s">
        <v>236</v>
      </c>
      <c r="T61" s="30" t="s">
        <v>262</v>
      </c>
      <c r="U61" s="24" t="s">
        <v>801</v>
      </c>
      <c r="V61" s="24" t="s">
        <v>802</v>
      </c>
      <c r="W61" s="24" t="s">
        <v>803</v>
      </c>
      <c r="X61" s="24" t="s">
        <v>804</v>
      </c>
      <c r="Y61" s="25" t="s">
        <v>805</v>
      </c>
    </row>
    <row r="62" customFormat="false" ht="53.7" hidden="false" customHeight="false" outlineLevel="0" collapsed="false">
      <c r="A62" s="11" t="n">
        <v>22</v>
      </c>
      <c r="B62" s="23" t="s">
        <v>130</v>
      </c>
      <c r="C62" s="27" t="s">
        <v>163</v>
      </c>
      <c r="D62" s="11" t="s">
        <v>25</v>
      </c>
      <c r="E62" s="9" t="s">
        <v>806</v>
      </c>
      <c r="F62" s="21" t="n">
        <v>46688</v>
      </c>
      <c r="G62" s="21" t="n">
        <v>46690</v>
      </c>
      <c r="H62" s="29" t="n">
        <v>46661</v>
      </c>
      <c r="I62" s="24" t="s">
        <v>807</v>
      </c>
      <c r="J62" s="30" t="s">
        <v>226</v>
      </c>
      <c r="K62" s="24" t="s">
        <v>226</v>
      </c>
      <c r="L62" s="24" t="s">
        <v>808</v>
      </c>
      <c r="M62" s="24" t="s">
        <v>809</v>
      </c>
      <c r="N62" s="24" t="s">
        <v>810</v>
      </c>
      <c r="O62" s="24" t="s">
        <v>811</v>
      </c>
      <c r="P62" s="24" t="s">
        <v>812</v>
      </c>
      <c r="Q62" s="24" t="s">
        <v>813</v>
      </c>
      <c r="R62" s="24" t="s">
        <v>596</v>
      </c>
      <c r="S62" s="30" t="s">
        <v>262</v>
      </c>
      <c r="T62" s="23" t="s">
        <v>235</v>
      </c>
      <c r="U62" s="24" t="s">
        <v>814</v>
      </c>
      <c r="V62" s="24" t="s">
        <v>238</v>
      </c>
      <c r="W62" s="24" t="s">
        <v>815</v>
      </c>
      <c r="X62" s="24" t="s">
        <v>816</v>
      </c>
      <c r="Y62" s="25" t="s">
        <v>817</v>
      </c>
    </row>
    <row r="63" customFormat="false" ht="22.35" hidden="false" customHeight="false" outlineLevel="0" collapsed="false">
      <c r="A63" s="11" t="n">
        <v>23</v>
      </c>
      <c r="B63" s="28" t="s">
        <v>131</v>
      </c>
      <c r="C63" s="27" t="s">
        <v>163</v>
      </c>
      <c r="D63" s="11" t="s">
        <v>25</v>
      </c>
      <c r="E63" s="9" t="s">
        <v>818</v>
      </c>
      <c r="F63" s="11"/>
      <c r="G63" s="11"/>
      <c r="H63" s="29" t="n">
        <v>46692</v>
      </c>
      <c r="I63" s="24" t="s">
        <v>819</v>
      </c>
      <c r="J63" s="32" t="s">
        <v>353</v>
      </c>
      <c r="K63" s="24" t="s">
        <v>820</v>
      </c>
      <c r="L63" s="24" t="s">
        <v>754</v>
      </c>
      <c r="M63" s="24" t="s">
        <v>821</v>
      </c>
      <c r="N63" s="24" t="s">
        <v>822</v>
      </c>
      <c r="O63" s="24" t="s">
        <v>823</v>
      </c>
      <c r="P63" s="24" t="s">
        <v>285</v>
      </c>
      <c r="Q63" s="24" t="s">
        <v>375</v>
      </c>
      <c r="R63" s="24" t="s">
        <v>824</v>
      </c>
      <c r="S63" s="28" t="s">
        <v>236</v>
      </c>
      <c r="T63" s="23" t="s">
        <v>235</v>
      </c>
      <c r="U63" s="24" t="s">
        <v>237</v>
      </c>
      <c r="V63" s="24" t="s">
        <v>239</v>
      </c>
      <c r="W63" s="24" t="s">
        <v>239</v>
      </c>
      <c r="X63" s="24" t="s">
        <v>825</v>
      </c>
      <c r="Y63" s="25" t="s">
        <v>826</v>
      </c>
    </row>
  </sheetData>
  <autoFilter ref="A2:Y63"/>
  <mergeCells count="1">
    <mergeCell ref="A1:Y1"/>
  </mergeCells>
  <hyperlinks>
    <hyperlink ref="Y3" r:id="rId1" display="https://www.nhcs.com.sg/singlivecourse"/>
    <hyperlink ref="Y4" r:id="rId2" display="https://www.ssr.org.sg/conference-list"/>
    <hyperlink ref="Y5" r:id="rId3" display="https://www.singhealthacademy.edu.sg/sims/events-programmes/academia/point-of-care-ultrasound"/>
    <hyperlink ref="Y6" r:id="rId4" display="https://nysora.com/event/conferences/regional-anesthesia-conference-singapore-2027/"/>
    <hyperlink ref="Y7" r:id="rId5" display="https://www.iqpc.com/events-asiahealthcareweek"/>
    <hyperlink ref="Y8" r:id="rId6" display="https://www.healthtechx-asia.com/"/>
    <hyperlink ref="Y9" r:id="rId7" display="https://smarthealthasia.com/"/>
    <hyperlink ref="Y10" r:id="rId8" display="https://sua.sg/urofair-2027/"/>
    <hyperlink ref="Y11" r:id="rId9" display="https://conferencealerts.co.in/singapore/medicine-and-medical-science"/>
    <hyperlink ref="Y12" r:id="rId10" display="https://www.sgcr-wires.com/acar2027"/>
    <hyperlink ref="Y13" r:id="rId11" display="https://www.singhealthacademy.edu.sg/sims/events-programmes/academia/point-of-care-ultrasound"/>
    <hyperlink ref="Y14" r:id="rId12" display="https://ieee-uffc.org/event/conference/2027-ieee-international-ultrasonics-symposium"/>
    <hyperlink ref="Y15" r:id="rId13" display="https://shbc.com.sg/"/>
    <hyperlink ref="Y16" r:id="rId14" display="https://expo.taiwan-healthcare.org/en/"/>
    <hyperlink ref="Y17" r:id="rId15" display="https://tsocmeeting.org/"/>
    <hyperlink ref="Y18" r:id="rId16" display="https://www.rsroc.org.tw/news/news_detail.asp?news_id=96"/>
    <hyperlink ref="Y19" r:id="rId17" display="https://www.taog.org.tw/year_list.php"/>
    <hyperlink ref="Y20" r:id="rId18" display="https://www.rsroc.org.tw/"/>
    <hyperlink ref="Y21" r:id="rId19" display="https://www.tsoc.org.tw/"/>
    <hyperlink ref="Y22" r:id="rId20" display="https://www.sem.org.tw/News/12/Index"/>
    <hyperlink ref="Y23" r:id="rId21" display="https://www.medicaltaiwan.com.tw/zh-tw/index.html"/>
    <hyperlink ref="Y24" r:id="rId22" display="https://www.tpta.org.tw/articles.php?type=forwarded&amp;pid=520"/>
    <hyperlink ref="Y25" r:id="rId23" display="https://www.anesth.org.tw/events/content.asp?ID=3091&amp;EduType=1"/>
    <hyperlink ref="Y26" r:id="rId24" display="https://www.sumroc.org.tw/index.php?action=annual"/>
    <hyperlink ref="Y27" r:id="rId25" display="https://expo.taiwan-healthcare.org/en/"/>
    <hyperlink ref="Y28" r:id="rId26" display="https://www.ksecho.org/academic_event/annual_schedule_all.php"/>
    <hyperlink ref="Y29" r:id="rId27" display="https://iscu.or.kr/"/>
    <hyperlink ref="Y30" r:id="rId28" display="https://www.kimes.kr/"/>
    <hyperlink ref="Y31" r:id="rId29" display="https://www.circulation.or.kr/bbs/?code=meeting"/>
    <hyperlink ref="Y32" r:id="rId30" display="https://emergency.or.kr/"/>
    <hyperlink ref="Y33" r:id="rId31" display="https://www.kbcs.or.kr/html/"/>
    <hyperlink ref="Y34" r:id="rId32" display="https://2026.ksum.or.kr/about/about.php"/>
    <hyperlink ref="Y35" r:id="rId33" display="https://khospital.org/"/>
    <hyperlink ref="Y36" r:id="rId34" display="https://www.radiology.or.kr/"/>
    <hyperlink ref="Y37" r:id="rId35" display="https://www.circulation.or.kr/bbs/?code=meeting"/>
    <hyperlink ref="Y38" r:id="rId36" display="https://ksuog.or.kr/"/>
    <hyperlink ref="Y39" r:id="rId37" display="https://ksog.org/bbs/?category=1&amp;code=schedule2"/>
    <hyperlink ref="Y40" r:id="rId38" display="https://www.ksecho.org/"/>
    <hyperlink ref="Y41" r:id="rId39" display="https://www.jsum.or.jp/members/calendar/2026/"/>
    <hyperlink ref="Y42" r:id="rId40" display="https://www.jsum.or.jp/members/calendar/2027/"/>
    <hyperlink ref="Y43" r:id="rId41" display="https://www.nagoya-cci.or.jp/koho/news-release/pr/newsrelease20260818_19.pdf"/>
    <hyperlink ref="Y44" r:id="rId42" display="https://www.jsum.or.jp/members/calendar/2027/"/>
    <hyperlink ref="Y45" r:id="rId43" display="https://www.jsum.or.jp/members/calendar/2027/"/>
    <hyperlink ref="Y46" r:id="rId44" display="https://www.jsum.or.jp/members/calendar/2027/"/>
    <hyperlink ref="Y47" r:id="rId45" display="https://www.congre.co.jp/jcs2027/"/>
    <hyperlink ref="Y48" r:id="rId46" display="https://site2.convention.co.jp/jrs86/"/>
    <hyperlink ref="Y49" r:id="rId47" display="https://www.jse.gr.jp/"/>
    <hyperlink ref="Y50" r:id="rId48" display="https://isoukai2027.jp/index.html"/>
    <hyperlink ref="Y51" r:id="rId49" display="https://www.congre.co.jp/jsog2027/"/>
    <hyperlink ref="Y52" r:id="rId50" display="https://www.congre.co.jp/joa2027/"/>
    <hyperlink ref="Y53" r:id="rId51" display="https://www.jsum.or.jp/members/calendar/2027/"/>
    <hyperlink ref="Y54" r:id="rId52" display="https://medical.nikkeibp.co.jp/inc/all/gakkai/calendar/42.html"/>
    <hyperlink ref="Y55" r:id="rId53" display="https://c-lef.co.jp/jss52/outline/index.html"/>
    <hyperlink ref="Y56" r:id="rId54" display="https://www.c-linkage.co.jp/jbcs2027/"/>
    <hyperlink ref="Y57" r:id="rId55" display="https://www.noma-hs.com/"/>
    <hyperlink ref="Y58" r:id="rId56" display="https://www.ningen-dock.jp/"/>
    <hyperlink ref="Y59" r:id="rId57" display="https://jabts.jp/jabtsgakujutsushunki/gakujutushukai/"/>
    <hyperlink ref="Y60" r:id="rId58" display="https://www.jsum.or.jp/members/calendar/2026/"/>
    <hyperlink ref="Y61" r:id="rId59" display="https://medical-jpn.jp/osaka/en-gb.html"/>
    <hyperlink ref="Y62" r:id="rId60" display="https://www.jddw.jp/jddw2027/index.html"/>
    <hyperlink ref="Y63" r:id="rId61" display="https://www.jma.or.jp/hospex/"/>
  </hyperlink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6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Y55"/>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5" ySplit="2" topLeftCell="F3" activePane="bottomRight" state="frozen"/>
      <selection pane="topLeft" activeCell="A1" activeCellId="0" sqref="A1"/>
      <selection pane="topRight" activeCell="F1" activeCellId="0" sqref="F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8"/>
    <col collapsed="false" customWidth="true" hidden="false" outlineLevel="0" max="4" min="3" style="0" width="11"/>
    <col collapsed="false" customWidth="true" hidden="false" outlineLevel="0" max="5" min="5" style="0" width="44"/>
    <col collapsed="false" customWidth="true" hidden="false" outlineLevel="0" max="7" min="6" style="0" width="12"/>
    <col collapsed="false" customWidth="true" hidden="false" outlineLevel="0" max="8" min="8" style="0" width="10"/>
    <col collapsed="false" customWidth="true" hidden="false" outlineLevel="0" max="9" min="9" style="0" width="22"/>
    <col collapsed="false" customWidth="true" hidden="false" outlineLevel="0" max="10" min="10" style="0" width="11"/>
    <col collapsed="false" customWidth="true" hidden="false" outlineLevel="0" max="11" min="11" style="0" width="34"/>
    <col collapsed="false" customWidth="true" hidden="false" outlineLevel="0" max="12" min="12" style="0" width="32"/>
    <col collapsed="false" customWidth="true" hidden="false" outlineLevel="0" max="13" min="13" style="0" width="22"/>
    <col collapsed="false" customWidth="true" hidden="false" outlineLevel="0" max="14" min="14" style="0" width="26"/>
    <col collapsed="false" customWidth="true" hidden="false" outlineLevel="0" max="15" min="15" style="0" width="50"/>
    <col collapsed="false" customWidth="true" hidden="false" outlineLevel="0" max="16" min="16" style="0" width="46"/>
    <col collapsed="false" customWidth="true" hidden="false" outlineLevel="0" max="17" min="17" style="0" width="34"/>
    <col collapsed="false" customWidth="true" hidden="false" outlineLevel="0" max="18" min="18" style="0" width="36"/>
    <col collapsed="false" customWidth="true" hidden="false" outlineLevel="0" max="20" min="19" style="0" width="9"/>
    <col collapsed="false" customWidth="true" hidden="false" outlineLevel="0" max="21" min="21" style="0" width="26"/>
    <col collapsed="false" customWidth="true" hidden="false" outlineLevel="0" max="22" min="22" style="0" width="24"/>
    <col collapsed="false" customWidth="true" hidden="false" outlineLevel="0" max="23" min="23" style="0" width="38"/>
    <col collapsed="false" customWidth="true" hidden="false" outlineLevel="0" max="24" min="24" style="0" width="42"/>
    <col collapsed="false" customWidth="true" hidden="false" outlineLevel="0" max="25" min="25" style="0" width="36"/>
  </cols>
  <sheetData>
    <row r="1" customFormat="false" ht="15" hidden="false" customHeight="false" outlineLevel="0" collapsed="false">
      <c r="A1" s="6" t="s">
        <v>827</v>
      </c>
      <c r="B1" s="6"/>
      <c r="C1" s="6"/>
      <c r="D1" s="6"/>
      <c r="E1" s="6"/>
      <c r="F1" s="6"/>
      <c r="G1" s="6"/>
      <c r="H1" s="6"/>
      <c r="I1" s="6"/>
      <c r="J1" s="6"/>
      <c r="K1" s="6"/>
      <c r="L1" s="6"/>
      <c r="M1" s="6"/>
      <c r="N1" s="6"/>
      <c r="O1" s="6"/>
      <c r="P1" s="6"/>
      <c r="Q1" s="6"/>
      <c r="R1" s="6"/>
      <c r="S1" s="6"/>
      <c r="T1" s="6"/>
      <c r="U1" s="6"/>
      <c r="V1" s="6"/>
      <c r="W1" s="6"/>
      <c r="X1" s="6"/>
      <c r="Y1" s="6"/>
    </row>
    <row r="2" customFormat="false" ht="36" hidden="false" customHeight="true" outlineLevel="0" collapsed="false">
      <c r="A2" s="8" t="s">
        <v>207</v>
      </c>
      <c r="B2" s="8" t="s">
        <v>60</v>
      </c>
      <c r="C2" s="8" t="s">
        <v>62</v>
      </c>
      <c r="D2" s="8" t="s">
        <v>120</v>
      </c>
      <c r="E2" s="8" t="s">
        <v>208</v>
      </c>
      <c r="F2" s="8" t="s">
        <v>143</v>
      </c>
      <c r="G2" s="8" t="s">
        <v>209</v>
      </c>
      <c r="H2" s="8" t="s">
        <v>210</v>
      </c>
      <c r="I2" s="8" t="s">
        <v>211</v>
      </c>
      <c r="J2" s="8" t="s">
        <v>64</v>
      </c>
      <c r="K2" s="8" t="s">
        <v>212</v>
      </c>
      <c r="L2" s="8" t="s">
        <v>148</v>
      </c>
      <c r="M2" s="8" t="s">
        <v>213</v>
      </c>
      <c r="N2" s="8" t="s">
        <v>214</v>
      </c>
      <c r="O2" s="8" t="s">
        <v>215</v>
      </c>
      <c r="P2" s="8" t="s">
        <v>216</v>
      </c>
      <c r="Q2" s="8" t="s">
        <v>66</v>
      </c>
      <c r="R2" s="8" t="s">
        <v>217</v>
      </c>
      <c r="S2" s="8" t="s">
        <v>218</v>
      </c>
      <c r="T2" s="8" t="s">
        <v>219</v>
      </c>
      <c r="U2" s="8" t="s">
        <v>220</v>
      </c>
      <c r="V2" s="8" t="s">
        <v>221</v>
      </c>
      <c r="W2" s="8" t="s">
        <v>222</v>
      </c>
      <c r="X2" s="8" t="s">
        <v>223</v>
      </c>
      <c r="Y2" s="8" t="s">
        <v>150</v>
      </c>
    </row>
    <row r="3" customFormat="false" ht="22.35" hidden="false" customHeight="false" outlineLevel="0" collapsed="false">
      <c r="A3" s="11" t="n">
        <v>1</v>
      </c>
      <c r="B3" s="23" t="s">
        <v>130</v>
      </c>
      <c r="C3" s="26" t="s">
        <v>157</v>
      </c>
      <c r="D3" s="11" t="s">
        <v>19</v>
      </c>
      <c r="E3" s="9" t="s">
        <v>828</v>
      </c>
      <c r="F3" s="11"/>
      <c r="G3" s="11"/>
      <c r="H3" s="29" t="n">
        <v>46419</v>
      </c>
      <c r="I3" s="24" t="s">
        <v>829</v>
      </c>
      <c r="J3" s="32" t="s">
        <v>353</v>
      </c>
      <c r="K3" s="24" t="s">
        <v>830</v>
      </c>
      <c r="L3" s="24" t="s">
        <v>831</v>
      </c>
      <c r="M3" s="24" t="s">
        <v>832</v>
      </c>
      <c r="N3" s="24" t="s">
        <v>833</v>
      </c>
      <c r="O3" s="24" t="s">
        <v>834</v>
      </c>
      <c r="P3" s="24" t="s">
        <v>375</v>
      </c>
      <c r="Q3" s="24" t="s">
        <v>375</v>
      </c>
      <c r="R3" s="24" t="s">
        <v>835</v>
      </c>
      <c r="S3" s="30" t="s">
        <v>262</v>
      </c>
      <c r="T3" s="28" t="s">
        <v>236</v>
      </c>
      <c r="U3" s="24" t="s">
        <v>836</v>
      </c>
      <c r="V3" s="24" t="s">
        <v>837</v>
      </c>
      <c r="W3" s="24" t="s">
        <v>239</v>
      </c>
      <c r="X3" s="24" t="s">
        <v>838</v>
      </c>
      <c r="Y3" s="25" t="s">
        <v>839</v>
      </c>
    </row>
    <row r="4" customFormat="false" ht="32.8" hidden="false" customHeight="false" outlineLevel="0" collapsed="false">
      <c r="A4" s="11" t="n">
        <v>2</v>
      </c>
      <c r="B4" s="23" t="s">
        <v>130</v>
      </c>
      <c r="C4" s="26" t="s">
        <v>157</v>
      </c>
      <c r="D4" s="11" t="s">
        <v>19</v>
      </c>
      <c r="E4" s="9" t="s">
        <v>840</v>
      </c>
      <c r="F4" s="11"/>
      <c r="G4" s="11"/>
      <c r="H4" s="29" t="n">
        <v>46447</v>
      </c>
      <c r="I4" s="24" t="s">
        <v>841</v>
      </c>
      <c r="J4" s="32" t="s">
        <v>353</v>
      </c>
      <c r="K4" s="24" t="s">
        <v>842</v>
      </c>
      <c r="L4" s="24" t="s">
        <v>843</v>
      </c>
      <c r="M4" s="24" t="s">
        <v>844</v>
      </c>
      <c r="N4" s="24" t="s">
        <v>845</v>
      </c>
      <c r="O4" s="24" t="s">
        <v>846</v>
      </c>
      <c r="P4" s="24" t="s">
        <v>261</v>
      </c>
      <c r="Q4" s="24" t="s">
        <v>375</v>
      </c>
      <c r="R4" s="24" t="s">
        <v>847</v>
      </c>
      <c r="S4" s="30" t="s">
        <v>262</v>
      </c>
      <c r="T4" s="28" t="s">
        <v>236</v>
      </c>
      <c r="U4" s="24" t="s">
        <v>848</v>
      </c>
      <c r="V4" s="24" t="s">
        <v>849</v>
      </c>
      <c r="W4" s="24" t="s">
        <v>850</v>
      </c>
      <c r="X4" s="24" t="s">
        <v>851</v>
      </c>
      <c r="Y4" s="25" t="s">
        <v>852</v>
      </c>
    </row>
    <row r="5" customFormat="false" ht="32.8" hidden="false" customHeight="false" outlineLevel="0" collapsed="false">
      <c r="A5" s="11" t="n">
        <v>3</v>
      </c>
      <c r="B5" s="23" t="s">
        <v>130</v>
      </c>
      <c r="C5" s="26" t="s">
        <v>157</v>
      </c>
      <c r="D5" s="11" t="s">
        <v>19</v>
      </c>
      <c r="E5" s="9" t="s">
        <v>853</v>
      </c>
      <c r="F5" s="21" t="n">
        <v>46486</v>
      </c>
      <c r="G5" s="21" t="n">
        <v>46488</v>
      </c>
      <c r="H5" s="29" t="n">
        <v>46478</v>
      </c>
      <c r="I5" s="24" t="s">
        <v>854</v>
      </c>
      <c r="J5" s="31" t="s">
        <v>244</v>
      </c>
      <c r="K5" s="24" t="s">
        <v>855</v>
      </c>
      <c r="L5" s="24" t="s">
        <v>856</v>
      </c>
      <c r="M5" s="24" t="s">
        <v>857</v>
      </c>
      <c r="N5" s="24" t="s">
        <v>858</v>
      </c>
      <c r="O5" s="24" t="s">
        <v>859</v>
      </c>
      <c r="P5" s="24" t="s">
        <v>285</v>
      </c>
      <c r="Q5" s="24" t="s">
        <v>375</v>
      </c>
      <c r="R5" s="24" t="s">
        <v>860</v>
      </c>
      <c r="S5" s="28" t="s">
        <v>236</v>
      </c>
      <c r="T5" s="23" t="s">
        <v>235</v>
      </c>
      <c r="U5" s="24" t="s">
        <v>237</v>
      </c>
      <c r="V5" s="24" t="s">
        <v>239</v>
      </c>
      <c r="W5" s="24" t="s">
        <v>239</v>
      </c>
      <c r="X5" s="24" t="s">
        <v>861</v>
      </c>
      <c r="Y5" s="25" t="s">
        <v>862</v>
      </c>
    </row>
    <row r="6" customFormat="false" ht="22.35" hidden="false" customHeight="false" outlineLevel="0" collapsed="false">
      <c r="A6" s="11" t="n">
        <v>4</v>
      </c>
      <c r="B6" s="28" t="s">
        <v>131</v>
      </c>
      <c r="C6" s="26" t="s">
        <v>157</v>
      </c>
      <c r="D6" s="11" t="s">
        <v>19</v>
      </c>
      <c r="E6" s="9" t="s">
        <v>863</v>
      </c>
      <c r="F6" s="11"/>
      <c r="G6" s="11"/>
      <c r="H6" s="29" t="n">
        <v>46539</v>
      </c>
      <c r="I6" s="24" t="s">
        <v>829</v>
      </c>
      <c r="J6" s="32" t="s">
        <v>353</v>
      </c>
      <c r="K6" s="24" t="s">
        <v>864</v>
      </c>
      <c r="L6" s="24" t="s">
        <v>19</v>
      </c>
      <c r="M6" s="24" t="s">
        <v>865</v>
      </c>
      <c r="N6" s="24" t="s">
        <v>866</v>
      </c>
      <c r="O6" s="24" t="s">
        <v>867</v>
      </c>
      <c r="P6" s="24" t="s">
        <v>375</v>
      </c>
      <c r="Q6" s="24" t="s">
        <v>375</v>
      </c>
      <c r="R6" s="24" t="s">
        <v>348</v>
      </c>
      <c r="S6" s="23" t="s">
        <v>235</v>
      </c>
      <c r="T6" s="28" t="s">
        <v>236</v>
      </c>
      <c r="U6" s="24" t="s">
        <v>836</v>
      </c>
      <c r="V6" s="24" t="s">
        <v>837</v>
      </c>
      <c r="W6" s="24" t="s">
        <v>239</v>
      </c>
      <c r="X6" s="24" t="s">
        <v>868</v>
      </c>
      <c r="Y6" s="25" t="s">
        <v>869</v>
      </c>
    </row>
    <row r="7" customFormat="false" ht="32.8" hidden="false" customHeight="false" outlineLevel="0" collapsed="false">
      <c r="A7" s="11" t="n">
        <v>5</v>
      </c>
      <c r="B7" s="28" t="s">
        <v>131</v>
      </c>
      <c r="C7" s="26" t="s">
        <v>157</v>
      </c>
      <c r="D7" s="11" t="s">
        <v>19</v>
      </c>
      <c r="E7" s="9" t="s">
        <v>870</v>
      </c>
      <c r="F7" s="21" t="n">
        <v>46598</v>
      </c>
      <c r="G7" s="21" t="n">
        <v>46600</v>
      </c>
      <c r="H7" s="29" t="n">
        <v>46569</v>
      </c>
      <c r="I7" s="24" t="s">
        <v>871</v>
      </c>
      <c r="J7" s="31" t="s">
        <v>244</v>
      </c>
      <c r="K7" s="24" t="s">
        <v>872</v>
      </c>
      <c r="L7" s="24" t="s">
        <v>873</v>
      </c>
      <c r="M7" s="24" t="s">
        <v>874</v>
      </c>
      <c r="N7" s="24" t="s">
        <v>875</v>
      </c>
      <c r="O7" s="24" t="s">
        <v>876</v>
      </c>
      <c r="P7" s="24" t="s">
        <v>285</v>
      </c>
      <c r="Q7" s="24" t="s">
        <v>375</v>
      </c>
      <c r="R7" s="24" t="s">
        <v>860</v>
      </c>
      <c r="S7" s="28" t="s">
        <v>236</v>
      </c>
      <c r="T7" s="28" t="s">
        <v>236</v>
      </c>
      <c r="U7" s="24" t="s">
        <v>877</v>
      </c>
      <c r="V7" s="24" t="s">
        <v>239</v>
      </c>
      <c r="W7" s="24" t="s">
        <v>239</v>
      </c>
      <c r="X7" s="24" t="s">
        <v>878</v>
      </c>
      <c r="Y7" s="25" t="s">
        <v>879</v>
      </c>
    </row>
    <row r="8" customFormat="false" ht="32.8" hidden="false" customHeight="false" outlineLevel="0" collapsed="false">
      <c r="A8" s="11" t="n">
        <v>6</v>
      </c>
      <c r="B8" s="23" t="s">
        <v>130</v>
      </c>
      <c r="C8" s="26" t="s">
        <v>157</v>
      </c>
      <c r="D8" s="11" t="s">
        <v>19</v>
      </c>
      <c r="E8" s="9" t="s">
        <v>880</v>
      </c>
      <c r="F8" s="11"/>
      <c r="G8" s="11"/>
      <c r="H8" s="29" t="n">
        <v>46631</v>
      </c>
      <c r="I8" s="24" t="s">
        <v>829</v>
      </c>
      <c r="J8" s="32" t="s">
        <v>353</v>
      </c>
      <c r="K8" s="24" t="s">
        <v>881</v>
      </c>
      <c r="L8" s="24" t="s">
        <v>882</v>
      </c>
      <c r="M8" s="24" t="s">
        <v>883</v>
      </c>
      <c r="N8" s="24" t="s">
        <v>884</v>
      </c>
      <c r="O8" s="24" t="s">
        <v>885</v>
      </c>
      <c r="P8" s="24" t="s">
        <v>886</v>
      </c>
      <c r="Q8" s="24" t="s">
        <v>375</v>
      </c>
      <c r="R8" s="24" t="s">
        <v>860</v>
      </c>
      <c r="S8" s="30" t="s">
        <v>262</v>
      </c>
      <c r="T8" s="30" t="s">
        <v>262</v>
      </c>
      <c r="U8" s="24" t="s">
        <v>237</v>
      </c>
      <c r="V8" s="24" t="s">
        <v>239</v>
      </c>
      <c r="W8" s="24" t="s">
        <v>239</v>
      </c>
      <c r="X8" s="24" t="s">
        <v>887</v>
      </c>
      <c r="Y8" s="25" t="s">
        <v>888</v>
      </c>
    </row>
    <row r="9" customFormat="false" ht="43.25" hidden="false" customHeight="false" outlineLevel="0" collapsed="false">
      <c r="A9" s="11" t="n">
        <v>7</v>
      </c>
      <c r="B9" s="22" t="s">
        <v>129</v>
      </c>
      <c r="C9" s="26" t="s">
        <v>157</v>
      </c>
      <c r="D9" s="11" t="s">
        <v>19</v>
      </c>
      <c r="E9" s="9" t="s">
        <v>889</v>
      </c>
      <c r="F9" s="11"/>
      <c r="G9" s="11"/>
      <c r="H9" s="29" t="n">
        <v>46661</v>
      </c>
      <c r="I9" s="24" t="s">
        <v>890</v>
      </c>
      <c r="J9" s="32" t="s">
        <v>353</v>
      </c>
      <c r="K9" s="24" t="s">
        <v>891</v>
      </c>
      <c r="L9" s="24" t="s">
        <v>892</v>
      </c>
      <c r="M9" s="24" t="s">
        <v>893</v>
      </c>
      <c r="N9" s="24" t="s">
        <v>894</v>
      </c>
      <c r="O9" s="24" t="s">
        <v>895</v>
      </c>
      <c r="P9" s="24" t="s">
        <v>896</v>
      </c>
      <c r="Q9" s="24" t="s">
        <v>897</v>
      </c>
      <c r="R9" s="24" t="s">
        <v>860</v>
      </c>
      <c r="S9" s="30" t="s">
        <v>262</v>
      </c>
      <c r="T9" s="30" t="s">
        <v>262</v>
      </c>
      <c r="U9" s="24" t="s">
        <v>898</v>
      </c>
      <c r="V9" s="24" t="s">
        <v>239</v>
      </c>
      <c r="W9" s="24" t="s">
        <v>899</v>
      </c>
      <c r="X9" s="24" t="s">
        <v>900</v>
      </c>
      <c r="Y9" s="25" t="s">
        <v>901</v>
      </c>
    </row>
    <row r="10" customFormat="false" ht="53.7" hidden="false" customHeight="false" outlineLevel="0" collapsed="false">
      <c r="A10" s="33" t="n">
        <v>1</v>
      </c>
      <c r="B10" s="35" t="s">
        <v>130</v>
      </c>
      <c r="C10" s="35" t="s">
        <v>151</v>
      </c>
      <c r="D10" s="33" t="s">
        <v>21</v>
      </c>
      <c r="E10" s="36" t="s">
        <v>902</v>
      </c>
      <c r="F10" s="37" t="n">
        <v>46359</v>
      </c>
      <c r="G10" s="37" t="n">
        <v>46362</v>
      </c>
      <c r="H10" s="38" t="n">
        <v>46357</v>
      </c>
      <c r="I10" s="39" t="s">
        <v>153</v>
      </c>
      <c r="J10" s="40" t="s">
        <v>226</v>
      </c>
      <c r="K10" s="39" t="s">
        <v>226</v>
      </c>
      <c r="L10" s="39" t="s">
        <v>428</v>
      </c>
      <c r="M10" s="39" t="s">
        <v>362</v>
      </c>
      <c r="N10" s="39" t="s">
        <v>903</v>
      </c>
      <c r="O10" s="39" t="s">
        <v>904</v>
      </c>
      <c r="P10" s="39" t="s">
        <v>905</v>
      </c>
      <c r="Q10" s="39" t="s">
        <v>906</v>
      </c>
      <c r="R10" s="39" t="s">
        <v>907</v>
      </c>
      <c r="S10" s="43" t="s">
        <v>236</v>
      </c>
      <c r="T10" s="35" t="s">
        <v>235</v>
      </c>
      <c r="U10" s="39" t="s">
        <v>908</v>
      </c>
      <c r="V10" s="39" t="s">
        <v>239</v>
      </c>
      <c r="W10" s="39" t="s">
        <v>909</v>
      </c>
      <c r="X10" s="39" t="s">
        <v>910</v>
      </c>
      <c r="Y10" s="41" t="s">
        <v>156</v>
      </c>
    </row>
    <row r="11" customFormat="false" ht="22.35" hidden="false" customHeight="false" outlineLevel="0" collapsed="false">
      <c r="A11" s="11" t="n">
        <v>2</v>
      </c>
      <c r="B11" s="28" t="s">
        <v>131</v>
      </c>
      <c r="C11" s="26" t="s">
        <v>157</v>
      </c>
      <c r="D11" s="11" t="s">
        <v>21</v>
      </c>
      <c r="E11" s="9" t="s">
        <v>177</v>
      </c>
      <c r="F11" s="21" t="n">
        <v>46367</v>
      </c>
      <c r="G11" s="21" t="n">
        <v>46370</v>
      </c>
      <c r="H11" s="29" t="n">
        <v>46357</v>
      </c>
      <c r="I11" s="24" t="s">
        <v>178</v>
      </c>
      <c r="J11" s="30" t="s">
        <v>226</v>
      </c>
      <c r="K11" s="24" t="s">
        <v>911</v>
      </c>
      <c r="L11" s="24" t="s">
        <v>179</v>
      </c>
      <c r="M11" s="24" t="s">
        <v>912</v>
      </c>
      <c r="N11" s="24" t="s">
        <v>913</v>
      </c>
      <c r="O11" s="24" t="s">
        <v>914</v>
      </c>
      <c r="P11" s="24" t="s">
        <v>915</v>
      </c>
      <c r="Q11" s="24" t="s">
        <v>916</v>
      </c>
      <c r="R11" s="24" t="s">
        <v>917</v>
      </c>
      <c r="S11" s="28" t="s">
        <v>236</v>
      </c>
      <c r="T11" s="28" t="s">
        <v>236</v>
      </c>
      <c r="U11" s="24" t="s">
        <v>918</v>
      </c>
      <c r="V11" s="24" t="s">
        <v>239</v>
      </c>
      <c r="W11" s="24" t="s">
        <v>919</v>
      </c>
      <c r="X11" s="24" t="s">
        <v>920</v>
      </c>
      <c r="Y11" s="25" t="s">
        <v>181</v>
      </c>
    </row>
    <row r="12" customFormat="false" ht="53.7" hidden="false" customHeight="false" outlineLevel="0" collapsed="false">
      <c r="A12" s="11" t="n">
        <v>3</v>
      </c>
      <c r="B12" s="22" t="s">
        <v>129</v>
      </c>
      <c r="C12" s="26" t="s">
        <v>157</v>
      </c>
      <c r="D12" s="11" t="s">
        <v>21</v>
      </c>
      <c r="E12" s="9" t="s">
        <v>192</v>
      </c>
      <c r="F12" s="21" t="n">
        <v>46368</v>
      </c>
      <c r="G12" s="21" t="n">
        <v>46369</v>
      </c>
      <c r="H12" s="29" t="n">
        <v>46357</v>
      </c>
      <c r="I12" s="24" t="s">
        <v>183</v>
      </c>
      <c r="J12" s="30" t="s">
        <v>226</v>
      </c>
      <c r="K12" s="24" t="s">
        <v>226</v>
      </c>
      <c r="L12" s="24" t="s">
        <v>193</v>
      </c>
      <c r="M12" s="24" t="s">
        <v>921</v>
      </c>
      <c r="N12" s="24" t="s">
        <v>922</v>
      </c>
      <c r="O12" s="24" t="s">
        <v>923</v>
      </c>
      <c r="P12" s="24" t="s">
        <v>924</v>
      </c>
      <c r="Q12" s="24" t="s">
        <v>925</v>
      </c>
      <c r="R12" s="24" t="s">
        <v>907</v>
      </c>
      <c r="S12" s="30" t="s">
        <v>262</v>
      </c>
      <c r="T12" s="23" t="s">
        <v>235</v>
      </c>
      <c r="U12" s="24" t="s">
        <v>237</v>
      </c>
      <c r="V12" s="24" t="s">
        <v>238</v>
      </c>
      <c r="W12" s="24" t="s">
        <v>926</v>
      </c>
      <c r="X12" s="24" t="s">
        <v>927</v>
      </c>
      <c r="Y12" s="25" t="s">
        <v>195</v>
      </c>
    </row>
    <row r="13" customFormat="false" ht="53.7" hidden="false" customHeight="false" outlineLevel="0" collapsed="false">
      <c r="A13" s="11" t="n">
        <v>4</v>
      </c>
      <c r="B13" s="28" t="s">
        <v>131</v>
      </c>
      <c r="C13" s="26" t="s">
        <v>157</v>
      </c>
      <c r="D13" s="11" t="s">
        <v>21</v>
      </c>
      <c r="E13" s="9" t="s">
        <v>928</v>
      </c>
      <c r="F13" s="11"/>
      <c r="G13" s="11"/>
      <c r="H13" s="29" t="n">
        <v>46388</v>
      </c>
      <c r="I13" s="24" t="s">
        <v>929</v>
      </c>
      <c r="J13" s="32" t="s">
        <v>353</v>
      </c>
      <c r="K13" s="24" t="s">
        <v>930</v>
      </c>
      <c r="L13" s="24" t="s">
        <v>931</v>
      </c>
      <c r="M13" s="24" t="s">
        <v>932</v>
      </c>
      <c r="N13" s="24" t="s">
        <v>933</v>
      </c>
      <c r="O13" s="24" t="s">
        <v>934</v>
      </c>
      <c r="P13" s="24" t="s">
        <v>924</v>
      </c>
      <c r="Q13" s="24" t="s">
        <v>916</v>
      </c>
      <c r="R13" s="24" t="s">
        <v>907</v>
      </c>
      <c r="S13" s="23" t="s">
        <v>235</v>
      </c>
      <c r="T13" s="23" t="s">
        <v>235</v>
      </c>
      <c r="U13" s="24" t="s">
        <v>935</v>
      </c>
      <c r="V13" s="24" t="s">
        <v>238</v>
      </c>
      <c r="W13" s="24" t="s">
        <v>239</v>
      </c>
      <c r="X13" s="24" t="s">
        <v>936</v>
      </c>
      <c r="Y13" s="25" t="s">
        <v>937</v>
      </c>
    </row>
    <row r="14" customFormat="false" ht="53.7" hidden="false" customHeight="false" outlineLevel="0" collapsed="false">
      <c r="A14" s="11" t="n">
        <v>5</v>
      </c>
      <c r="B14" s="23" t="s">
        <v>130</v>
      </c>
      <c r="C14" s="26" t="s">
        <v>157</v>
      </c>
      <c r="D14" s="11" t="s">
        <v>21</v>
      </c>
      <c r="E14" s="9" t="s">
        <v>938</v>
      </c>
      <c r="F14" s="11"/>
      <c r="G14" s="11"/>
      <c r="H14" s="29" t="n">
        <v>46447</v>
      </c>
      <c r="I14" s="24" t="s">
        <v>518</v>
      </c>
      <c r="J14" s="32" t="s">
        <v>353</v>
      </c>
      <c r="K14" s="24" t="s">
        <v>939</v>
      </c>
      <c r="L14" s="24" t="s">
        <v>940</v>
      </c>
      <c r="M14" s="24" t="s">
        <v>941</v>
      </c>
      <c r="N14" s="24" t="s">
        <v>942</v>
      </c>
      <c r="O14" s="24" t="s">
        <v>943</v>
      </c>
      <c r="P14" s="24" t="s">
        <v>924</v>
      </c>
      <c r="Q14" s="24" t="s">
        <v>916</v>
      </c>
      <c r="R14" s="24" t="s">
        <v>907</v>
      </c>
      <c r="S14" s="30" t="s">
        <v>262</v>
      </c>
      <c r="T14" s="28" t="s">
        <v>236</v>
      </c>
      <c r="U14" s="24" t="s">
        <v>836</v>
      </c>
      <c r="V14" s="24" t="s">
        <v>238</v>
      </c>
      <c r="W14" s="24" t="s">
        <v>239</v>
      </c>
      <c r="X14" s="24" t="s">
        <v>944</v>
      </c>
      <c r="Y14" s="25" t="s">
        <v>945</v>
      </c>
    </row>
    <row r="15" customFormat="false" ht="22.35" hidden="false" customHeight="false" outlineLevel="0" collapsed="false">
      <c r="A15" s="11" t="n">
        <v>6</v>
      </c>
      <c r="B15" s="28" t="s">
        <v>131</v>
      </c>
      <c r="C15" s="26" t="s">
        <v>157</v>
      </c>
      <c r="D15" s="11" t="s">
        <v>21</v>
      </c>
      <c r="E15" s="9" t="s">
        <v>946</v>
      </c>
      <c r="F15" s="21" t="n">
        <v>46521</v>
      </c>
      <c r="G15" s="21" t="n">
        <v>46524</v>
      </c>
      <c r="H15" s="29" t="n">
        <v>46508</v>
      </c>
      <c r="I15" s="24" t="s">
        <v>947</v>
      </c>
      <c r="J15" s="31" t="s">
        <v>244</v>
      </c>
      <c r="K15" s="24" t="s">
        <v>948</v>
      </c>
      <c r="L15" s="24" t="s">
        <v>949</v>
      </c>
      <c r="M15" s="24" t="s">
        <v>950</v>
      </c>
      <c r="N15" s="24" t="s">
        <v>951</v>
      </c>
      <c r="O15" s="24" t="s">
        <v>952</v>
      </c>
      <c r="P15" s="24" t="s">
        <v>285</v>
      </c>
      <c r="Q15" s="24" t="s">
        <v>916</v>
      </c>
      <c r="R15" s="24" t="s">
        <v>953</v>
      </c>
      <c r="S15" s="28" t="s">
        <v>236</v>
      </c>
      <c r="T15" s="28" t="s">
        <v>236</v>
      </c>
      <c r="U15" s="24" t="s">
        <v>237</v>
      </c>
      <c r="V15" s="24" t="s">
        <v>239</v>
      </c>
      <c r="W15" s="24" t="s">
        <v>239</v>
      </c>
      <c r="X15" s="24" t="s">
        <v>286</v>
      </c>
      <c r="Y15" s="25" t="s">
        <v>954</v>
      </c>
    </row>
    <row r="16" customFormat="false" ht="53.7" hidden="false" customHeight="false" outlineLevel="0" collapsed="false">
      <c r="A16" s="11" t="n">
        <v>7</v>
      </c>
      <c r="B16" s="23" t="s">
        <v>130</v>
      </c>
      <c r="C16" s="26" t="s">
        <v>157</v>
      </c>
      <c r="D16" s="11" t="s">
        <v>21</v>
      </c>
      <c r="E16" s="9" t="s">
        <v>955</v>
      </c>
      <c r="F16" s="11"/>
      <c r="G16" s="11"/>
      <c r="H16" s="29" t="n">
        <v>46508</v>
      </c>
      <c r="I16" s="24" t="s">
        <v>829</v>
      </c>
      <c r="J16" s="32" t="s">
        <v>353</v>
      </c>
      <c r="K16" s="24" t="s">
        <v>956</v>
      </c>
      <c r="L16" s="24" t="s">
        <v>940</v>
      </c>
      <c r="M16" s="24" t="s">
        <v>957</v>
      </c>
      <c r="N16" s="24" t="s">
        <v>958</v>
      </c>
      <c r="O16" s="24" t="s">
        <v>959</v>
      </c>
      <c r="P16" s="24" t="s">
        <v>924</v>
      </c>
      <c r="Q16" s="24" t="s">
        <v>916</v>
      </c>
      <c r="R16" s="24" t="s">
        <v>907</v>
      </c>
      <c r="S16" s="30" t="s">
        <v>262</v>
      </c>
      <c r="T16" s="28" t="s">
        <v>236</v>
      </c>
      <c r="U16" s="24" t="s">
        <v>836</v>
      </c>
      <c r="V16" s="24" t="s">
        <v>238</v>
      </c>
      <c r="W16" s="24" t="s">
        <v>239</v>
      </c>
      <c r="X16" s="24" t="s">
        <v>960</v>
      </c>
      <c r="Y16" s="25" t="s">
        <v>961</v>
      </c>
    </row>
    <row r="17" customFormat="false" ht="22.35" hidden="false" customHeight="false" outlineLevel="0" collapsed="false">
      <c r="A17" s="11" t="n">
        <v>8</v>
      </c>
      <c r="B17" s="28" t="s">
        <v>131</v>
      </c>
      <c r="C17" s="26" t="s">
        <v>157</v>
      </c>
      <c r="D17" s="11" t="s">
        <v>21</v>
      </c>
      <c r="E17" s="9" t="s">
        <v>962</v>
      </c>
      <c r="F17" s="11"/>
      <c r="G17" s="11"/>
      <c r="H17" s="29" t="n">
        <v>46539</v>
      </c>
      <c r="I17" s="24" t="s">
        <v>829</v>
      </c>
      <c r="J17" s="32" t="s">
        <v>353</v>
      </c>
      <c r="K17" s="24" t="s">
        <v>963</v>
      </c>
      <c r="L17" s="24" t="s">
        <v>179</v>
      </c>
      <c r="M17" s="24" t="s">
        <v>950</v>
      </c>
      <c r="N17" s="24" t="s">
        <v>875</v>
      </c>
      <c r="O17" s="24" t="s">
        <v>964</v>
      </c>
      <c r="P17" s="24" t="s">
        <v>285</v>
      </c>
      <c r="Q17" s="24" t="s">
        <v>916</v>
      </c>
      <c r="R17" s="24" t="s">
        <v>953</v>
      </c>
      <c r="S17" s="28" t="s">
        <v>236</v>
      </c>
      <c r="T17" s="28" t="s">
        <v>236</v>
      </c>
      <c r="U17" s="24" t="s">
        <v>237</v>
      </c>
      <c r="V17" s="24" t="s">
        <v>239</v>
      </c>
      <c r="W17" s="24" t="s">
        <v>239</v>
      </c>
      <c r="X17" s="24" t="s">
        <v>286</v>
      </c>
      <c r="Y17" s="25" t="s">
        <v>181</v>
      </c>
    </row>
    <row r="18" customFormat="false" ht="53.7" hidden="false" customHeight="false" outlineLevel="0" collapsed="false">
      <c r="A18" s="11" t="n">
        <v>9</v>
      </c>
      <c r="B18" s="23" t="s">
        <v>130</v>
      </c>
      <c r="C18" s="23" t="s">
        <v>151</v>
      </c>
      <c r="D18" s="11" t="s">
        <v>21</v>
      </c>
      <c r="E18" s="9" t="s">
        <v>965</v>
      </c>
      <c r="F18" s="21" t="n">
        <v>46576</v>
      </c>
      <c r="G18" s="21" t="n">
        <v>46578</v>
      </c>
      <c r="H18" s="29" t="n">
        <v>46569</v>
      </c>
      <c r="I18" s="24" t="s">
        <v>427</v>
      </c>
      <c r="J18" s="30" t="s">
        <v>226</v>
      </c>
      <c r="K18" s="24" t="s">
        <v>227</v>
      </c>
      <c r="L18" s="24" t="s">
        <v>428</v>
      </c>
      <c r="M18" s="24" t="s">
        <v>362</v>
      </c>
      <c r="N18" s="24" t="s">
        <v>966</v>
      </c>
      <c r="O18" s="24" t="s">
        <v>967</v>
      </c>
      <c r="P18" s="24" t="s">
        <v>285</v>
      </c>
      <c r="Q18" s="24" t="s">
        <v>916</v>
      </c>
      <c r="R18" s="24" t="s">
        <v>907</v>
      </c>
      <c r="S18" s="28" t="s">
        <v>236</v>
      </c>
      <c r="T18" s="23" t="s">
        <v>235</v>
      </c>
      <c r="U18" s="24" t="s">
        <v>237</v>
      </c>
      <c r="V18" s="24" t="s">
        <v>239</v>
      </c>
      <c r="W18" s="24" t="s">
        <v>239</v>
      </c>
      <c r="X18" s="24" t="s">
        <v>968</v>
      </c>
      <c r="Y18" s="25" t="s">
        <v>434</v>
      </c>
    </row>
    <row r="19" customFormat="false" ht="32.8" hidden="false" customHeight="false" outlineLevel="0" collapsed="false">
      <c r="A19" s="11" t="n">
        <v>10</v>
      </c>
      <c r="B19" s="28" t="s">
        <v>131</v>
      </c>
      <c r="C19" s="26" t="s">
        <v>157</v>
      </c>
      <c r="D19" s="11" t="s">
        <v>21</v>
      </c>
      <c r="E19" s="9" t="s">
        <v>969</v>
      </c>
      <c r="F19" s="11"/>
      <c r="G19" s="11"/>
      <c r="H19" s="29" t="n">
        <v>46569</v>
      </c>
      <c r="I19" s="24" t="s">
        <v>970</v>
      </c>
      <c r="J19" s="32" t="s">
        <v>353</v>
      </c>
      <c r="K19" s="24" t="s">
        <v>971</v>
      </c>
      <c r="L19" s="24" t="s">
        <v>428</v>
      </c>
      <c r="M19" s="24" t="s">
        <v>950</v>
      </c>
      <c r="N19" s="24" t="s">
        <v>972</v>
      </c>
      <c r="O19" s="24" t="s">
        <v>973</v>
      </c>
      <c r="P19" s="24" t="s">
        <v>285</v>
      </c>
      <c r="Q19" s="24" t="s">
        <v>916</v>
      </c>
      <c r="R19" s="24" t="s">
        <v>953</v>
      </c>
      <c r="S19" s="28" t="s">
        <v>236</v>
      </c>
      <c r="T19" s="23" t="s">
        <v>235</v>
      </c>
      <c r="U19" s="24" t="s">
        <v>237</v>
      </c>
      <c r="V19" s="24" t="s">
        <v>239</v>
      </c>
      <c r="W19" s="24" t="s">
        <v>239</v>
      </c>
      <c r="X19" s="24" t="s">
        <v>974</v>
      </c>
      <c r="Y19" s="25" t="s">
        <v>975</v>
      </c>
    </row>
    <row r="20" customFormat="false" ht="22.35" hidden="false" customHeight="false" outlineLevel="0" collapsed="false">
      <c r="A20" s="11" t="n">
        <v>11</v>
      </c>
      <c r="B20" s="28" t="s">
        <v>131</v>
      </c>
      <c r="C20" s="26" t="s">
        <v>157</v>
      </c>
      <c r="D20" s="11" t="s">
        <v>21</v>
      </c>
      <c r="E20" s="9" t="s">
        <v>976</v>
      </c>
      <c r="F20" s="11"/>
      <c r="G20" s="11"/>
      <c r="H20" s="29" t="n">
        <v>46661</v>
      </c>
      <c r="I20" s="24" t="s">
        <v>352</v>
      </c>
      <c r="J20" s="32" t="s">
        <v>353</v>
      </c>
      <c r="K20" s="24" t="s">
        <v>977</v>
      </c>
      <c r="L20" s="24" t="s">
        <v>978</v>
      </c>
      <c r="M20" s="24" t="s">
        <v>979</v>
      </c>
      <c r="N20" s="24" t="s">
        <v>980</v>
      </c>
      <c r="O20" s="24" t="s">
        <v>981</v>
      </c>
      <c r="P20" s="24" t="s">
        <v>285</v>
      </c>
      <c r="Q20" s="24" t="s">
        <v>916</v>
      </c>
      <c r="R20" s="24" t="s">
        <v>953</v>
      </c>
      <c r="S20" s="28" t="s">
        <v>236</v>
      </c>
      <c r="T20" s="28" t="s">
        <v>236</v>
      </c>
      <c r="U20" s="24" t="s">
        <v>237</v>
      </c>
      <c r="V20" s="24" t="s">
        <v>239</v>
      </c>
      <c r="W20" s="24" t="s">
        <v>239</v>
      </c>
      <c r="X20" s="24" t="s">
        <v>286</v>
      </c>
      <c r="Y20" s="25" t="s">
        <v>982</v>
      </c>
    </row>
    <row r="21" customFormat="false" ht="53.7" hidden="false" customHeight="false" outlineLevel="0" collapsed="false">
      <c r="A21" s="33" t="n">
        <v>1</v>
      </c>
      <c r="B21" s="34" t="s">
        <v>129</v>
      </c>
      <c r="C21" s="44" t="s">
        <v>157</v>
      </c>
      <c r="D21" s="33" t="s">
        <v>23</v>
      </c>
      <c r="E21" s="36" t="s">
        <v>158</v>
      </c>
      <c r="F21" s="37" t="n">
        <v>46360</v>
      </c>
      <c r="G21" s="37" t="n">
        <v>46362</v>
      </c>
      <c r="H21" s="38" t="n">
        <v>46357</v>
      </c>
      <c r="I21" s="39" t="s">
        <v>159</v>
      </c>
      <c r="J21" s="45" t="s">
        <v>244</v>
      </c>
      <c r="K21" s="39" t="s">
        <v>983</v>
      </c>
      <c r="L21" s="39" t="s">
        <v>160</v>
      </c>
      <c r="M21" s="39" t="s">
        <v>984</v>
      </c>
      <c r="N21" s="39" t="s">
        <v>985</v>
      </c>
      <c r="O21" s="39" t="s">
        <v>986</v>
      </c>
      <c r="P21" s="39" t="s">
        <v>987</v>
      </c>
      <c r="Q21" s="39" t="s">
        <v>916</v>
      </c>
      <c r="R21" s="39" t="s">
        <v>988</v>
      </c>
      <c r="S21" s="40" t="s">
        <v>262</v>
      </c>
      <c r="T21" s="35" t="s">
        <v>235</v>
      </c>
      <c r="U21" s="39" t="s">
        <v>989</v>
      </c>
      <c r="V21" s="39" t="s">
        <v>238</v>
      </c>
      <c r="W21" s="39" t="s">
        <v>990</v>
      </c>
      <c r="X21" s="39" t="s">
        <v>991</v>
      </c>
      <c r="Y21" s="41" t="s">
        <v>162</v>
      </c>
    </row>
    <row r="22" customFormat="false" ht="43.25" hidden="false" customHeight="false" outlineLevel="0" collapsed="false">
      <c r="A22" s="11" t="n">
        <v>2</v>
      </c>
      <c r="B22" s="23" t="s">
        <v>130</v>
      </c>
      <c r="C22" s="23" t="s">
        <v>151</v>
      </c>
      <c r="D22" s="11" t="s">
        <v>23</v>
      </c>
      <c r="E22" s="9" t="s">
        <v>992</v>
      </c>
      <c r="F22" s="21" t="n">
        <v>46464</v>
      </c>
      <c r="G22" s="21" t="n">
        <v>46467</v>
      </c>
      <c r="H22" s="29" t="n">
        <v>46447</v>
      </c>
      <c r="I22" s="24" t="s">
        <v>379</v>
      </c>
      <c r="J22" s="31" t="s">
        <v>244</v>
      </c>
      <c r="K22" s="24" t="s">
        <v>993</v>
      </c>
      <c r="L22" s="24" t="s">
        <v>994</v>
      </c>
      <c r="M22" s="24" t="s">
        <v>362</v>
      </c>
      <c r="N22" s="24" t="s">
        <v>903</v>
      </c>
      <c r="O22" s="24" t="s">
        <v>995</v>
      </c>
      <c r="P22" s="24" t="s">
        <v>996</v>
      </c>
      <c r="Q22" s="24" t="s">
        <v>997</v>
      </c>
      <c r="R22" s="24" t="s">
        <v>988</v>
      </c>
      <c r="S22" s="28" t="s">
        <v>236</v>
      </c>
      <c r="T22" s="30" t="s">
        <v>262</v>
      </c>
      <c r="U22" s="24" t="s">
        <v>998</v>
      </c>
      <c r="V22" s="24" t="s">
        <v>239</v>
      </c>
      <c r="W22" s="24" t="s">
        <v>999</v>
      </c>
      <c r="X22" s="24" t="s">
        <v>1000</v>
      </c>
      <c r="Y22" s="25" t="s">
        <v>499</v>
      </c>
    </row>
    <row r="23" customFormat="false" ht="53.7" hidden="false" customHeight="false" outlineLevel="0" collapsed="false">
      <c r="A23" s="11" t="n">
        <v>3</v>
      </c>
      <c r="B23" s="23" t="s">
        <v>130</v>
      </c>
      <c r="C23" s="26" t="s">
        <v>157</v>
      </c>
      <c r="D23" s="11" t="s">
        <v>23</v>
      </c>
      <c r="E23" s="9" t="s">
        <v>1001</v>
      </c>
      <c r="F23" s="11"/>
      <c r="G23" s="11"/>
      <c r="H23" s="29" t="n">
        <v>46447</v>
      </c>
      <c r="I23" s="24" t="s">
        <v>390</v>
      </c>
      <c r="J23" s="32" t="s">
        <v>353</v>
      </c>
      <c r="K23" s="24" t="s">
        <v>1002</v>
      </c>
      <c r="L23" s="24" t="s">
        <v>1003</v>
      </c>
      <c r="M23" s="24" t="s">
        <v>1004</v>
      </c>
      <c r="N23" s="24" t="s">
        <v>933</v>
      </c>
      <c r="O23" s="24" t="s">
        <v>1005</v>
      </c>
      <c r="P23" s="24" t="s">
        <v>987</v>
      </c>
      <c r="Q23" s="24" t="s">
        <v>1006</v>
      </c>
      <c r="R23" s="24" t="s">
        <v>988</v>
      </c>
      <c r="S23" s="23" t="s">
        <v>235</v>
      </c>
      <c r="T23" s="30" t="s">
        <v>262</v>
      </c>
      <c r="U23" s="24" t="s">
        <v>1007</v>
      </c>
      <c r="V23" s="24" t="s">
        <v>238</v>
      </c>
      <c r="W23" s="24" t="s">
        <v>1008</v>
      </c>
      <c r="X23" s="24" t="s">
        <v>1009</v>
      </c>
      <c r="Y23" s="25" t="s">
        <v>1010</v>
      </c>
    </row>
    <row r="24" customFormat="false" ht="32.8" hidden="false" customHeight="false" outlineLevel="0" collapsed="false">
      <c r="A24" s="11" t="n">
        <v>4</v>
      </c>
      <c r="B24" s="28" t="s">
        <v>131</v>
      </c>
      <c r="C24" s="26" t="s">
        <v>157</v>
      </c>
      <c r="D24" s="11" t="s">
        <v>23</v>
      </c>
      <c r="E24" s="9" t="s">
        <v>1011</v>
      </c>
      <c r="F24" s="11"/>
      <c r="G24" s="11"/>
      <c r="H24" s="29" t="n">
        <v>46478</v>
      </c>
      <c r="I24" s="24" t="s">
        <v>1012</v>
      </c>
      <c r="J24" s="32" t="s">
        <v>353</v>
      </c>
      <c r="K24" s="24" t="s">
        <v>1013</v>
      </c>
      <c r="L24" s="24" t="s">
        <v>1014</v>
      </c>
      <c r="M24" s="24" t="s">
        <v>1015</v>
      </c>
      <c r="N24" s="24" t="s">
        <v>1016</v>
      </c>
      <c r="O24" s="24" t="s">
        <v>1017</v>
      </c>
      <c r="P24" s="24" t="s">
        <v>285</v>
      </c>
      <c r="Q24" s="24" t="s">
        <v>916</v>
      </c>
      <c r="R24" s="24" t="s">
        <v>629</v>
      </c>
      <c r="S24" s="23" t="s">
        <v>235</v>
      </c>
      <c r="T24" s="28" t="s">
        <v>236</v>
      </c>
      <c r="U24" s="24" t="s">
        <v>989</v>
      </c>
      <c r="V24" s="24" t="s">
        <v>238</v>
      </c>
      <c r="W24" s="24" t="s">
        <v>239</v>
      </c>
      <c r="X24" s="24" t="s">
        <v>286</v>
      </c>
      <c r="Y24" s="25" t="s">
        <v>1018</v>
      </c>
    </row>
    <row r="25" customFormat="false" ht="32.8" hidden="false" customHeight="false" outlineLevel="0" collapsed="false">
      <c r="A25" s="11" t="n">
        <v>5</v>
      </c>
      <c r="B25" s="28" t="s">
        <v>131</v>
      </c>
      <c r="C25" s="26" t="s">
        <v>157</v>
      </c>
      <c r="D25" s="11" t="s">
        <v>23</v>
      </c>
      <c r="E25" s="9" t="s">
        <v>1019</v>
      </c>
      <c r="F25" s="11"/>
      <c r="G25" s="11"/>
      <c r="H25" s="29" t="n">
        <v>46478</v>
      </c>
      <c r="I25" s="24" t="s">
        <v>518</v>
      </c>
      <c r="J25" s="32" t="s">
        <v>353</v>
      </c>
      <c r="K25" s="24" t="s">
        <v>1020</v>
      </c>
      <c r="L25" s="24" t="s">
        <v>1021</v>
      </c>
      <c r="M25" s="24" t="s">
        <v>1022</v>
      </c>
      <c r="N25" s="24" t="s">
        <v>958</v>
      </c>
      <c r="O25" s="24" t="s">
        <v>1023</v>
      </c>
      <c r="P25" s="24" t="s">
        <v>285</v>
      </c>
      <c r="Q25" s="24" t="s">
        <v>916</v>
      </c>
      <c r="R25" s="24" t="s">
        <v>629</v>
      </c>
      <c r="S25" s="23" t="s">
        <v>235</v>
      </c>
      <c r="T25" s="28" t="s">
        <v>236</v>
      </c>
      <c r="U25" s="24" t="s">
        <v>836</v>
      </c>
      <c r="V25" s="24" t="s">
        <v>238</v>
      </c>
      <c r="W25" s="24" t="s">
        <v>239</v>
      </c>
      <c r="X25" s="24" t="s">
        <v>286</v>
      </c>
      <c r="Y25" s="25" t="s">
        <v>1024</v>
      </c>
    </row>
    <row r="26" customFormat="false" ht="22.35" hidden="false" customHeight="false" outlineLevel="0" collapsed="false">
      <c r="A26" s="11" t="n">
        <v>6</v>
      </c>
      <c r="B26" s="28" t="s">
        <v>131</v>
      </c>
      <c r="C26" s="26" t="s">
        <v>157</v>
      </c>
      <c r="D26" s="11" t="s">
        <v>23</v>
      </c>
      <c r="E26" s="9" t="s">
        <v>1025</v>
      </c>
      <c r="F26" s="11"/>
      <c r="G26" s="11"/>
      <c r="H26" s="29" t="n">
        <v>46508</v>
      </c>
      <c r="I26" s="24" t="s">
        <v>1026</v>
      </c>
      <c r="J26" s="32" t="s">
        <v>353</v>
      </c>
      <c r="K26" s="24" t="s">
        <v>1027</v>
      </c>
      <c r="L26" s="24" t="s">
        <v>1028</v>
      </c>
      <c r="M26" s="24" t="s">
        <v>912</v>
      </c>
      <c r="N26" s="24" t="s">
        <v>1029</v>
      </c>
      <c r="O26" s="24" t="s">
        <v>1030</v>
      </c>
      <c r="P26" s="24" t="s">
        <v>285</v>
      </c>
      <c r="Q26" s="24" t="s">
        <v>916</v>
      </c>
      <c r="R26" s="24" t="s">
        <v>1031</v>
      </c>
      <c r="S26" s="28" t="s">
        <v>236</v>
      </c>
      <c r="T26" s="23" t="s">
        <v>235</v>
      </c>
      <c r="U26" s="24" t="s">
        <v>1032</v>
      </c>
      <c r="V26" s="24" t="s">
        <v>239</v>
      </c>
      <c r="W26" s="24" t="s">
        <v>239</v>
      </c>
      <c r="X26" s="24" t="s">
        <v>1033</v>
      </c>
      <c r="Y26" s="25" t="s">
        <v>1034</v>
      </c>
    </row>
    <row r="27" customFormat="false" ht="64.15" hidden="false" customHeight="false" outlineLevel="0" collapsed="false">
      <c r="A27" s="11" t="n">
        <v>7</v>
      </c>
      <c r="B27" s="22" t="s">
        <v>129</v>
      </c>
      <c r="C27" s="26" t="s">
        <v>157</v>
      </c>
      <c r="D27" s="11" t="s">
        <v>23</v>
      </c>
      <c r="E27" s="9" t="s">
        <v>1035</v>
      </c>
      <c r="F27" s="21" t="n">
        <v>46542</v>
      </c>
      <c r="G27" s="21" t="n">
        <v>46544</v>
      </c>
      <c r="H27" s="29" t="n">
        <v>46539</v>
      </c>
      <c r="I27" s="24" t="s">
        <v>1036</v>
      </c>
      <c r="J27" s="31" t="s">
        <v>244</v>
      </c>
      <c r="K27" s="24" t="s">
        <v>1037</v>
      </c>
      <c r="L27" s="24" t="s">
        <v>170</v>
      </c>
      <c r="M27" s="24" t="s">
        <v>1038</v>
      </c>
      <c r="N27" s="24" t="s">
        <v>1039</v>
      </c>
      <c r="O27" s="24" t="s">
        <v>1040</v>
      </c>
      <c r="P27" s="24" t="s">
        <v>1041</v>
      </c>
      <c r="Q27" s="24" t="s">
        <v>1042</v>
      </c>
      <c r="R27" s="24" t="s">
        <v>988</v>
      </c>
      <c r="S27" s="30" t="s">
        <v>262</v>
      </c>
      <c r="T27" s="30" t="s">
        <v>262</v>
      </c>
      <c r="U27" s="24" t="s">
        <v>1043</v>
      </c>
      <c r="V27" s="24" t="s">
        <v>238</v>
      </c>
      <c r="W27" s="24" t="s">
        <v>1044</v>
      </c>
      <c r="X27" s="24" t="s">
        <v>1045</v>
      </c>
      <c r="Y27" s="25" t="s">
        <v>1046</v>
      </c>
    </row>
    <row r="28" customFormat="false" ht="53.7" hidden="false" customHeight="false" outlineLevel="0" collapsed="false">
      <c r="A28" s="11" t="n">
        <v>8</v>
      </c>
      <c r="B28" s="23" t="s">
        <v>130</v>
      </c>
      <c r="C28" s="26" t="s">
        <v>157</v>
      </c>
      <c r="D28" s="11" t="s">
        <v>23</v>
      </c>
      <c r="E28" s="9" t="s">
        <v>1047</v>
      </c>
      <c r="F28" s="11"/>
      <c r="G28" s="11"/>
      <c r="H28" s="29" t="n">
        <v>46631</v>
      </c>
      <c r="I28" s="24" t="s">
        <v>445</v>
      </c>
      <c r="J28" s="32" t="s">
        <v>353</v>
      </c>
      <c r="K28" s="24" t="s">
        <v>1048</v>
      </c>
      <c r="L28" s="24" t="s">
        <v>1003</v>
      </c>
      <c r="M28" s="24" t="s">
        <v>1004</v>
      </c>
      <c r="N28" s="24" t="s">
        <v>933</v>
      </c>
      <c r="O28" s="24" t="s">
        <v>1049</v>
      </c>
      <c r="P28" s="24" t="s">
        <v>987</v>
      </c>
      <c r="Q28" s="24" t="s">
        <v>1006</v>
      </c>
      <c r="R28" s="24" t="s">
        <v>988</v>
      </c>
      <c r="S28" s="23" t="s">
        <v>235</v>
      </c>
      <c r="T28" s="30" t="s">
        <v>262</v>
      </c>
      <c r="U28" s="24" t="s">
        <v>1007</v>
      </c>
      <c r="V28" s="24" t="s">
        <v>238</v>
      </c>
      <c r="W28" s="24" t="s">
        <v>239</v>
      </c>
      <c r="X28" s="24" t="s">
        <v>1050</v>
      </c>
      <c r="Y28" s="25" t="s">
        <v>1010</v>
      </c>
    </row>
    <row r="29" customFormat="false" ht="53.7" hidden="false" customHeight="false" outlineLevel="0" collapsed="false">
      <c r="A29" s="11" t="n">
        <v>9</v>
      </c>
      <c r="B29" s="23" t="s">
        <v>130</v>
      </c>
      <c r="C29" s="26" t="s">
        <v>157</v>
      </c>
      <c r="D29" s="11" t="s">
        <v>23</v>
      </c>
      <c r="E29" s="9" t="s">
        <v>1051</v>
      </c>
      <c r="F29" s="11"/>
      <c r="G29" s="11"/>
      <c r="H29" s="29" t="n">
        <v>46661</v>
      </c>
      <c r="I29" s="24" t="s">
        <v>1052</v>
      </c>
      <c r="J29" s="32" t="s">
        <v>353</v>
      </c>
      <c r="K29" s="24" t="s">
        <v>1053</v>
      </c>
      <c r="L29" s="24" t="s">
        <v>1054</v>
      </c>
      <c r="M29" s="24" t="s">
        <v>1055</v>
      </c>
      <c r="N29" s="24" t="s">
        <v>1056</v>
      </c>
      <c r="O29" s="24" t="s">
        <v>1057</v>
      </c>
      <c r="P29" s="24" t="s">
        <v>987</v>
      </c>
      <c r="Q29" s="24" t="s">
        <v>1006</v>
      </c>
      <c r="R29" s="24" t="s">
        <v>988</v>
      </c>
      <c r="S29" s="23" t="s">
        <v>235</v>
      </c>
      <c r="T29" s="30" t="s">
        <v>262</v>
      </c>
      <c r="U29" s="24" t="s">
        <v>237</v>
      </c>
      <c r="V29" s="24" t="s">
        <v>238</v>
      </c>
      <c r="W29" s="24" t="s">
        <v>239</v>
      </c>
      <c r="X29" s="24" t="s">
        <v>1058</v>
      </c>
      <c r="Y29" s="25" t="s">
        <v>1059</v>
      </c>
    </row>
    <row r="30" customFormat="false" ht="53.7" hidden="false" customHeight="false" outlineLevel="0" collapsed="false">
      <c r="A30" s="11" t="n">
        <v>10</v>
      </c>
      <c r="B30" s="23" t="s">
        <v>130</v>
      </c>
      <c r="C30" s="26" t="s">
        <v>157</v>
      </c>
      <c r="D30" s="11" t="s">
        <v>23</v>
      </c>
      <c r="E30" s="9" t="s">
        <v>1060</v>
      </c>
      <c r="F30" s="11"/>
      <c r="G30" s="11"/>
      <c r="H30" s="29" t="n">
        <v>46692</v>
      </c>
      <c r="I30" s="24" t="s">
        <v>1061</v>
      </c>
      <c r="J30" s="32" t="s">
        <v>353</v>
      </c>
      <c r="K30" s="24" t="s">
        <v>1062</v>
      </c>
      <c r="L30" s="24" t="s">
        <v>1063</v>
      </c>
      <c r="M30" s="24" t="s">
        <v>1064</v>
      </c>
      <c r="N30" s="24" t="s">
        <v>1065</v>
      </c>
      <c r="O30" s="24" t="s">
        <v>1066</v>
      </c>
      <c r="P30" s="24" t="s">
        <v>987</v>
      </c>
      <c r="Q30" s="24" t="s">
        <v>916</v>
      </c>
      <c r="R30" s="24" t="s">
        <v>988</v>
      </c>
      <c r="S30" s="23" t="s">
        <v>235</v>
      </c>
      <c r="T30" s="23" t="s">
        <v>235</v>
      </c>
      <c r="U30" s="24" t="s">
        <v>237</v>
      </c>
      <c r="V30" s="24" t="s">
        <v>238</v>
      </c>
      <c r="W30" s="24" t="s">
        <v>239</v>
      </c>
      <c r="X30" s="24" t="s">
        <v>1067</v>
      </c>
      <c r="Y30" s="25" t="s">
        <v>1068</v>
      </c>
    </row>
    <row r="31" customFormat="false" ht="22.35" hidden="false" customHeight="false" outlineLevel="0" collapsed="false">
      <c r="A31" s="11" t="n">
        <v>11</v>
      </c>
      <c r="B31" s="28" t="s">
        <v>131</v>
      </c>
      <c r="C31" s="26" t="s">
        <v>157</v>
      </c>
      <c r="D31" s="11" t="s">
        <v>23</v>
      </c>
      <c r="E31" s="9" t="s">
        <v>1069</v>
      </c>
      <c r="F31" s="11"/>
      <c r="G31" s="11"/>
      <c r="H31" s="29" t="n">
        <v>46692</v>
      </c>
      <c r="I31" s="24" t="s">
        <v>1061</v>
      </c>
      <c r="J31" s="32" t="s">
        <v>353</v>
      </c>
      <c r="K31" s="24" t="s">
        <v>1070</v>
      </c>
      <c r="L31" s="24" t="s">
        <v>1028</v>
      </c>
      <c r="M31" s="24" t="s">
        <v>912</v>
      </c>
      <c r="N31" s="24" t="s">
        <v>1071</v>
      </c>
      <c r="O31" s="24" t="s">
        <v>1072</v>
      </c>
      <c r="P31" s="24" t="s">
        <v>285</v>
      </c>
      <c r="Q31" s="24" t="s">
        <v>916</v>
      </c>
      <c r="R31" s="24" t="s">
        <v>1031</v>
      </c>
      <c r="S31" s="28" t="s">
        <v>236</v>
      </c>
      <c r="T31" s="23" t="s">
        <v>235</v>
      </c>
      <c r="U31" s="24" t="s">
        <v>1073</v>
      </c>
      <c r="V31" s="24" t="s">
        <v>239</v>
      </c>
      <c r="W31" s="24" t="s">
        <v>239</v>
      </c>
      <c r="X31" s="24" t="s">
        <v>286</v>
      </c>
      <c r="Y31" s="25" t="s">
        <v>1034</v>
      </c>
    </row>
    <row r="32" customFormat="false" ht="32.8" hidden="false" customHeight="false" outlineLevel="0" collapsed="false">
      <c r="A32" s="11" t="n">
        <v>12</v>
      </c>
      <c r="B32" s="28" t="s">
        <v>131</v>
      </c>
      <c r="C32" s="26" t="s">
        <v>157</v>
      </c>
      <c r="D32" s="11" t="s">
        <v>23</v>
      </c>
      <c r="E32" s="9" t="s">
        <v>1074</v>
      </c>
      <c r="F32" s="11"/>
      <c r="G32" s="11"/>
      <c r="H32" s="29" t="n">
        <v>46692</v>
      </c>
      <c r="I32" s="24" t="s">
        <v>1061</v>
      </c>
      <c r="J32" s="32" t="s">
        <v>353</v>
      </c>
      <c r="K32" s="24" t="s">
        <v>1075</v>
      </c>
      <c r="L32" s="24" t="s">
        <v>1076</v>
      </c>
      <c r="M32" s="24" t="s">
        <v>1077</v>
      </c>
      <c r="N32" s="24" t="s">
        <v>1016</v>
      </c>
      <c r="O32" s="24" t="s">
        <v>1078</v>
      </c>
      <c r="P32" s="24" t="s">
        <v>285</v>
      </c>
      <c r="Q32" s="24" t="s">
        <v>916</v>
      </c>
      <c r="R32" s="24" t="s">
        <v>629</v>
      </c>
      <c r="S32" s="23" t="s">
        <v>235</v>
      </c>
      <c r="T32" s="28" t="s">
        <v>236</v>
      </c>
      <c r="U32" s="24" t="s">
        <v>989</v>
      </c>
      <c r="V32" s="24" t="s">
        <v>238</v>
      </c>
      <c r="W32" s="24" t="s">
        <v>239</v>
      </c>
      <c r="X32" s="24" t="s">
        <v>286</v>
      </c>
      <c r="Y32" s="25" t="s">
        <v>1018</v>
      </c>
    </row>
    <row r="33" customFormat="false" ht="53.7" hidden="false" customHeight="false" outlineLevel="0" collapsed="false">
      <c r="A33" s="33" t="n">
        <v>1</v>
      </c>
      <c r="B33" s="35" t="s">
        <v>130</v>
      </c>
      <c r="C33" s="44" t="s">
        <v>157</v>
      </c>
      <c r="D33" s="33" t="s">
        <v>25</v>
      </c>
      <c r="E33" s="36" t="s">
        <v>173</v>
      </c>
      <c r="F33" s="37" t="n">
        <v>46361</v>
      </c>
      <c r="G33" s="37" t="n">
        <v>46362</v>
      </c>
      <c r="H33" s="38" t="n">
        <v>46357</v>
      </c>
      <c r="I33" s="39" t="s">
        <v>165</v>
      </c>
      <c r="J33" s="40" t="s">
        <v>226</v>
      </c>
      <c r="K33" s="39" t="s">
        <v>226</v>
      </c>
      <c r="L33" s="39" t="s">
        <v>174</v>
      </c>
      <c r="M33" s="39" t="s">
        <v>1079</v>
      </c>
      <c r="N33" s="39" t="s">
        <v>1080</v>
      </c>
      <c r="O33" s="39" t="s">
        <v>1081</v>
      </c>
      <c r="P33" s="39" t="s">
        <v>1082</v>
      </c>
      <c r="Q33" s="39" t="s">
        <v>1083</v>
      </c>
      <c r="R33" s="39" t="s">
        <v>1084</v>
      </c>
      <c r="S33" s="40" t="s">
        <v>262</v>
      </c>
      <c r="T33" s="35" t="s">
        <v>235</v>
      </c>
      <c r="U33" s="39" t="s">
        <v>1085</v>
      </c>
      <c r="V33" s="39" t="s">
        <v>238</v>
      </c>
      <c r="W33" s="39" t="s">
        <v>1086</v>
      </c>
      <c r="X33" s="39" t="s">
        <v>1087</v>
      </c>
      <c r="Y33" s="41" t="s">
        <v>176</v>
      </c>
    </row>
    <row r="34" customFormat="false" ht="22.35" hidden="false" customHeight="false" outlineLevel="0" collapsed="false">
      <c r="A34" s="11" t="n">
        <v>2</v>
      </c>
      <c r="B34" s="28" t="s">
        <v>131</v>
      </c>
      <c r="C34" s="26" t="s">
        <v>157</v>
      </c>
      <c r="D34" s="11" t="s">
        <v>25</v>
      </c>
      <c r="E34" s="9" t="s">
        <v>196</v>
      </c>
      <c r="F34" s="21" t="n">
        <v>46372</v>
      </c>
      <c r="G34" s="21" t="n">
        <v>46372</v>
      </c>
      <c r="H34" s="29" t="n">
        <v>46357</v>
      </c>
      <c r="I34" s="24" t="s">
        <v>197</v>
      </c>
      <c r="J34" s="30" t="s">
        <v>226</v>
      </c>
      <c r="K34" s="24" t="s">
        <v>1088</v>
      </c>
      <c r="L34" s="24" t="s">
        <v>198</v>
      </c>
      <c r="M34" s="24" t="s">
        <v>1089</v>
      </c>
      <c r="N34" s="24" t="s">
        <v>1090</v>
      </c>
      <c r="O34" s="24" t="s">
        <v>1091</v>
      </c>
      <c r="P34" s="24" t="s">
        <v>1092</v>
      </c>
      <c r="Q34" s="24" t="s">
        <v>916</v>
      </c>
      <c r="R34" s="24" t="s">
        <v>348</v>
      </c>
      <c r="S34" s="23" t="s">
        <v>235</v>
      </c>
      <c r="T34" s="28" t="s">
        <v>236</v>
      </c>
      <c r="U34" s="24" t="s">
        <v>848</v>
      </c>
      <c r="V34" s="24" t="s">
        <v>837</v>
      </c>
      <c r="W34" s="24" t="s">
        <v>1093</v>
      </c>
      <c r="X34" s="24" t="s">
        <v>1094</v>
      </c>
      <c r="Y34" s="25" t="s">
        <v>200</v>
      </c>
    </row>
    <row r="35" customFormat="false" ht="53.7" hidden="false" customHeight="false" outlineLevel="0" collapsed="false">
      <c r="A35" s="11" t="n">
        <v>3</v>
      </c>
      <c r="B35" s="23" t="s">
        <v>130</v>
      </c>
      <c r="C35" s="26" t="s">
        <v>157</v>
      </c>
      <c r="D35" s="11" t="s">
        <v>25</v>
      </c>
      <c r="E35" s="9" t="s">
        <v>201</v>
      </c>
      <c r="F35" s="21" t="n">
        <v>46374</v>
      </c>
      <c r="G35" s="21" t="n">
        <v>46376</v>
      </c>
      <c r="H35" s="29" t="n">
        <v>46357</v>
      </c>
      <c r="I35" s="24" t="s">
        <v>202</v>
      </c>
      <c r="J35" s="30" t="s">
        <v>226</v>
      </c>
      <c r="K35" s="24" t="s">
        <v>226</v>
      </c>
      <c r="L35" s="24" t="s">
        <v>203</v>
      </c>
      <c r="M35" s="24" t="s">
        <v>1095</v>
      </c>
      <c r="N35" s="24" t="s">
        <v>1096</v>
      </c>
      <c r="O35" s="24" t="s">
        <v>1097</v>
      </c>
      <c r="P35" s="24" t="s">
        <v>1082</v>
      </c>
      <c r="Q35" s="24" t="s">
        <v>916</v>
      </c>
      <c r="R35" s="24" t="s">
        <v>1084</v>
      </c>
      <c r="S35" s="23" t="s">
        <v>235</v>
      </c>
      <c r="T35" s="23" t="s">
        <v>235</v>
      </c>
      <c r="U35" s="24" t="s">
        <v>1085</v>
      </c>
      <c r="V35" s="24" t="s">
        <v>238</v>
      </c>
      <c r="W35" s="24" t="s">
        <v>1098</v>
      </c>
      <c r="X35" s="24" t="s">
        <v>1099</v>
      </c>
      <c r="Y35" s="25" t="s">
        <v>205</v>
      </c>
    </row>
    <row r="36" customFormat="false" ht="53.7" hidden="false" customHeight="false" outlineLevel="0" collapsed="false">
      <c r="A36" s="11" t="n">
        <v>4</v>
      </c>
      <c r="B36" s="28" t="s">
        <v>131</v>
      </c>
      <c r="C36" s="26" t="s">
        <v>157</v>
      </c>
      <c r="D36" s="11" t="s">
        <v>25</v>
      </c>
      <c r="E36" s="9" t="s">
        <v>1100</v>
      </c>
      <c r="F36" s="21" t="n">
        <v>46417</v>
      </c>
      <c r="G36" s="21" t="n">
        <v>46418</v>
      </c>
      <c r="H36" s="29" t="n">
        <v>46388</v>
      </c>
      <c r="I36" s="24" t="s">
        <v>1101</v>
      </c>
      <c r="J36" s="30" t="s">
        <v>226</v>
      </c>
      <c r="K36" s="24" t="s">
        <v>226</v>
      </c>
      <c r="L36" s="24" t="s">
        <v>1102</v>
      </c>
      <c r="M36" s="24" t="s">
        <v>371</v>
      </c>
      <c r="N36" s="24" t="s">
        <v>1103</v>
      </c>
      <c r="O36" s="24" t="s">
        <v>1104</v>
      </c>
      <c r="P36" s="24" t="s">
        <v>1082</v>
      </c>
      <c r="Q36" s="24" t="s">
        <v>916</v>
      </c>
      <c r="R36" s="24" t="s">
        <v>1084</v>
      </c>
      <c r="S36" s="23" t="s">
        <v>235</v>
      </c>
      <c r="T36" s="28" t="s">
        <v>236</v>
      </c>
      <c r="U36" s="24" t="s">
        <v>1085</v>
      </c>
      <c r="V36" s="24" t="s">
        <v>238</v>
      </c>
      <c r="W36" s="24" t="s">
        <v>239</v>
      </c>
      <c r="X36" s="24" t="s">
        <v>1105</v>
      </c>
      <c r="Y36" s="25" t="s">
        <v>1106</v>
      </c>
    </row>
    <row r="37" customFormat="false" ht="53.7" hidden="false" customHeight="false" outlineLevel="0" collapsed="false">
      <c r="A37" s="11" t="n">
        <v>5</v>
      </c>
      <c r="B37" s="22" t="s">
        <v>129</v>
      </c>
      <c r="C37" s="26" t="s">
        <v>157</v>
      </c>
      <c r="D37" s="11" t="s">
        <v>25</v>
      </c>
      <c r="E37" s="9" t="s">
        <v>1107</v>
      </c>
      <c r="F37" s="21" t="n">
        <v>46437</v>
      </c>
      <c r="G37" s="21" t="n">
        <v>46439</v>
      </c>
      <c r="H37" s="29" t="n">
        <v>46419</v>
      </c>
      <c r="I37" s="24" t="s">
        <v>1108</v>
      </c>
      <c r="J37" s="30" t="s">
        <v>226</v>
      </c>
      <c r="K37" s="24" t="s">
        <v>226</v>
      </c>
      <c r="L37" s="24" t="s">
        <v>1109</v>
      </c>
      <c r="M37" s="24" t="s">
        <v>1110</v>
      </c>
      <c r="N37" s="24" t="s">
        <v>1111</v>
      </c>
      <c r="O37" s="24" t="s">
        <v>1112</v>
      </c>
      <c r="P37" s="24" t="s">
        <v>1113</v>
      </c>
      <c r="Q37" s="24" t="s">
        <v>1114</v>
      </c>
      <c r="R37" s="24" t="s">
        <v>1084</v>
      </c>
      <c r="S37" s="30" t="s">
        <v>262</v>
      </c>
      <c r="T37" s="23" t="s">
        <v>235</v>
      </c>
      <c r="U37" s="24" t="s">
        <v>1115</v>
      </c>
      <c r="V37" s="24" t="s">
        <v>1116</v>
      </c>
      <c r="W37" s="24" t="s">
        <v>1117</v>
      </c>
      <c r="X37" s="24" t="s">
        <v>1118</v>
      </c>
      <c r="Y37" s="25" t="s">
        <v>1119</v>
      </c>
    </row>
    <row r="38" customFormat="false" ht="53.7" hidden="false" customHeight="false" outlineLevel="0" collapsed="false">
      <c r="A38" s="11" t="n">
        <v>6</v>
      </c>
      <c r="B38" s="23" t="s">
        <v>130</v>
      </c>
      <c r="C38" s="26" t="s">
        <v>157</v>
      </c>
      <c r="D38" s="11" t="s">
        <v>25</v>
      </c>
      <c r="E38" s="9" t="s">
        <v>1120</v>
      </c>
      <c r="F38" s="21" t="n">
        <v>46445</v>
      </c>
      <c r="G38" s="21" t="n">
        <v>46446</v>
      </c>
      <c r="H38" s="29" t="n">
        <v>46419</v>
      </c>
      <c r="I38" s="24" t="s">
        <v>1121</v>
      </c>
      <c r="J38" s="30" t="s">
        <v>226</v>
      </c>
      <c r="K38" s="24" t="s">
        <v>1122</v>
      </c>
      <c r="L38" s="24" t="s">
        <v>1123</v>
      </c>
      <c r="M38" s="24" t="s">
        <v>1124</v>
      </c>
      <c r="N38" s="24" t="s">
        <v>1125</v>
      </c>
      <c r="O38" s="24" t="s">
        <v>1126</v>
      </c>
      <c r="P38" s="24" t="s">
        <v>1127</v>
      </c>
      <c r="Q38" s="24" t="s">
        <v>1128</v>
      </c>
      <c r="R38" s="24" t="s">
        <v>1084</v>
      </c>
      <c r="S38" s="23" t="s">
        <v>235</v>
      </c>
      <c r="T38" s="23" t="s">
        <v>235</v>
      </c>
      <c r="U38" s="24" t="s">
        <v>1129</v>
      </c>
      <c r="V38" s="24" t="s">
        <v>238</v>
      </c>
      <c r="W38" s="24" t="s">
        <v>239</v>
      </c>
      <c r="X38" s="24" t="s">
        <v>1130</v>
      </c>
      <c r="Y38" s="25" t="s">
        <v>1131</v>
      </c>
    </row>
    <row r="39" customFormat="false" ht="53.7" hidden="false" customHeight="false" outlineLevel="0" collapsed="false">
      <c r="A39" s="11" t="n">
        <v>7</v>
      </c>
      <c r="B39" s="28" t="s">
        <v>131</v>
      </c>
      <c r="C39" s="26" t="s">
        <v>157</v>
      </c>
      <c r="D39" s="11" t="s">
        <v>25</v>
      </c>
      <c r="E39" s="9" t="s">
        <v>1132</v>
      </c>
      <c r="F39" s="21" t="n">
        <v>46446</v>
      </c>
      <c r="G39" s="21" t="n">
        <v>46446</v>
      </c>
      <c r="H39" s="29" t="n">
        <v>46419</v>
      </c>
      <c r="I39" s="24" t="s">
        <v>1133</v>
      </c>
      <c r="J39" s="30" t="s">
        <v>226</v>
      </c>
      <c r="K39" s="24" t="s">
        <v>1134</v>
      </c>
      <c r="L39" s="24" t="s">
        <v>1135</v>
      </c>
      <c r="M39" s="24" t="s">
        <v>1136</v>
      </c>
      <c r="N39" s="24" t="s">
        <v>933</v>
      </c>
      <c r="O39" s="24" t="s">
        <v>1137</v>
      </c>
      <c r="P39" s="24" t="s">
        <v>1082</v>
      </c>
      <c r="Q39" s="24" t="s">
        <v>916</v>
      </c>
      <c r="R39" s="24" t="s">
        <v>1084</v>
      </c>
      <c r="S39" s="28" t="s">
        <v>236</v>
      </c>
      <c r="T39" s="23" t="s">
        <v>235</v>
      </c>
      <c r="U39" s="24" t="s">
        <v>989</v>
      </c>
      <c r="V39" s="24" t="s">
        <v>238</v>
      </c>
      <c r="W39" s="24" t="s">
        <v>239</v>
      </c>
      <c r="X39" s="24" t="s">
        <v>1138</v>
      </c>
      <c r="Y39" s="25" t="s">
        <v>1139</v>
      </c>
    </row>
    <row r="40" customFormat="false" ht="53.7" hidden="false" customHeight="false" outlineLevel="0" collapsed="false">
      <c r="A40" s="11" t="n">
        <v>8</v>
      </c>
      <c r="B40" s="28" t="s">
        <v>131</v>
      </c>
      <c r="C40" s="26" t="s">
        <v>157</v>
      </c>
      <c r="D40" s="11" t="s">
        <v>25</v>
      </c>
      <c r="E40" s="9" t="s">
        <v>1140</v>
      </c>
      <c r="F40" s="21" t="n">
        <v>46467</v>
      </c>
      <c r="G40" s="21" t="n">
        <v>46467</v>
      </c>
      <c r="H40" s="29" t="n">
        <v>46447</v>
      </c>
      <c r="I40" s="24" t="s">
        <v>1141</v>
      </c>
      <c r="J40" s="30" t="s">
        <v>226</v>
      </c>
      <c r="K40" s="24" t="s">
        <v>1134</v>
      </c>
      <c r="L40" s="24" t="s">
        <v>174</v>
      </c>
      <c r="M40" s="24" t="s">
        <v>1136</v>
      </c>
      <c r="N40" s="24" t="s">
        <v>933</v>
      </c>
      <c r="O40" s="24" t="s">
        <v>1142</v>
      </c>
      <c r="P40" s="24" t="s">
        <v>1082</v>
      </c>
      <c r="Q40" s="24" t="s">
        <v>916</v>
      </c>
      <c r="R40" s="24" t="s">
        <v>1084</v>
      </c>
      <c r="S40" s="28" t="s">
        <v>236</v>
      </c>
      <c r="T40" s="23" t="s">
        <v>235</v>
      </c>
      <c r="U40" s="24" t="s">
        <v>989</v>
      </c>
      <c r="V40" s="24" t="s">
        <v>238</v>
      </c>
      <c r="W40" s="24" t="s">
        <v>239</v>
      </c>
      <c r="X40" s="24" t="s">
        <v>1143</v>
      </c>
      <c r="Y40" s="25" t="s">
        <v>1144</v>
      </c>
    </row>
    <row r="41" customFormat="false" ht="53.7" hidden="false" customHeight="false" outlineLevel="0" collapsed="false">
      <c r="A41" s="11" t="n">
        <v>9</v>
      </c>
      <c r="B41" s="28" t="s">
        <v>131</v>
      </c>
      <c r="C41" s="26" t="s">
        <v>157</v>
      </c>
      <c r="D41" s="11" t="s">
        <v>25</v>
      </c>
      <c r="E41" s="9" t="s">
        <v>1145</v>
      </c>
      <c r="F41" s="21" t="n">
        <v>46474</v>
      </c>
      <c r="G41" s="21" t="n">
        <v>46474</v>
      </c>
      <c r="H41" s="29" t="n">
        <v>46447</v>
      </c>
      <c r="I41" s="24" t="s">
        <v>1146</v>
      </c>
      <c r="J41" s="30" t="s">
        <v>226</v>
      </c>
      <c r="K41" s="24" t="s">
        <v>1134</v>
      </c>
      <c r="L41" s="24" t="s">
        <v>1147</v>
      </c>
      <c r="M41" s="24" t="s">
        <v>1136</v>
      </c>
      <c r="N41" s="24" t="s">
        <v>1148</v>
      </c>
      <c r="O41" s="24" t="s">
        <v>1149</v>
      </c>
      <c r="P41" s="24" t="s">
        <v>1082</v>
      </c>
      <c r="Q41" s="24" t="s">
        <v>916</v>
      </c>
      <c r="R41" s="24" t="s">
        <v>1084</v>
      </c>
      <c r="S41" s="28" t="s">
        <v>236</v>
      </c>
      <c r="T41" s="23" t="s">
        <v>235</v>
      </c>
      <c r="U41" s="24" t="s">
        <v>989</v>
      </c>
      <c r="V41" s="24" t="s">
        <v>238</v>
      </c>
      <c r="W41" s="24" t="s">
        <v>239</v>
      </c>
      <c r="X41" s="24" t="s">
        <v>286</v>
      </c>
      <c r="Y41" s="25" t="s">
        <v>1150</v>
      </c>
    </row>
    <row r="42" customFormat="false" ht="53.7" hidden="false" customHeight="false" outlineLevel="0" collapsed="false">
      <c r="A42" s="11" t="n">
        <v>10</v>
      </c>
      <c r="B42" s="28" t="s">
        <v>131</v>
      </c>
      <c r="C42" s="26" t="s">
        <v>157</v>
      </c>
      <c r="D42" s="11" t="s">
        <v>25</v>
      </c>
      <c r="E42" s="9" t="s">
        <v>1151</v>
      </c>
      <c r="F42" s="11"/>
      <c r="G42" s="11"/>
      <c r="H42" s="29" t="n">
        <v>46447</v>
      </c>
      <c r="I42" s="24" t="s">
        <v>402</v>
      </c>
      <c r="J42" s="32" t="s">
        <v>353</v>
      </c>
      <c r="K42" s="24" t="s">
        <v>1152</v>
      </c>
      <c r="L42" s="24" t="s">
        <v>1153</v>
      </c>
      <c r="M42" s="24" t="s">
        <v>1136</v>
      </c>
      <c r="N42" s="24" t="s">
        <v>933</v>
      </c>
      <c r="O42" s="24" t="s">
        <v>1154</v>
      </c>
      <c r="P42" s="24" t="s">
        <v>1082</v>
      </c>
      <c r="Q42" s="24" t="s">
        <v>916</v>
      </c>
      <c r="R42" s="24" t="s">
        <v>1084</v>
      </c>
      <c r="S42" s="28" t="s">
        <v>236</v>
      </c>
      <c r="T42" s="23" t="s">
        <v>235</v>
      </c>
      <c r="U42" s="24" t="s">
        <v>989</v>
      </c>
      <c r="V42" s="24" t="s">
        <v>238</v>
      </c>
      <c r="W42" s="24" t="s">
        <v>239</v>
      </c>
      <c r="X42" s="24" t="s">
        <v>1155</v>
      </c>
      <c r="Y42" s="25" t="s">
        <v>1156</v>
      </c>
    </row>
    <row r="43" customFormat="false" ht="53.7" hidden="false" customHeight="false" outlineLevel="0" collapsed="false">
      <c r="A43" s="11" t="n">
        <v>11</v>
      </c>
      <c r="B43" s="28" t="s">
        <v>131</v>
      </c>
      <c r="C43" s="26" t="s">
        <v>157</v>
      </c>
      <c r="D43" s="11" t="s">
        <v>25</v>
      </c>
      <c r="E43" s="9" t="s">
        <v>1157</v>
      </c>
      <c r="F43" s="11"/>
      <c r="G43" s="11"/>
      <c r="H43" s="29" t="n">
        <v>46447</v>
      </c>
      <c r="I43" s="24" t="s">
        <v>402</v>
      </c>
      <c r="J43" s="32" t="s">
        <v>353</v>
      </c>
      <c r="K43" s="24" t="s">
        <v>1158</v>
      </c>
      <c r="L43" s="24" t="s">
        <v>1159</v>
      </c>
      <c r="M43" s="24" t="s">
        <v>1136</v>
      </c>
      <c r="N43" s="24" t="s">
        <v>933</v>
      </c>
      <c r="O43" s="24" t="s">
        <v>1160</v>
      </c>
      <c r="P43" s="24" t="s">
        <v>1082</v>
      </c>
      <c r="Q43" s="24" t="s">
        <v>916</v>
      </c>
      <c r="R43" s="24" t="s">
        <v>1084</v>
      </c>
      <c r="S43" s="28" t="s">
        <v>236</v>
      </c>
      <c r="T43" s="23" t="s">
        <v>235</v>
      </c>
      <c r="U43" s="24" t="s">
        <v>989</v>
      </c>
      <c r="V43" s="24" t="s">
        <v>238</v>
      </c>
      <c r="W43" s="24" t="s">
        <v>239</v>
      </c>
      <c r="X43" s="24" t="s">
        <v>1155</v>
      </c>
      <c r="Y43" s="25" t="s">
        <v>1161</v>
      </c>
    </row>
    <row r="44" customFormat="false" ht="22.35" hidden="false" customHeight="false" outlineLevel="0" collapsed="false">
      <c r="A44" s="11" t="n">
        <v>12</v>
      </c>
      <c r="B44" s="28" t="s">
        <v>131</v>
      </c>
      <c r="C44" s="26" t="s">
        <v>157</v>
      </c>
      <c r="D44" s="11" t="s">
        <v>25</v>
      </c>
      <c r="E44" s="9" t="s">
        <v>1162</v>
      </c>
      <c r="F44" s="21" t="n">
        <v>46478</v>
      </c>
      <c r="G44" s="21" t="n">
        <v>46481</v>
      </c>
      <c r="H44" s="29" t="n">
        <v>46478</v>
      </c>
      <c r="I44" s="24" t="s">
        <v>1163</v>
      </c>
      <c r="J44" s="30" t="s">
        <v>226</v>
      </c>
      <c r="K44" s="24" t="s">
        <v>1164</v>
      </c>
      <c r="L44" s="24" t="s">
        <v>1165</v>
      </c>
      <c r="M44" s="24" t="s">
        <v>1166</v>
      </c>
      <c r="N44" s="24" t="s">
        <v>1029</v>
      </c>
      <c r="O44" s="24" t="s">
        <v>1167</v>
      </c>
      <c r="P44" s="24" t="s">
        <v>1168</v>
      </c>
      <c r="Q44" s="24" t="s">
        <v>916</v>
      </c>
      <c r="R44" s="24" t="s">
        <v>1031</v>
      </c>
      <c r="S44" s="28" t="s">
        <v>236</v>
      </c>
      <c r="T44" s="23" t="s">
        <v>235</v>
      </c>
      <c r="U44" s="24" t="s">
        <v>1169</v>
      </c>
      <c r="V44" s="24" t="s">
        <v>1170</v>
      </c>
      <c r="W44" s="24" t="s">
        <v>1171</v>
      </c>
      <c r="X44" s="24" t="s">
        <v>1172</v>
      </c>
      <c r="Y44" s="25" t="s">
        <v>1173</v>
      </c>
    </row>
    <row r="45" customFormat="false" ht="53.7" hidden="false" customHeight="false" outlineLevel="0" collapsed="false">
      <c r="A45" s="11" t="n">
        <v>13</v>
      </c>
      <c r="B45" s="23" t="s">
        <v>130</v>
      </c>
      <c r="C45" s="26" t="s">
        <v>157</v>
      </c>
      <c r="D45" s="11" t="s">
        <v>25</v>
      </c>
      <c r="E45" s="9" t="s">
        <v>1174</v>
      </c>
      <c r="F45" s="11"/>
      <c r="G45" s="11"/>
      <c r="H45" s="29" t="n">
        <v>46478</v>
      </c>
      <c r="I45" s="24" t="s">
        <v>518</v>
      </c>
      <c r="J45" s="32" t="s">
        <v>353</v>
      </c>
      <c r="K45" s="24" t="s">
        <v>1175</v>
      </c>
      <c r="L45" s="24" t="s">
        <v>1176</v>
      </c>
      <c r="M45" s="24" t="s">
        <v>371</v>
      </c>
      <c r="N45" s="24" t="s">
        <v>1177</v>
      </c>
      <c r="O45" s="24" t="s">
        <v>1178</v>
      </c>
      <c r="P45" s="24" t="s">
        <v>1082</v>
      </c>
      <c r="Q45" s="24" t="s">
        <v>916</v>
      </c>
      <c r="R45" s="24" t="s">
        <v>1084</v>
      </c>
      <c r="S45" s="30" t="s">
        <v>262</v>
      </c>
      <c r="T45" s="28" t="s">
        <v>236</v>
      </c>
      <c r="U45" s="24" t="s">
        <v>989</v>
      </c>
      <c r="V45" s="24" t="s">
        <v>238</v>
      </c>
      <c r="W45" s="24" t="s">
        <v>239</v>
      </c>
      <c r="X45" s="24" t="s">
        <v>1179</v>
      </c>
      <c r="Y45" s="25" t="s">
        <v>1180</v>
      </c>
    </row>
    <row r="46" customFormat="false" ht="22.35" hidden="false" customHeight="false" outlineLevel="0" collapsed="false">
      <c r="A46" s="11" t="n">
        <v>14</v>
      </c>
      <c r="B46" s="28" t="s">
        <v>131</v>
      </c>
      <c r="C46" s="26" t="s">
        <v>157</v>
      </c>
      <c r="D46" s="11" t="s">
        <v>25</v>
      </c>
      <c r="E46" s="9" t="s">
        <v>1181</v>
      </c>
      <c r="F46" s="21" t="n">
        <v>46549</v>
      </c>
      <c r="G46" s="21" t="n">
        <v>46551</v>
      </c>
      <c r="H46" s="29" t="n">
        <v>46539</v>
      </c>
      <c r="I46" s="24" t="s">
        <v>1182</v>
      </c>
      <c r="J46" s="30" t="s">
        <v>226</v>
      </c>
      <c r="K46" s="24" t="s">
        <v>226</v>
      </c>
      <c r="L46" s="24" t="s">
        <v>1183</v>
      </c>
      <c r="M46" s="24" t="s">
        <v>1166</v>
      </c>
      <c r="N46" s="24" t="s">
        <v>1184</v>
      </c>
      <c r="O46" s="24" t="s">
        <v>1185</v>
      </c>
      <c r="P46" s="24" t="s">
        <v>285</v>
      </c>
      <c r="Q46" s="24" t="s">
        <v>916</v>
      </c>
      <c r="R46" s="24" t="s">
        <v>1031</v>
      </c>
      <c r="S46" s="28" t="s">
        <v>236</v>
      </c>
      <c r="T46" s="28" t="s">
        <v>236</v>
      </c>
      <c r="U46" s="24" t="s">
        <v>237</v>
      </c>
      <c r="V46" s="24" t="s">
        <v>1186</v>
      </c>
      <c r="W46" s="24" t="s">
        <v>1187</v>
      </c>
      <c r="X46" s="24" t="s">
        <v>286</v>
      </c>
      <c r="Y46" s="25" t="s">
        <v>1188</v>
      </c>
    </row>
    <row r="47" customFormat="false" ht="53.7" hidden="false" customHeight="false" outlineLevel="0" collapsed="false">
      <c r="A47" s="11" t="n">
        <v>15</v>
      </c>
      <c r="B47" s="22" t="s">
        <v>129</v>
      </c>
      <c r="C47" s="26" t="s">
        <v>157</v>
      </c>
      <c r="D47" s="11" t="s">
        <v>25</v>
      </c>
      <c r="E47" s="9" t="s">
        <v>1189</v>
      </c>
      <c r="F47" s="11"/>
      <c r="G47" s="11"/>
      <c r="H47" s="29" t="n">
        <v>46539</v>
      </c>
      <c r="I47" s="24" t="s">
        <v>418</v>
      </c>
      <c r="J47" s="32" t="s">
        <v>353</v>
      </c>
      <c r="K47" s="24" t="s">
        <v>1190</v>
      </c>
      <c r="L47" s="24" t="s">
        <v>1191</v>
      </c>
      <c r="M47" s="24" t="s">
        <v>371</v>
      </c>
      <c r="N47" s="24" t="s">
        <v>1192</v>
      </c>
      <c r="O47" s="24" t="s">
        <v>1193</v>
      </c>
      <c r="P47" s="24" t="s">
        <v>1082</v>
      </c>
      <c r="Q47" s="24" t="s">
        <v>1194</v>
      </c>
      <c r="R47" s="24" t="s">
        <v>1084</v>
      </c>
      <c r="S47" s="30" t="s">
        <v>262</v>
      </c>
      <c r="T47" s="23" t="s">
        <v>235</v>
      </c>
      <c r="U47" s="24" t="s">
        <v>1085</v>
      </c>
      <c r="V47" s="24" t="s">
        <v>238</v>
      </c>
      <c r="W47" s="24" t="s">
        <v>1195</v>
      </c>
      <c r="X47" s="24" t="s">
        <v>1196</v>
      </c>
      <c r="Y47" s="25" t="s">
        <v>1197</v>
      </c>
    </row>
    <row r="48" customFormat="false" ht="53.7" hidden="false" customHeight="false" outlineLevel="0" collapsed="false">
      <c r="A48" s="11" t="n">
        <v>16</v>
      </c>
      <c r="B48" s="23" t="s">
        <v>130</v>
      </c>
      <c r="C48" s="26" t="s">
        <v>157</v>
      </c>
      <c r="D48" s="11" t="s">
        <v>25</v>
      </c>
      <c r="E48" s="9" t="s">
        <v>1198</v>
      </c>
      <c r="F48" s="11"/>
      <c r="G48" s="11"/>
      <c r="H48" s="29" t="n">
        <v>46539</v>
      </c>
      <c r="I48" s="24" t="s">
        <v>418</v>
      </c>
      <c r="J48" s="32" t="s">
        <v>353</v>
      </c>
      <c r="K48" s="24" t="s">
        <v>1199</v>
      </c>
      <c r="L48" s="24" t="s">
        <v>404</v>
      </c>
      <c r="M48" s="24" t="s">
        <v>371</v>
      </c>
      <c r="N48" s="24" t="s">
        <v>1096</v>
      </c>
      <c r="O48" s="24" t="s">
        <v>1200</v>
      </c>
      <c r="P48" s="24" t="s">
        <v>1082</v>
      </c>
      <c r="Q48" s="24" t="s">
        <v>916</v>
      </c>
      <c r="R48" s="24" t="s">
        <v>1084</v>
      </c>
      <c r="S48" s="23" t="s">
        <v>235</v>
      </c>
      <c r="T48" s="23" t="s">
        <v>235</v>
      </c>
      <c r="U48" s="24" t="s">
        <v>1085</v>
      </c>
      <c r="V48" s="24" t="s">
        <v>238</v>
      </c>
      <c r="W48" s="24" t="s">
        <v>239</v>
      </c>
      <c r="X48" s="24" t="s">
        <v>1201</v>
      </c>
      <c r="Y48" s="25" t="s">
        <v>205</v>
      </c>
    </row>
    <row r="49" customFormat="false" ht="53.7" hidden="false" customHeight="false" outlineLevel="0" collapsed="false">
      <c r="A49" s="11" t="n">
        <v>17</v>
      </c>
      <c r="B49" s="28" t="s">
        <v>131</v>
      </c>
      <c r="C49" s="26" t="s">
        <v>157</v>
      </c>
      <c r="D49" s="11" t="s">
        <v>25</v>
      </c>
      <c r="E49" s="9" t="s">
        <v>1202</v>
      </c>
      <c r="F49" s="21" t="n">
        <v>46571</v>
      </c>
      <c r="G49" s="21" t="n">
        <v>46572</v>
      </c>
      <c r="H49" s="29" t="n">
        <v>46569</v>
      </c>
      <c r="I49" s="24" t="s">
        <v>1203</v>
      </c>
      <c r="J49" s="30" t="s">
        <v>226</v>
      </c>
      <c r="K49" s="24" t="s">
        <v>310</v>
      </c>
      <c r="L49" s="24" t="s">
        <v>1204</v>
      </c>
      <c r="M49" s="24" t="s">
        <v>371</v>
      </c>
      <c r="N49" s="24" t="s">
        <v>1103</v>
      </c>
      <c r="O49" s="24" t="s">
        <v>1205</v>
      </c>
      <c r="P49" s="24" t="s">
        <v>1082</v>
      </c>
      <c r="Q49" s="24" t="s">
        <v>916</v>
      </c>
      <c r="R49" s="24" t="s">
        <v>1084</v>
      </c>
      <c r="S49" s="23" t="s">
        <v>235</v>
      </c>
      <c r="T49" s="28" t="s">
        <v>236</v>
      </c>
      <c r="U49" s="24" t="s">
        <v>1085</v>
      </c>
      <c r="V49" s="24" t="s">
        <v>238</v>
      </c>
      <c r="W49" s="24" t="s">
        <v>239</v>
      </c>
      <c r="X49" s="24" t="s">
        <v>286</v>
      </c>
      <c r="Y49" s="25" t="s">
        <v>1106</v>
      </c>
    </row>
    <row r="50" customFormat="false" ht="22.35" hidden="false" customHeight="false" outlineLevel="0" collapsed="false">
      <c r="A50" s="11" t="n">
        <v>18</v>
      </c>
      <c r="B50" s="23" t="s">
        <v>130</v>
      </c>
      <c r="C50" s="23" t="s">
        <v>151</v>
      </c>
      <c r="D50" s="11" t="s">
        <v>25</v>
      </c>
      <c r="E50" s="9" t="s">
        <v>751</v>
      </c>
      <c r="F50" s="11"/>
      <c r="G50" s="11"/>
      <c r="H50" s="29" t="n">
        <v>46569</v>
      </c>
      <c r="I50" s="24" t="s">
        <v>752</v>
      </c>
      <c r="J50" s="32" t="s">
        <v>353</v>
      </c>
      <c r="K50" s="24" t="s">
        <v>1206</v>
      </c>
      <c r="L50" s="24" t="s">
        <v>754</v>
      </c>
      <c r="M50" s="24" t="s">
        <v>755</v>
      </c>
      <c r="N50" s="24" t="s">
        <v>1207</v>
      </c>
      <c r="O50" s="24" t="s">
        <v>1208</v>
      </c>
      <c r="P50" s="24" t="s">
        <v>285</v>
      </c>
      <c r="Q50" s="24" t="s">
        <v>916</v>
      </c>
      <c r="R50" s="24" t="s">
        <v>824</v>
      </c>
      <c r="S50" s="28" t="s">
        <v>236</v>
      </c>
      <c r="T50" s="23" t="s">
        <v>235</v>
      </c>
      <c r="U50" s="24" t="s">
        <v>1209</v>
      </c>
      <c r="V50" s="24" t="s">
        <v>239</v>
      </c>
      <c r="W50" s="24" t="s">
        <v>239</v>
      </c>
      <c r="X50" s="24" t="s">
        <v>1210</v>
      </c>
      <c r="Y50" s="25" t="s">
        <v>763</v>
      </c>
    </row>
    <row r="51" customFormat="false" ht="53.7" hidden="false" customHeight="false" outlineLevel="0" collapsed="false">
      <c r="A51" s="11" t="n">
        <v>19</v>
      </c>
      <c r="B51" s="22" t="s">
        <v>129</v>
      </c>
      <c r="C51" s="26" t="s">
        <v>157</v>
      </c>
      <c r="D51" s="11" t="s">
        <v>25</v>
      </c>
      <c r="E51" s="9" t="s">
        <v>1211</v>
      </c>
      <c r="F51" s="21" t="n">
        <v>46599</v>
      </c>
      <c r="G51" s="21" t="n">
        <v>46600</v>
      </c>
      <c r="H51" s="29" t="n">
        <v>46569</v>
      </c>
      <c r="I51" s="24" t="s">
        <v>1212</v>
      </c>
      <c r="J51" s="30" t="s">
        <v>226</v>
      </c>
      <c r="K51" s="24" t="s">
        <v>1134</v>
      </c>
      <c r="L51" s="24" t="s">
        <v>1102</v>
      </c>
      <c r="M51" s="24" t="s">
        <v>1213</v>
      </c>
      <c r="N51" s="24" t="s">
        <v>1214</v>
      </c>
      <c r="O51" s="24" t="s">
        <v>1215</v>
      </c>
      <c r="P51" s="24" t="s">
        <v>1216</v>
      </c>
      <c r="Q51" s="24" t="s">
        <v>1128</v>
      </c>
      <c r="R51" s="24" t="s">
        <v>1084</v>
      </c>
      <c r="S51" s="30" t="s">
        <v>262</v>
      </c>
      <c r="T51" s="30" t="s">
        <v>262</v>
      </c>
      <c r="U51" s="24" t="s">
        <v>1217</v>
      </c>
      <c r="V51" s="24" t="s">
        <v>238</v>
      </c>
      <c r="W51" s="24" t="s">
        <v>1218</v>
      </c>
      <c r="X51" s="24" t="s">
        <v>1219</v>
      </c>
      <c r="Y51" s="25" t="s">
        <v>1220</v>
      </c>
    </row>
    <row r="52" customFormat="false" ht="32.8" hidden="false" customHeight="false" outlineLevel="0" collapsed="false">
      <c r="A52" s="11" t="n">
        <v>20</v>
      </c>
      <c r="B52" s="28" t="s">
        <v>131</v>
      </c>
      <c r="C52" s="26" t="s">
        <v>157</v>
      </c>
      <c r="D52" s="11" t="s">
        <v>25</v>
      </c>
      <c r="E52" s="9" t="s">
        <v>1221</v>
      </c>
      <c r="F52" s="21" t="n">
        <v>46645</v>
      </c>
      <c r="G52" s="21" t="n">
        <v>46648</v>
      </c>
      <c r="H52" s="29" t="n">
        <v>46631</v>
      </c>
      <c r="I52" s="24" t="s">
        <v>1222</v>
      </c>
      <c r="J52" s="30" t="s">
        <v>226</v>
      </c>
      <c r="K52" s="24" t="s">
        <v>1223</v>
      </c>
      <c r="L52" s="24" t="s">
        <v>1224</v>
      </c>
      <c r="M52" s="24" t="s">
        <v>1015</v>
      </c>
      <c r="N52" s="24" t="s">
        <v>1016</v>
      </c>
      <c r="O52" s="24" t="s">
        <v>1225</v>
      </c>
      <c r="P52" s="24" t="s">
        <v>1226</v>
      </c>
      <c r="Q52" s="24" t="s">
        <v>916</v>
      </c>
      <c r="R52" s="24" t="s">
        <v>629</v>
      </c>
      <c r="S52" s="23" t="s">
        <v>235</v>
      </c>
      <c r="T52" s="28" t="s">
        <v>236</v>
      </c>
      <c r="U52" s="24" t="s">
        <v>1129</v>
      </c>
      <c r="V52" s="24" t="s">
        <v>238</v>
      </c>
      <c r="W52" s="24" t="s">
        <v>239</v>
      </c>
      <c r="X52" s="24" t="s">
        <v>286</v>
      </c>
      <c r="Y52" s="25" t="s">
        <v>1227</v>
      </c>
    </row>
    <row r="53" customFormat="false" ht="53.7" hidden="false" customHeight="false" outlineLevel="0" collapsed="false">
      <c r="A53" s="11" t="n">
        <v>21</v>
      </c>
      <c r="B53" s="22" t="s">
        <v>129</v>
      </c>
      <c r="C53" s="26" t="s">
        <v>157</v>
      </c>
      <c r="D53" s="11" t="s">
        <v>25</v>
      </c>
      <c r="E53" s="9" t="s">
        <v>1228</v>
      </c>
      <c r="F53" s="21" t="n">
        <v>46655</v>
      </c>
      <c r="G53" s="21" t="n">
        <v>46656</v>
      </c>
      <c r="H53" s="29" t="n">
        <v>46631</v>
      </c>
      <c r="I53" s="24" t="s">
        <v>1229</v>
      </c>
      <c r="J53" s="30" t="s">
        <v>226</v>
      </c>
      <c r="K53" s="24" t="s">
        <v>1134</v>
      </c>
      <c r="L53" s="24" t="s">
        <v>1230</v>
      </c>
      <c r="M53" s="24" t="s">
        <v>1213</v>
      </c>
      <c r="N53" s="24" t="s">
        <v>1231</v>
      </c>
      <c r="O53" s="24" t="s">
        <v>1232</v>
      </c>
      <c r="P53" s="24" t="s">
        <v>1233</v>
      </c>
      <c r="Q53" s="24" t="s">
        <v>1234</v>
      </c>
      <c r="R53" s="24" t="s">
        <v>1084</v>
      </c>
      <c r="S53" s="30" t="s">
        <v>262</v>
      </c>
      <c r="T53" s="30" t="s">
        <v>262</v>
      </c>
      <c r="U53" s="24" t="s">
        <v>1129</v>
      </c>
      <c r="V53" s="24" t="s">
        <v>238</v>
      </c>
      <c r="W53" s="24" t="s">
        <v>1235</v>
      </c>
      <c r="X53" s="24" t="s">
        <v>1236</v>
      </c>
      <c r="Y53" s="25" t="s">
        <v>1237</v>
      </c>
    </row>
    <row r="54" customFormat="false" ht="22.35" hidden="false" customHeight="false" outlineLevel="0" collapsed="false">
      <c r="A54" s="11" t="n">
        <v>22</v>
      </c>
      <c r="B54" s="23" t="s">
        <v>130</v>
      </c>
      <c r="C54" s="23" t="s">
        <v>151</v>
      </c>
      <c r="D54" s="11" t="s">
        <v>25</v>
      </c>
      <c r="E54" s="9" t="s">
        <v>793</v>
      </c>
      <c r="F54" s="21" t="n">
        <v>46659</v>
      </c>
      <c r="G54" s="21" t="n">
        <v>46661</v>
      </c>
      <c r="H54" s="29" t="n">
        <v>46631</v>
      </c>
      <c r="I54" s="24" t="s">
        <v>794</v>
      </c>
      <c r="J54" s="30" t="s">
        <v>226</v>
      </c>
      <c r="K54" s="24" t="s">
        <v>226</v>
      </c>
      <c r="L54" s="24" t="s">
        <v>795</v>
      </c>
      <c r="M54" s="24" t="s">
        <v>362</v>
      </c>
      <c r="N54" s="24" t="s">
        <v>1238</v>
      </c>
      <c r="O54" s="24" t="s">
        <v>1239</v>
      </c>
      <c r="P54" s="24" t="s">
        <v>285</v>
      </c>
      <c r="Q54" s="24" t="s">
        <v>916</v>
      </c>
      <c r="R54" s="24" t="s">
        <v>1240</v>
      </c>
      <c r="S54" s="28" t="s">
        <v>236</v>
      </c>
      <c r="T54" s="30" t="s">
        <v>262</v>
      </c>
      <c r="U54" s="24" t="s">
        <v>801</v>
      </c>
      <c r="V54" s="24" t="s">
        <v>239</v>
      </c>
      <c r="W54" s="24" t="s">
        <v>1241</v>
      </c>
      <c r="X54" s="24" t="s">
        <v>1210</v>
      </c>
      <c r="Y54" s="25" t="s">
        <v>805</v>
      </c>
    </row>
    <row r="55" customFormat="false" ht="53.7" hidden="false" customHeight="false" outlineLevel="0" collapsed="false">
      <c r="A55" s="11" t="n">
        <v>23</v>
      </c>
      <c r="B55" s="23" t="s">
        <v>130</v>
      </c>
      <c r="C55" s="26" t="s">
        <v>157</v>
      </c>
      <c r="D55" s="11" t="s">
        <v>25</v>
      </c>
      <c r="E55" s="9" t="s">
        <v>1242</v>
      </c>
      <c r="F55" s="11"/>
      <c r="G55" s="11"/>
      <c r="H55" s="29" t="n">
        <v>46661</v>
      </c>
      <c r="I55" s="24" t="s">
        <v>1243</v>
      </c>
      <c r="J55" s="32" t="s">
        <v>353</v>
      </c>
      <c r="K55" s="24" t="s">
        <v>1244</v>
      </c>
      <c r="L55" s="24" t="s">
        <v>404</v>
      </c>
      <c r="M55" s="24" t="s">
        <v>371</v>
      </c>
      <c r="N55" s="24" t="s">
        <v>1245</v>
      </c>
      <c r="O55" s="24" t="s">
        <v>1246</v>
      </c>
      <c r="P55" s="24" t="s">
        <v>1082</v>
      </c>
      <c r="Q55" s="24" t="s">
        <v>916</v>
      </c>
      <c r="R55" s="24" t="s">
        <v>1084</v>
      </c>
      <c r="S55" s="30" t="s">
        <v>262</v>
      </c>
      <c r="T55" s="28" t="s">
        <v>236</v>
      </c>
      <c r="U55" s="24" t="s">
        <v>989</v>
      </c>
      <c r="V55" s="24" t="s">
        <v>238</v>
      </c>
      <c r="W55" s="24" t="s">
        <v>239</v>
      </c>
      <c r="X55" s="24" t="s">
        <v>1247</v>
      </c>
      <c r="Y55" s="25" t="s">
        <v>1180</v>
      </c>
    </row>
  </sheetData>
  <autoFilter ref="A2:Y55"/>
  <mergeCells count="1">
    <mergeCell ref="A1:Y1"/>
  </mergeCells>
  <hyperlinks>
    <hyperlink ref="Y3" r:id="rId1" display="https://sva.org.sg/news/small-animal-abdomen-ultrasound-workshop/"/>
    <hyperlink ref="Y4" r:id="rId2" display="https://sva.org.sg/news/tp-svi-small-animal-vet-ultrasound-courses/"/>
    <hyperlink ref="Y5" r:id="rId3" display="https://petexposg.com/"/>
    <hyperlink ref="Y6" r:id="rId4" display="https://www.vetducate.com/product-page/foundations-in-ultrasonography"/>
    <hyperlink ref="Y7" r:id="rId5" display="https://www.sgpetfestival.com/"/>
    <hyperlink ref="Y8" r:id="rId6" display="https://sva.org.sg/about/"/>
    <hyperlink ref="Y9" r:id="rId7" display="https://www.vetshow.com/singapore-vet"/>
    <hyperlink ref="Y10" r:id="rId8" display="https://expo.taiwan-healthcare.org/en/"/>
    <hyperlink ref="Y11" r:id="rId9" display="https://www.chanchao.com.tw/PetsShow/kaohsiung/"/>
    <hyperlink ref="Y12" r:id="rId10" display="https://www.aicvs-aicvim2026.tw/"/>
    <hyperlink ref="Y13" r:id="rId11" display="https://www.tpvma.org.tw/"/>
    <hyperlink ref="Y14" r:id="rId12" display="https://tavim.org/"/>
    <hyperlink ref="Y15" r:id="rId13" display="https://www.eventseye.com/fairs/cst1_trade-shows_taiwan_pet-animals.html"/>
    <hyperlink ref="Y16" r:id="rId14" display="https://www.tcvs.tw/"/>
    <hyperlink ref="Y17" r:id="rId15" display="https://www.chanchao.com.tw/PetsShow/kaohsiung/"/>
    <hyperlink ref="Y18" r:id="rId16" display="https://www.medicaltaiwan.com.tw/zh-tw/index.html"/>
    <hyperlink ref="Y19" r:id="rId17" display="https://www.chanchao.com.tw/en/expoDetail.asp?id=AQP2026"/>
    <hyperlink ref="Y20" r:id="rId18" display="https://www.eventseye.com/fairs/f-chanchao-meow-expo-27744-1.html"/>
    <hyperlink ref="Y21" r:id="rId19" display="https://www.dailyvet.co.kr/news/academy"/>
    <hyperlink ref="Y22" r:id="rId20" display="https://www.kimes.kr/"/>
    <hyperlink ref="Y23" r:id="rId21" display="https://www.svma.or.kr/conference/conferenceList.do"/>
    <hyperlink ref="Y24" r:id="rId22" display="https://www.ksvs.or.kr/conference/conferenceList.do"/>
    <hyperlink ref="Y25" r:id="rId23" display="https://www.dailyvet.co.kr/events/20260405ksvs"/>
    <hyperlink ref="Y26" r:id="rId24" display="https://megazoo.co.kr/"/>
    <hyperlink ref="Y27" r:id="rId25" display="https://www.dailyvet.co.kr/news/academy/299184"/>
    <hyperlink ref="Y28" r:id="rId26" display="https://www.svma.or.kr/conference/conferenceList.do"/>
    <hyperlink ref="Y29" r:id="rId27" display="https://www.dailyvet.co.kr/news/association/282228"/>
    <hyperlink ref="Y30" r:id="rId28" display="https://www.dailyvet.co.kr/news/academy/300170"/>
    <hyperlink ref="Y31" r:id="rId29" display="https://megazoo.co.kr/"/>
    <hyperlink ref="Y32" r:id="rId30" display="https://www.ksvs.or.kr/conference/conferenceList.do"/>
    <hyperlink ref="Y33" r:id="rId31" display="https://jsvdi.com/conference/3332/"/>
    <hyperlink ref="Y34" r:id="rId32" display="https://sky-vets.com/seminar/"/>
    <hyperlink ref="Y35" r:id="rId33" display="https://www.jsvas.net/conference/index.php"/>
    <hyperlink ref="Y36" r:id="rId34" display="https://www.jvcs.jp/society/"/>
    <hyperlink ref="Y37" r:id="rId35" display="https://www.jcvim.org/"/>
    <hyperlink ref="Y38" r:id="rId36" display="https://jvma-vet.jp/society/"/>
    <hyperlink ref="Y39" r:id="rId37" display="https://www.jbvp.org/regional/nagoya.html"/>
    <hyperlink ref="Y40" r:id="rId38" display="https://www.jbvp.org/regional/kyushu.html"/>
    <hyperlink ref="Y41" r:id="rId39" display="https://www.jbvp.org/regional/hokkaido.html"/>
    <hyperlink ref="Y42" r:id="rId40" display="https://www.jbvp.org/regional/tohoku.html"/>
    <hyperlink ref="Y43" r:id="rId41" display="https://www.jbvp.org/regional/kyoto.html"/>
    <hyperlink ref="Y44" r:id="rId42" display="https://interpets.jp.messefrankfurt.com/tokyo/en/facts-figures.html"/>
    <hyperlink ref="Y45" r:id="rId43" display="https://www.jsvc.jp/meeting/"/>
    <hyperlink ref="Y46" r:id="rId44" display="https://interpets-osaka.jp.messefrankfurt.com/osaka/en.html"/>
    <hyperlink ref="Y47" r:id="rId45" display="https://jsvdi.com/category/conference/"/>
    <hyperlink ref="Y48" r:id="rId46" display="https://www.jsvas.net/conference/index.php"/>
    <hyperlink ref="Y49" r:id="rId47" display="https://www.jvcs.jp/society/"/>
    <hyperlink ref="Y50" r:id="rId48" display="https://www.noma-hs.com/"/>
    <hyperlink ref="Y51" r:id="rId49" display="https://www.jbvp.org/wjvf/"/>
    <hyperlink ref="Y52" r:id="rId50" display="https://www.jsvetsci.jp/meeting/index.php"/>
    <hyperlink ref="Y53" r:id="rId51" display="https://www.jbvp.org/forum/"/>
    <hyperlink ref="Y54" r:id="rId52" display="https://medical-jpn.jp/osaka/en-gb.html"/>
    <hyperlink ref="Y55" r:id="rId53" display="https://www.jsvc.jp/meeting/"/>
  </hyperlink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54"/>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2" topLeftCell="D3" activePane="bottomRight" state="frozen"/>
      <selection pane="topLeft" activeCell="A1" activeCellId="0" sqref="A1"/>
      <selection pane="topRight" activeCell="D1" activeCellId="0" sqref="D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1"/>
    <col collapsed="false" customWidth="true" hidden="false" outlineLevel="0" max="3" min="3" style="0" width="26"/>
    <col collapsed="false" customWidth="true" hidden="false" outlineLevel="0" max="4" min="4" style="0" width="20"/>
    <col collapsed="false" customWidth="true" hidden="false" outlineLevel="0" max="5" min="5" style="0" width="56"/>
    <col collapsed="false" customWidth="true" hidden="false" outlineLevel="0" max="6" min="6" style="0" width="34"/>
    <col collapsed="false" customWidth="true" hidden="false" outlineLevel="0" max="7" min="7" style="0" width="16"/>
    <col collapsed="false" customWidth="true" hidden="false" outlineLevel="0" max="8" min="8" style="0" width="52"/>
    <col collapsed="false" customWidth="true" hidden="false" outlineLevel="0" max="9" min="9" style="0" width="38"/>
  </cols>
  <sheetData>
    <row r="1" customFormat="false" ht="15" hidden="false" customHeight="false" outlineLevel="0" collapsed="false">
      <c r="A1" s="6" t="s">
        <v>1248</v>
      </c>
      <c r="B1" s="6"/>
      <c r="C1" s="6"/>
      <c r="D1" s="6"/>
      <c r="E1" s="6"/>
      <c r="F1" s="6"/>
      <c r="G1" s="6"/>
      <c r="H1" s="6"/>
      <c r="I1" s="6"/>
    </row>
    <row r="2" customFormat="false" ht="30" hidden="false" customHeight="true" outlineLevel="0" collapsed="false">
      <c r="A2" s="8" t="s">
        <v>1249</v>
      </c>
      <c r="B2" s="8" t="s">
        <v>62</v>
      </c>
      <c r="C2" s="8" t="s">
        <v>1250</v>
      </c>
      <c r="D2" s="8" t="s">
        <v>1251</v>
      </c>
      <c r="E2" s="8" t="s">
        <v>1252</v>
      </c>
      <c r="F2" s="8" t="s">
        <v>1253</v>
      </c>
      <c r="G2" s="8" t="s">
        <v>1254</v>
      </c>
      <c r="H2" s="8" t="s">
        <v>1255</v>
      </c>
      <c r="I2" s="8" t="s">
        <v>150</v>
      </c>
    </row>
    <row r="3" customFormat="false" ht="32.8" hidden="false" customHeight="false" outlineLevel="0" collapsed="false">
      <c r="A3" s="11" t="s">
        <v>25</v>
      </c>
      <c r="B3" s="23" t="s">
        <v>151</v>
      </c>
      <c r="C3" s="9" t="s">
        <v>1256</v>
      </c>
      <c r="D3" s="24" t="s">
        <v>1257</v>
      </c>
      <c r="E3" s="24" t="s">
        <v>1258</v>
      </c>
      <c r="F3" s="24" t="s">
        <v>1259</v>
      </c>
      <c r="G3" s="11" t="s">
        <v>226</v>
      </c>
      <c r="H3" s="24" t="s">
        <v>1260</v>
      </c>
      <c r="I3" s="25" t="s">
        <v>1261</v>
      </c>
    </row>
    <row r="4" customFormat="false" ht="22.35" hidden="false" customHeight="false" outlineLevel="0" collapsed="false">
      <c r="A4" s="11" t="s">
        <v>25</v>
      </c>
      <c r="B4" s="27" t="s">
        <v>163</v>
      </c>
      <c r="C4" s="9" t="s">
        <v>1262</v>
      </c>
      <c r="D4" s="24" t="s">
        <v>1263</v>
      </c>
      <c r="E4" s="24" t="s">
        <v>1264</v>
      </c>
      <c r="F4" s="24" t="s">
        <v>1265</v>
      </c>
      <c r="G4" s="11" t="s">
        <v>226</v>
      </c>
      <c r="H4" s="24" t="s">
        <v>1266</v>
      </c>
      <c r="I4" s="25" t="s">
        <v>1267</v>
      </c>
    </row>
    <row r="5" customFormat="false" ht="15" hidden="false" customHeight="false" outlineLevel="0" collapsed="false">
      <c r="A5" s="11" t="s">
        <v>25</v>
      </c>
      <c r="B5" s="27" t="s">
        <v>163</v>
      </c>
      <c r="C5" s="9" t="s">
        <v>1268</v>
      </c>
      <c r="D5" s="24" t="s">
        <v>1263</v>
      </c>
      <c r="E5" s="24" t="s">
        <v>1269</v>
      </c>
      <c r="F5" s="24" t="s">
        <v>1265</v>
      </c>
      <c r="G5" s="11" t="s">
        <v>226</v>
      </c>
      <c r="H5" s="24" t="s">
        <v>1270</v>
      </c>
      <c r="I5" s="25" t="s">
        <v>1271</v>
      </c>
    </row>
    <row r="6" customFormat="false" ht="22.35" hidden="false" customHeight="false" outlineLevel="0" collapsed="false">
      <c r="A6" s="11" t="s">
        <v>25</v>
      </c>
      <c r="B6" s="27" t="s">
        <v>163</v>
      </c>
      <c r="C6" s="9" t="s">
        <v>1272</v>
      </c>
      <c r="D6" s="24" t="s">
        <v>1263</v>
      </c>
      <c r="E6" s="24" t="s">
        <v>1273</v>
      </c>
      <c r="F6" s="24" t="s">
        <v>1274</v>
      </c>
      <c r="G6" s="11" t="s">
        <v>1275</v>
      </c>
      <c r="H6" s="24" t="s">
        <v>1276</v>
      </c>
      <c r="I6" s="25" t="s">
        <v>1277</v>
      </c>
    </row>
    <row r="7" customFormat="false" ht="22.35" hidden="false" customHeight="false" outlineLevel="0" collapsed="false">
      <c r="A7" s="11" t="s">
        <v>25</v>
      </c>
      <c r="B7" s="27" t="s">
        <v>163</v>
      </c>
      <c r="C7" s="9" t="s">
        <v>1278</v>
      </c>
      <c r="D7" s="24" t="s">
        <v>1263</v>
      </c>
      <c r="E7" s="24" t="s">
        <v>1279</v>
      </c>
      <c r="F7" s="24" t="s">
        <v>1280</v>
      </c>
      <c r="G7" s="11" t="s">
        <v>1281</v>
      </c>
      <c r="H7" s="24" t="s">
        <v>1282</v>
      </c>
      <c r="I7" s="25" t="s">
        <v>1283</v>
      </c>
    </row>
    <row r="8" customFormat="false" ht="32.8" hidden="false" customHeight="false" outlineLevel="0" collapsed="false">
      <c r="A8" s="11" t="s">
        <v>25</v>
      </c>
      <c r="B8" s="27" t="s">
        <v>163</v>
      </c>
      <c r="C8" s="9" t="s">
        <v>1284</v>
      </c>
      <c r="D8" s="24" t="s">
        <v>1263</v>
      </c>
      <c r="E8" s="24" t="s">
        <v>1285</v>
      </c>
      <c r="F8" s="24" t="s">
        <v>1286</v>
      </c>
      <c r="G8" s="11" t="s">
        <v>1287</v>
      </c>
      <c r="H8" s="24" t="s">
        <v>1288</v>
      </c>
      <c r="I8" s="25" t="s">
        <v>1289</v>
      </c>
    </row>
    <row r="9" customFormat="false" ht="32.8" hidden="false" customHeight="false" outlineLevel="0" collapsed="false">
      <c r="A9" s="11" t="s">
        <v>25</v>
      </c>
      <c r="B9" s="27" t="s">
        <v>163</v>
      </c>
      <c r="C9" s="9" t="s">
        <v>1290</v>
      </c>
      <c r="D9" s="24" t="s">
        <v>1263</v>
      </c>
      <c r="E9" s="24" t="s">
        <v>1291</v>
      </c>
      <c r="F9" s="24" t="s">
        <v>1286</v>
      </c>
      <c r="G9" s="11" t="s">
        <v>1292</v>
      </c>
      <c r="H9" s="24" t="s">
        <v>1293</v>
      </c>
      <c r="I9" s="24" t="s">
        <v>1286</v>
      </c>
    </row>
    <row r="10" customFormat="false" ht="22.35" hidden="false" customHeight="false" outlineLevel="0" collapsed="false">
      <c r="A10" s="11" t="s">
        <v>25</v>
      </c>
      <c r="B10" s="26" t="s">
        <v>157</v>
      </c>
      <c r="C10" s="9" t="s">
        <v>1294</v>
      </c>
      <c r="D10" s="24" t="s">
        <v>1295</v>
      </c>
      <c r="E10" s="24" t="s">
        <v>1296</v>
      </c>
      <c r="F10" s="24" t="s">
        <v>1297</v>
      </c>
      <c r="G10" s="11" t="s">
        <v>1298</v>
      </c>
      <c r="H10" s="24" t="s">
        <v>1299</v>
      </c>
      <c r="I10" s="25" t="s">
        <v>1300</v>
      </c>
    </row>
    <row r="11" customFormat="false" ht="15" hidden="false" customHeight="false" outlineLevel="0" collapsed="false">
      <c r="A11" s="11" t="s">
        <v>25</v>
      </c>
      <c r="B11" s="26" t="s">
        <v>157</v>
      </c>
      <c r="C11" s="9" t="s">
        <v>1301</v>
      </c>
      <c r="D11" s="24" t="s">
        <v>1295</v>
      </c>
      <c r="E11" s="24" t="s">
        <v>1302</v>
      </c>
      <c r="F11" s="24" t="s">
        <v>1303</v>
      </c>
      <c r="G11" s="11" t="s">
        <v>1304</v>
      </c>
      <c r="H11" s="24" t="s">
        <v>1305</v>
      </c>
      <c r="I11" s="25" t="s">
        <v>1306</v>
      </c>
    </row>
    <row r="12" customFormat="false" ht="15" hidden="false" customHeight="false" outlineLevel="0" collapsed="false">
      <c r="A12" s="11" t="s">
        <v>25</v>
      </c>
      <c r="B12" s="26" t="s">
        <v>157</v>
      </c>
      <c r="C12" s="9" t="s">
        <v>1307</v>
      </c>
      <c r="D12" s="24" t="s">
        <v>1308</v>
      </c>
      <c r="E12" s="24" t="s">
        <v>1309</v>
      </c>
      <c r="F12" s="24" t="s">
        <v>1303</v>
      </c>
      <c r="G12" s="11" t="s">
        <v>1304</v>
      </c>
      <c r="H12" s="24" t="s">
        <v>1310</v>
      </c>
      <c r="I12" s="25" t="s">
        <v>1311</v>
      </c>
    </row>
    <row r="13" customFormat="false" ht="43.25" hidden="false" customHeight="false" outlineLevel="0" collapsed="false">
      <c r="A13" s="11" t="s">
        <v>23</v>
      </c>
      <c r="B13" s="23" t="s">
        <v>151</v>
      </c>
      <c r="C13" s="9" t="s">
        <v>1284</v>
      </c>
      <c r="D13" s="24" t="s">
        <v>1312</v>
      </c>
      <c r="E13" s="24" t="s">
        <v>1313</v>
      </c>
      <c r="F13" s="24" t="s">
        <v>1314</v>
      </c>
      <c r="G13" s="11" t="s">
        <v>226</v>
      </c>
      <c r="H13" s="24" t="s">
        <v>1315</v>
      </c>
      <c r="I13" s="25" t="s">
        <v>1316</v>
      </c>
    </row>
    <row r="14" customFormat="false" ht="22.35" hidden="false" customHeight="false" outlineLevel="0" collapsed="false">
      <c r="A14" s="11" t="s">
        <v>23</v>
      </c>
      <c r="B14" s="27" t="s">
        <v>163</v>
      </c>
      <c r="C14" s="9" t="s">
        <v>1272</v>
      </c>
      <c r="D14" s="24" t="s">
        <v>1263</v>
      </c>
      <c r="E14" s="24" t="s">
        <v>1317</v>
      </c>
      <c r="F14" s="24" t="s">
        <v>1318</v>
      </c>
      <c r="G14" s="11" t="s">
        <v>226</v>
      </c>
      <c r="H14" s="24" t="s">
        <v>1319</v>
      </c>
      <c r="I14" s="25" t="s">
        <v>1320</v>
      </c>
    </row>
    <row r="15" customFormat="false" ht="22.35" hidden="false" customHeight="false" outlineLevel="0" collapsed="false">
      <c r="A15" s="11" t="s">
        <v>23</v>
      </c>
      <c r="B15" s="27" t="s">
        <v>163</v>
      </c>
      <c r="C15" s="9" t="s">
        <v>1321</v>
      </c>
      <c r="D15" s="24" t="s">
        <v>1263</v>
      </c>
      <c r="E15" s="24" t="s">
        <v>1322</v>
      </c>
      <c r="F15" s="24" t="s">
        <v>1323</v>
      </c>
      <c r="G15" s="11" t="s">
        <v>226</v>
      </c>
      <c r="H15" s="24" t="s">
        <v>1324</v>
      </c>
      <c r="I15" s="25" t="s">
        <v>1325</v>
      </c>
    </row>
    <row r="16" customFormat="false" ht="15" hidden="false" customHeight="false" outlineLevel="0" collapsed="false">
      <c r="A16" s="11" t="s">
        <v>23</v>
      </c>
      <c r="B16" s="27" t="s">
        <v>163</v>
      </c>
      <c r="C16" s="9" t="s">
        <v>1326</v>
      </c>
      <c r="D16" s="24" t="s">
        <v>1263</v>
      </c>
      <c r="E16" s="24" t="s">
        <v>1327</v>
      </c>
      <c r="F16" s="24" t="s">
        <v>1323</v>
      </c>
      <c r="G16" s="11" t="s">
        <v>1328</v>
      </c>
      <c r="H16" s="24" t="s">
        <v>1329</v>
      </c>
      <c r="I16" s="25" t="s">
        <v>1330</v>
      </c>
    </row>
    <row r="17" customFormat="false" ht="15" hidden="false" customHeight="false" outlineLevel="0" collapsed="false">
      <c r="A17" s="11" t="s">
        <v>23</v>
      </c>
      <c r="B17" s="23" t="s">
        <v>151</v>
      </c>
      <c r="C17" s="9" t="s">
        <v>57</v>
      </c>
      <c r="D17" s="24" t="s">
        <v>1263</v>
      </c>
      <c r="E17" s="24" t="s">
        <v>1331</v>
      </c>
      <c r="F17" s="24" t="s">
        <v>1286</v>
      </c>
      <c r="G17" s="11" t="s">
        <v>1292</v>
      </c>
      <c r="H17" s="24" t="s">
        <v>1332</v>
      </c>
      <c r="I17" s="24" t="s">
        <v>1286</v>
      </c>
    </row>
    <row r="18" customFormat="false" ht="22.35" hidden="false" customHeight="false" outlineLevel="0" collapsed="false">
      <c r="A18" s="11" t="s">
        <v>21</v>
      </c>
      <c r="B18" s="27" t="s">
        <v>163</v>
      </c>
      <c r="C18" s="9" t="s">
        <v>1333</v>
      </c>
      <c r="D18" s="24" t="s">
        <v>1263</v>
      </c>
      <c r="E18" s="24" t="s">
        <v>1334</v>
      </c>
      <c r="F18" s="24" t="s">
        <v>1335</v>
      </c>
      <c r="G18" s="11" t="s">
        <v>1336</v>
      </c>
      <c r="H18" s="24" t="s">
        <v>1337</v>
      </c>
      <c r="I18" s="25" t="s">
        <v>464</v>
      </c>
    </row>
    <row r="19" customFormat="false" ht="22.35" hidden="false" customHeight="false" outlineLevel="0" collapsed="false">
      <c r="A19" s="11" t="s">
        <v>21</v>
      </c>
      <c r="B19" s="27" t="s">
        <v>163</v>
      </c>
      <c r="C19" s="9" t="s">
        <v>1338</v>
      </c>
      <c r="D19" s="24" t="s">
        <v>1295</v>
      </c>
      <c r="E19" s="24" t="s">
        <v>1339</v>
      </c>
      <c r="F19" s="24" t="s">
        <v>1340</v>
      </c>
      <c r="G19" s="11" t="s">
        <v>226</v>
      </c>
      <c r="H19" s="24" t="s">
        <v>1341</v>
      </c>
      <c r="I19" s="25" t="s">
        <v>1342</v>
      </c>
    </row>
    <row r="20" customFormat="false" ht="22.35" hidden="false" customHeight="false" outlineLevel="0" collapsed="false">
      <c r="A20" s="11" t="s">
        <v>21</v>
      </c>
      <c r="B20" s="27" t="s">
        <v>163</v>
      </c>
      <c r="C20" s="9" t="s">
        <v>1343</v>
      </c>
      <c r="D20" s="24" t="s">
        <v>1344</v>
      </c>
      <c r="E20" s="24" t="s">
        <v>1345</v>
      </c>
      <c r="F20" s="24" t="s">
        <v>1346</v>
      </c>
      <c r="G20" s="11" t="s">
        <v>226</v>
      </c>
      <c r="H20" s="24" t="s">
        <v>1347</v>
      </c>
      <c r="I20" s="25" t="s">
        <v>1348</v>
      </c>
    </row>
    <row r="21" customFormat="false" ht="32.8" hidden="false" customHeight="false" outlineLevel="0" collapsed="false">
      <c r="A21" s="11" t="s">
        <v>21</v>
      </c>
      <c r="B21" s="26" t="s">
        <v>157</v>
      </c>
      <c r="C21" s="9" t="s">
        <v>1349</v>
      </c>
      <c r="D21" s="24" t="s">
        <v>1350</v>
      </c>
      <c r="E21" s="24" t="s">
        <v>1351</v>
      </c>
      <c r="F21" s="24" t="s">
        <v>1352</v>
      </c>
      <c r="G21" s="11" t="s">
        <v>1353</v>
      </c>
      <c r="H21" s="24" t="s">
        <v>1354</v>
      </c>
      <c r="I21" s="25" t="s">
        <v>1355</v>
      </c>
    </row>
    <row r="22" customFormat="false" ht="15" hidden="false" customHeight="false" outlineLevel="0" collapsed="false">
      <c r="A22" s="11" t="s">
        <v>21</v>
      </c>
      <c r="B22" s="23" t="s">
        <v>151</v>
      </c>
      <c r="C22" s="9" t="s">
        <v>1356</v>
      </c>
      <c r="D22" s="24" t="s">
        <v>1263</v>
      </c>
      <c r="E22" s="24" t="s">
        <v>1357</v>
      </c>
      <c r="F22" s="24" t="s">
        <v>1286</v>
      </c>
      <c r="G22" s="11" t="s">
        <v>1292</v>
      </c>
      <c r="H22" s="24" t="s">
        <v>1358</v>
      </c>
      <c r="I22" s="24" t="s">
        <v>1286</v>
      </c>
    </row>
    <row r="23" customFormat="false" ht="22.35" hidden="false" customHeight="false" outlineLevel="0" collapsed="false">
      <c r="A23" s="11" t="s">
        <v>19</v>
      </c>
      <c r="B23" s="26" t="s">
        <v>157</v>
      </c>
      <c r="C23" s="9" t="s">
        <v>1359</v>
      </c>
      <c r="D23" s="24" t="s">
        <v>1360</v>
      </c>
      <c r="E23" s="24" t="s">
        <v>1361</v>
      </c>
      <c r="F23" s="24" t="s">
        <v>1362</v>
      </c>
      <c r="G23" s="11" t="s">
        <v>226</v>
      </c>
      <c r="H23" s="24" t="s">
        <v>1363</v>
      </c>
      <c r="I23" s="25" t="s">
        <v>1364</v>
      </c>
    </row>
    <row r="24" customFormat="false" ht="22.35" hidden="false" customHeight="false" outlineLevel="0" collapsed="false">
      <c r="A24" s="11" t="s">
        <v>19</v>
      </c>
      <c r="B24" s="26" t="s">
        <v>157</v>
      </c>
      <c r="C24" s="9" t="s">
        <v>1365</v>
      </c>
      <c r="D24" s="24" t="s">
        <v>1366</v>
      </c>
      <c r="E24" s="24" t="s">
        <v>1367</v>
      </c>
      <c r="F24" s="24" t="s">
        <v>1368</v>
      </c>
      <c r="G24" s="11" t="s">
        <v>226</v>
      </c>
      <c r="H24" s="24" t="s">
        <v>1369</v>
      </c>
      <c r="I24" s="25" t="s">
        <v>852</v>
      </c>
    </row>
    <row r="25" customFormat="false" ht="32.8" hidden="false" customHeight="false" outlineLevel="0" collapsed="false">
      <c r="A25" s="11" t="s">
        <v>19</v>
      </c>
      <c r="B25" s="23" t="s">
        <v>151</v>
      </c>
      <c r="C25" s="9" t="s">
        <v>1370</v>
      </c>
      <c r="D25" s="24" t="s">
        <v>1371</v>
      </c>
      <c r="E25" s="24" t="s">
        <v>1372</v>
      </c>
      <c r="F25" s="24" t="s">
        <v>1286</v>
      </c>
      <c r="G25" s="11" t="s">
        <v>1292</v>
      </c>
      <c r="H25" s="24" t="s">
        <v>1373</v>
      </c>
      <c r="I25" s="25" t="s">
        <v>1374</v>
      </c>
    </row>
  </sheetData>
  <autoFilter ref="A2:I25"/>
  <mergeCells count="1">
    <mergeCell ref="A1:I1"/>
  </mergeCells>
  <hyperlinks>
    <hyperlink ref="I3" r:id="rId1" display="https://www.fujifilm.com/jp/ja/healthcare/events/veterinary"/>
    <hyperlink ref="I4" r:id="rId2" display="https://www.yakuji.co.jp/?p=133219"/>
    <hyperlink ref="I5" r:id="rId3" display="https://www.siemens-healthineers.com/jp/news-and-events/conferences-events-new/item"/>
    <hyperlink ref="I6" r:id="rId4" display="https://www.gehealthcare.com/content/dam/gehc/sitecore-migrated-assets/files/japan/event/2025/20250411_item2025.pdf"/>
    <hyperlink ref="I7" r:id="rId5" display="https://www.documents.philips.com/assets/20240604/97c55c34c58241d1b73bb18500379783.pdf"/>
    <hyperlink ref="I8" r:id="rId6" display="https://www.hitachi.com/ja-jp/press/articles/2017/10/1004/"/>
    <hyperlink ref="I10" r:id="rId7" display="http://www.shoeijapan.co.jp/products/products-v.html"/>
    <hyperlink ref="I11" r:id="rId8" display="https://vet.mediark.co.jp/vetecho"/>
    <hyperlink ref="I12" r:id="rId9" display="https://frontier-intl.co.jp/catalog/ultrasounddevice/"/>
    <hyperlink ref="I13" r:id="rId10" display="https://www.koreabiomed.com/news/articleView.html?idxno=30734"/>
    <hyperlink ref="I14" r:id="rId11" display="https://www.dailypharm.com/user/news/336537"/>
    <hyperlink ref="I15" r:id="rId12" display="https://www.koreabiomed.com/news/articleView.html?idxno=31575"/>
    <hyperlink ref="I16" r:id="rId13" display="https://10times.com/e1z3-0d00-fhhg"/>
    <hyperlink ref="I18" r:id="rId14" display="https://www.sumroc.org.tw/index.php?action=annual"/>
    <hyperlink ref="I19" r:id="rId15" display="https://www.rotarytc.com.tw/"/>
    <hyperlink ref="I20" r:id="rId16" display="https://press.asus.com/news/press-releases/asus-healthcare-orchestration-hub-taiwan-expo/"/>
    <hyperlink ref="I21" r:id="rId17" display="https://www.eastech-medical.com/"/>
    <hyperlink ref="I23" r:id="rId18" display="https://singapore.vetshow.com/exhibitors/pretta-ultrasound"/>
    <hyperlink ref="I24" r:id="rId19" display="https://sva.org.sg/news/tp-svi-small-animal-vet-ultrasound-courses/"/>
    <hyperlink ref="I25" r:id="rId20" display="https://www.medicalfair-asia.com/exhibitor-list/"/>
  </hyperlink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2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2026-10-25T11:41:26Z</dcterms:created>
  <dc:creator>openpyxl</dc:creator>
  <dc:description/>
  <dc:language>en-US</dc:language>
  <cp:lastModifiedBy/>
  <dcterms:modified xsi:type="dcterms:W3CDTF">2026-10-25T11:41:27Z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