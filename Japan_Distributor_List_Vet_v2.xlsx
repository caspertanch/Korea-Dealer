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List" sheetId="1" state="visible" r:id="rId1"/>
    <sheet xmlns:r="http://schemas.openxmlformats.org/officeDocument/2006/relationships" name="Distributor Shortlist" sheetId="2" state="visible" r:id="rId2"/>
    <sheet xmlns:r="http://schemas.openxmlformats.org/officeDocument/2006/relationships" name="Hospital Groups" sheetId="3" state="visible" r:id="rId3"/>
    <sheet xmlns:r="http://schemas.openxmlformats.org/officeDocument/2006/relationships" name="By Region" sheetId="4" state="visible" r:id="rId4"/>
    <sheet xmlns:r="http://schemas.openxmlformats.org/officeDocument/2006/relationships" name="Summary" sheetId="5" state="visible" r:id="rId5"/>
    <sheet xmlns:r="http://schemas.openxmlformats.org/officeDocument/2006/relationships" name="Sources" sheetId="6" state="visible" r:id="rId6"/>
  </sheets>
  <definedNames>
    <definedName name="_xlnm._FilterDatabase" localSheetId="0" hidden="1">'Master List'!$A$4:$AG$263</definedName>
    <definedName name="_xlnm._FilterDatabase" localSheetId="1" hidden="1">'Distributor Shortlist'!$A$4:$AG$60</definedName>
    <definedName name="_xlnm._FilterDatabase" localSheetId="2" hidden="1">'Hospital Groups'!$A$4:$AG$54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4"/>
    </font>
    <font>
      <name val="Arial"/>
      <i val="1"/>
      <sz val="9"/>
    </font>
    <font>
      <name val="Arial"/>
      <b val="1"/>
      <color rgb="00FFFFFF"/>
      <sz val="10"/>
    </font>
    <font>
      <name val="Arial"/>
      <sz val="9"/>
    </font>
    <font>
      <name val="Arial"/>
      <b val="1"/>
      <sz val="9"/>
    </font>
    <font>
      <name val="Arial"/>
      <color rgb="000563C1"/>
      <sz val="9"/>
      <u val="single"/>
    </font>
    <font>
      <name val="Arial"/>
      <b val="1"/>
      <color rgb="00FFFFFF"/>
      <sz val="9"/>
    </font>
    <font>
      <name val="Arial"/>
      <b val="1"/>
    </font>
    <font>
      <name val="Arial"/>
      <b val="1"/>
      <sz val="11"/>
    </font>
    <font>
      <name val="Arial"/>
      <b val="1"/>
      <color rgb="00FFFFFF"/>
    </font>
  </fonts>
  <fills count="10">
    <fill>
      <patternFill/>
    </fill>
    <fill>
      <patternFill patternType="gray125"/>
    </fill>
    <fill>
      <patternFill patternType="solid">
        <fgColor rgb="001F3864"/>
      </patternFill>
    </fill>
    <fill>
      <patternFill patternType="solid">
        <fgColor rgb="001F4E79"/>
      </patternFill>
    </fill>
    <fill>
      <patternFill patternType="solid">
        <fgColor rgb="002E75B6"/>
      </patternFill>
    </fill>
    <fill>
      <patternFill patternType="solid">
        <fgColor rgb="00548235"/>
      </patternFill>
    </fill>
    <fill>
      <patternFill patternType="solid">
        <fgColor rgb="00BF8F00"/>
      </patternFill>
    </fill>
    <fill>
      <patternFill patternType="solid">
        <fgColor rgb="00FFF2CC"/>
      </patternFill>
    </fill>
    <fill>
      <patternFill patternType="solid">
        <fgColor rgb="007030A0"/>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7" fillId="3" borderId="1" applyAlignment="1" pivotButton="0" quotePrefix="0" xfId="0">
      <alignment vertical="top" wrapText="1"/>
    </xf>
    <xf numFmtId="0" fontId="7" fillId="4"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4" fillId="7" borderId="1" applyAlignment="1" pivotButton="0" quotePrefix="0" xfId="0">
      <alignment vertical="top" wrapText="1"/>
    </xf>
    <xf numFmtId="0" fontId="7" fillId="8" borderId="1" applyAlignment="1" pivotButton="0" quotePrefix="0" xfId="0">
      <alignment vertical="top" wrapText="1"/>
    </xf>
    <xf numFmtId="0" fontId="3" fillId="2" borderId="1" pivotButton="0" quotePrefix="0" xfId="0"/>
    <xf numFmtId="0" fontId="4" fillId="0" borderId="1" pivotButton="0" quotePrefix="0" xfId="0"/>
    <xf numFmtId="0" fontId="4" fillId="9" borderId="1" pivotButton="0" quotePrefix="0" xfId="0"/>
    <xf numFmtId="0" fontId="8" fillId="0" borderId="0" pivotButton="0" quotePrefix="0" xfId="0"/>
    <xf numFmtId="0" fontId="2" fillId="0" borderId="0" pivotButton="0" quotePrefix="0" xfId="0"/>
    <xf numFmtId="0" fontId="9" fillId="0" borderId="0" pivotButton="0" quotePrefix="0" xfId="0"/>
    <xf numFmtId="0" fontId="10" fillId="3" borderId="1" applyAlignment="1" pivotButton="0" quotePrefix="0" xfId="0">
      <alignment vertical="top" wrapText="1"/>
    </xf>
    <xf numFmtId="0" fontId="10" fillId="4" borderId="1" applyAlignment="1" pivotButton="0" quotePrefix="0" xfId="0">
      <alignment vertical="top" wrapText="1"/>
    </xf>
    <xf numFmtId="0" fontId="10" fillId="5" borderId="1" applyAlignment="1" pivotButton="0" quotePrefix="0" xfId="0">
      <alignment vertical="top" wrapText="1"/>
    </xf>
    <xf numFmtId="0" fontId="10" fillId="6" borderId="1" applyAlignment="1" pivotButton="0" quotePrefix="0" xfId="0">
      <alignment vertical="top" wrapText="1"/>
    </xf>
    <xf numFmtId="0" fontId="10" fillId="8" borderId="1" applyAlignment="1" pivotButton="0" quotePrefix="0" xfId="0">
      <alignment vertical="top" wrapText="1"/>
    </xf>
    <xf numFmtId="0" fontId="4"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scjp.co.jp/csc-medical/products/vet-videoscope.html" TargetMode="External" Id="rId1"/><Relationship Type="http://schemas.openxmlformats.org/officeDocument/2006/relationships/hyperlink" Target="https://cscjp.co.jp/csc-medical/products/vet-videoscope.html" TargetMode="External" Id="rId2"/><Relationship Type="http://schemas.openxmlformats.org/officeDocument/2006/relationships/hyperlink" Target="https://arkraythinkanimal.com" TargetMode="External" Id="rId3"/><Relationship Type="http://schemas.openxmlformats.org/officeDocument/2006/relationships/hyperlink" Target="https://www.vm.nval.go.jp/public/detail/16030" TargetMode="External" Id="rId4"/><Relationship Type="http://schemas.openxmlformats.org/officeDocument/2006/relationships/hyperlink" Target="https://www.nosawa.co.jp/" TargetMode="External" Id="rId5"/><Relationship Type="http://schemas.openxmlformats.org/officeDocument/2006/relationships/hyperlink" Target="https://vm.nval.go.jp/?mfg_dealer_name=&amp;sort=MANUFACTURING_DEALER&amp;submit=submit" TargetMode="External" Id="rId6"/><Relationship Type="http://schemas.openxmlformats.org/officeDocument/2006/relationships/hyperlink" Target="https://www.olympus-marketing.co.jp/business/animal/" TargetMode="External" Id="rId7"/><Relationship Type="http://schemas.openxmlformats.org/officeDocument/2006/relationships/hyperlink" Target="https://www.olympus-marketing.co.jp/business/animal/" TargetMode="External" Id="rId8"/><Relationship Type="http://schemas.openxmlformats.org/officeDocument/2006/relationships/hyperlink" Target="https://www.kyoritsu-shokai.com" TargetMode="External" Id="rId9"/><Relationship Type="http://schemas.openxmlformats.org/officeDocument/2006/relationships/hyperlink" Target="https://www.kyoritsu-shokai.com/company/%E5%8C%BB%E8%96%AC%E5%93%81%E3%83%BB%E5%8B%95%E7%89%A9%E7%94%A8%E5%8C%BB%E8%96%AC%E5%93%81%E8%A8%B1%E5%8F%AF%E8%A8%BC%E9%96%A2%E9%80%A3/" TargetMode="External" Id="rId10"/><Relationship Type="http://schemas.openxmlformats.org/officeDocument/2006/relationships/hyperlink" Target="https://ts-xray.com" TargetMode="External" Id="rId11"/><Relationship Type="http://schemas.openxmlformats.org/officeDocument/2006/relationships/hyperlink" Target="https://www.pref.saitama.lg.jp/documents/236933/0343_tands.pdf" TargetMode="External" Id="rId12"/><Relationship Type="http://schemas.openxmlformats.org/officeDocument/2006/relationships/hyperlink" Target="https://www.vm.nval.go.jp/public/detail/17793" TargetMode="External" Id="rId13"/><Relationship Type="http://schemas.openxmlformats.org/officeDocument/2006/relationships/hyperlink" Target="https://aison.jp/" TargetMode="External" Id="rId14"/><Relationship Type="http://schemas.openxmlformats.org/officeDocument/2006/relationships/hyperlink" Target="https://www.vm.nval.go.jp/public/detail/19613" TargetMode="External" Id="rId15"/><Relationship Type="http://schemas.openxmlformats.org/officeDocument/2006/relationships/hyperlink" Target="https://www.vm.nval.go.jp/public/detail/12549" TargetMode="External" Id="rId16"/><Relationship Type="http://schemas.openxmlformats.org/officeDocument/2006/relationships/hyperlink" Target="https://www.vm.nval.go.jp/public/detail/6770" TargetMode="External" Id="rId17"/><Relationship Type="http://schemas.openxmlformats.org/officeDocument/2006/relationships/hyperlink" Target="https://www.metran.co.jp/" TargetMode="External" Id="rId18"/><Relationship Type="http://schemas.openxmlformats.org/officeDocument/2006/relationships/hyperlink" Target="https://www.vm.nval.go.jp/public/detail/18306" TargetMode="External" Id="rId19"/><Relationship Type="http://schemas.openxmlformats.org/officeDocument/2006/relationships/hyperlink" Target="https://rayvision.co.jp/" TargetMode="External" Id="rId20"/><Relationship Type="http://schemas.openxmlformats.org/officeDocument/2006/relationships/hyperlink" Target="https://rayvision.co.jp/" TargetMode="External" Id="rId21"/><Relationship Type="http://schemas.openxmlformats.org/officeDocument/2006/relationships/hyperlink" Target="https://www.top-tokyo.co.jp/products/veterinary/" TargetMode="External" Id="rId22"/><Relationship Type="http://schemas.openxmlformats.org/officeDocument/2006/relationships/hyperlink" Target="https://www.top-tokyo.co.jp/products/veterinary/" TargetMode="External" Id="rId23"/><Relationship Type="http://schemas.openxmlformats.org/officeDocument/2006/relationships/hyperlink" Target="https://www.asahi-intecc-vet.com/" TargetMode="External" Id="rId24"/><Relationship Type="http://schemas.openxmlformats.org/officeDocument/2006/relationships/hyperlink" Target="https://www.rdsupport-tenshoku.jp/search/JOB40843" TargetMode="External" Id="rId25"/><Relationship Type="http://schemas.openxmlformats.org/officeDocument/2006/relationships/hyperlink" Target="https://www.horiba.com/jpn/medical/" TargetMode="External" Id="rId26"/><Relationship Type="http://schemas.openxmlformats.org/officeDocument/2006/relationships/hyperlink" Target="https://www.vm.nval.go.jp/public/detail/19457" TargetMode="External" Id="rId27"/><Relationship Type="http://schemas.openxmlformats.org/officeDocument/2006/relationships/hyperlink" Target="https://medical-space.co.jp/products/manufacturer/%E5%B3%B6%E6%B4%A5%E8%A3%BD%E4%BD%9C%E6%89%80/" TargetMode="External" Id="rId28"/><Relationship Type="http://schemas.openxmlformats.org/officeDocument/2006/relationships/hyperlink" Target="https://www.vet.meiji.com" TargetMode="External" Id="rId29"/><Relationship Type="http://schemas.openxmlformats.org/officeDocument/2006/relationships/hyperlink" Target="https://www.vet.meiji.com/corporate/outline.html" TargetMode="External" Id="rId30"/><Relationship Type="http://schemas.openxmlformats.org/officeDocument/2006/relationships/hyperlink" Target="https://www.yasui-kk.co.jp" TargetMode="External" Id="rId31"/><Relationship Type="http://schemas.openxmlformats.org/officeDocument/2006/relationships/hyperlink" Target="https://www.yasui-kk.co.jp/medical-news/2721/" TargetMode="External" Id="rId32"/><Relationship Type="http://schemas.openxmlformats.org/officeDocument/2006/relationships/hyperlink" Target="https://ahhd.jp/I0000004" TargetMode="External" Id="rId33"/><Relationship Type="http://schemas.openxmlformats.org/officeDocument/2006/relationships/hyperlink" Target="https://amco.co.jp" TargetMode="External" Id="rId34"/><Relationship Type="http://schemas.openxmlformats.org/officeDocument/2006/relationships/hyperlink" Target="http://www.miyano-medix.com/service7.html" TargetMode="External" Id="rId35"/><Relationship Type="http://schemas.openxmlformats.org/officeDocument/2006/relationships/hyperlink" Target="http://akiyama-elp.com/gaiyou.html" TargetMode="External" Id="rId36"/><Relationship Type="http://schemas.openxmlformats.org/officeDocument/2006/relationships/hyperlink" Target="https://vm.nval.go.jp/?page=115&amp;submit=submit" TargetMode="External" Id="rId37"/><Relationship Type="http://schemas.openxmlformats.org/officeDocument/2006/relationships/hyperlink" Target="https://astec-medical.co.jp/" TargetMode="External" Id="rId38"/><Relationship Type="http://schemas.openxmlformats.org/officeDocument/2006/relationships/hyperlink" Target="https://www.vm.nval.go.jp/public/detail/19578" TargetMode="External" Id="rId39"/><Relationship Type="http://schemas.openxmlformats.org/officeDocument/2006/relationships/hyperlink" Target="http://www.createmedic.co.jp/products/animal_2/" TargetMode="External" Id="rId40"/><Relationship Type="http://schemas.openxmlformats.org/officeDocument/2006/relationships/hyperlink" Target="https://www.vm.nval.go.jp/public/detail/17513" TargetMode="External" Id="rId41"/><Relationship Type="http://schemas.openxmlformats.org/officeDocument/2006/relationships/hyperlink" Target="https://erma.co.jp/" TargetMode="External" Id="rId42"/><Relationship Type="http://schemas.openxmlformats.org/officeDocument/2006/relationships/hyperlink" Target="https://www.vm.nval.go.jp/public/detail/18103" TargetMode="External" Id="rId43"/><Relationship Type="http://schemas.openxmlformats.org/officeDocument/2006/relationships/hyperlink" Target="https://ahhd.jp/I0000004" TargetMode="External" Id="rId44"/><Relationship Type="http://schemas.openxmlformats.org/officeDocument/2006/relationships/hyperlink" Target="https://surge-m.co.jp" TargetMode="External" Id="rId45"/><Relationship Type="http://schemas.openxmlformats.org/officeDocument/2006/relationships/hyperlink" Target="https://www.vm.nval.go.jp/public/detail/6752" TargetMode="External" Id="rId46"/><Relationship Type="http://schemas.openxmlformats.org/officeDocument/2006/relationships/hyperlink" Target="https://ahhd.jp/I0000004" TargetMode="External" Id="rId47"/><Relationship Type="http://schemas.openxmlformats.org/officeDocument/2006/relationships/hyperlink" Target="https://www.tokyoiken.co.jp/" TargetMode="External" Id="rId48"/><Relationship Type="http://schemas.openxmlformats.org/officeDocument/2006/relationships/hyperlink" Target="https://ahhd.jp/I0000004" TargetMode="External" Id="rId49"/><Relationship Type="http://schemas.openxmlformats.org/officeDocument/2006/relationships/hyperlink" Target="https://www.skylux.co.jp/product/" TargetMode="External" Id="rId50"/><Relationship Type="http://schemas.openxmlformats.org/officeDocument/2006/relationships/hyperlink" Target="https://www.skylux.co.jp/product/" TargetMode="External" Id="rId51"/><Relationship Type="http://schemas.openxmlformats.org/officeDocument/2006/relationships/hyperlink" Target="https://www.acoma.com/" TargetMode="External" Id="rId52"/><Relationship Type="http://schemas.openxmlformats.org/officeDocument/2006/relationships/hyperlink" Target="https://munatex.com/products/5863/" TargetMode="External" Id="rId53"/><Relationship Type="http://schemas.openxmlformats.org/officeDocument/2006/relationships/hyperlink" Target="https://www.vm.nval.go.jp/public/detail/11016" TargetMode="External" Id="rId54"/><Relationship Type="http://schemas.openxmlformats.org/officeDocument/2006/relationships/hyperlink" Target="https://www.taiyo-denshi.com/" TargetMode="External" Id="rId55"/><Relationship Type="http://schemas.openxmlformats.org/officeDocument/2006/relationships/hyperlink" Target="https://www.jamo.or.jp/member/" TargetMode="External" Id="rId56"/><Relationship Type="http://schemas.openxmlformats.org/officeDocument/2006/relationships/hyperlink" Target="https://www.kimuramed.jp/" TargetMode="External" Id="rId57"/><Relationship Type="http://schemas.openxmlformats.org/officeDocument/2006/relationships/hyperlink" Target="https://medical-space.co.jp/products/2309/" TargetMode="External" Id="rId58"/><Relationship Type="http://schemas.openxmlformats.org/officeDocument/2006/relationships/hyperlink" Target="https://www.marubun.co.jp" TargetMode="External" Id="rId59"/><Relationship Type="http://schemas.openxmlformats.org/officeDocument/2006/relationships/hyperlink" Target="https://www.marubun.co.jp/info/2024/50370" TargetMode="External" Id="rId60"/><Relationship Type="http://schemas.openxmlformats.org/officeDocument/2006/relationships/hyperlink" Target="https://www.sophiatech.co.jp" TargetMode="External" Id="rId61"/><Relationship Type="http://schemas.openxmlformats.org/officeDocument/2006/relationships/hyperlink" Target="https://www.sophiatech.co.jp/orthppedic-implants?lightbox=image9xt" TargetMode="External" Id="rId62"/><Relationship Type="http://schemas.openxmlformats.org/officeDocument/2006/relationships/hyperlink" Target="https://kruz-medical.co.jp/" TargetMode="External" Id="rId63"/><Relationship Type="http://schemas.openxmlformats.org/officeDocument/2006/relationships/hyperlink" Target="https://kruz-medical.co.jp/business/" TargetMode="External" Id="rId64"/><Relationship Type="http://schemas.openxmlformats.org/officeDocument/2006/relationships/hyperlink" Target="https://www.jamo.or.jp/member/" TargetMode="External" Id="rId65"/><Relationship Type="http://schemas.openxmlformats.org/officeDocument/2006/relationships/hyperlink" Target="https://frontier-intl.co.jp" TargetMode="External" Id="rId66"/><Relationship Type="http://schemas.openxmlformats.org/officeDocument/2006/relationships/hyperlink" Target="https://frontier-intl.co.jp/product/tyouonpasindankilist/" TargetMode="External" Id="rId67"/><Relationship Type="http://schemas.openxmlformats.org/officeDocument/2006/relationships/hyperlink" Target="https://www.jamo.or.jp/member/" TargetMode="External" Id="rId68"/><Relationship Type="http://schemas.openxmlformats.org/officeDocument/2006/relationships/hyperlink" Target="https://www.cornesag.com" TargetMode="External" Id="rId69"/><Relationship Type="http://schemas.openxmlformats.org/officeDocument/2006/relationships/hyperlink" Target="https://www.cornesag.com/product/milking/breeding_management/afimilk_afiact/feature.html" TargetMode="External" Id="rId70"/><Relationship Type="http://schemas.openxmlformats.org/officeDocument/2006/relationships/hyperlink" Target="https://sakai-me.com/" TargetMode="External" Id="rId71"/><Relationship Type="http://schemas.openxmlformats.org/officeDocument/2006/relationships/hyperlink" Target="https://sakai-me.com/" TargetMode="External" Id="rId72"/><Relationship Type="http://schemas.openxmlformats.org/officeDocument/2006/relationships/hyperlink" Target="https://shinmedico.jp/" TargetMode="External" Id="rId73"/><Relationship Type="http://schemas.openxmlformats.org/officeDocument/2006/relationships/hyperlink" Target="https://baseconnect.in/companies/prefecture/3420045f-8609-4232-9407-75407ae4e6e8/keyword/a68873de-8c54-4a2c-820f-e04c8b93064c" TargetMode="External" Id="rId74"/><Relationship Type="http://schemas.openxmlformats.org/officeDocument/2006/relationships/hyperlink" Target="http://www.asuka-med.com" TargetMode="External" Id="rId75"/><Relationship Type="http://schemas.openxmlformats.org/officeDocument/2006/relationships/hyperlink" Target="https://www.jamo.or.jp/member/" TargetMode="External" Id="rId76"/><Relationship Type="http://schemas.openxmlformats.org/officeDocument/2006/relationships/hyperlink" Target="https://www.jamo.or.jp/member/" TargetMode="External" Id="rId77"/><Relationship Type="http://schemas.openxmlformats.org/officeDocument/2006/relationships/hyperlink" Target="https://news.jprpet.com/company/list/175/" TargetMode="External" Id="rId78"/><Relationship Type="http://schemas.openxmlformats.org/officeDocument/2006/relationships/hyperlink" Target="https://www.flexmedical.jp/" TargetMode="External" Id="rId79"/><Relationship Type="http://schemas.openxmlformats.org/officeDocument/2006/relationships/hyperlink" Target="https://www.jamo.or.jp/member/" TargetMode="External" Id="rId80"/><Relationship Type="http://schemas.openxmlformats.org/officeDocument/2006/relationships/hyperlink" Target="https://kind-medical.co.jp/" TargetMode="External" Id="rId81"/><Relationship Type="http://schemas.openxmlformats.org/officeDocument/2006/relationships/hyperlink" Target="https://kind-medical.co.jp/" TargetMode="External" Id="rId82"/><Relationship Type="http://schemas.openxmlformats.org/officeDocument/2006/relationships/hyperlink" Target="https://www.e-mcast.co.jp" TargetMode="External" Id="rId83"/><Relationship Type="http://schemas.openxmlformats.org/officeDocument/2006/relationships/hyperlink" Target="https://www.e-mcast.co.jp/shop/r/rdoubutsu/" TargetMode="External" Id="rId84"/><Relationship Type="http://schemas.openxmlformats.org/officeDocument/2006/relationships/hyperlink" Target="https://meilleur.co.jp/" TargetMode="External" Id="rId85"/><Relationship Type="http://schemas.openxmlformats.org/officeDocument/2006/relationships/hyperlink" Target="https://www.jamo.or.jp/member/" TargetMode="External" Id="rId86"/><Relationship Type="http://schemas.openxmlformats.org/officeDocument/2006/relationships/hyperlink" Target="http://www.nihoniryo.co.jp/" TargetMode="External" Id="rId87"/><Relationship Type="http://schemas.openxmlformats.org/officeDocument/2006/relationships/hyperlink" Target="https://news.jprpet.com/company/list/175/" TargetMode="External" Id="rId88"/><Relationship Type="http://schemas.openxmlformats.org/officeDocument/2006/relationships/hyperlink" Target="https://www.vetpartners.co.jp/" TargetMode="External" Id="rId89"/><Relationship Type="http://schemas.openxmlformats.org/officeDocument/2006/relationships/hyperlink" Target="https://www.rdsupport-tenshoku.jp/search/JOB40843" TargetMode="External" Id="rId90"/><Relationship Type="http://schemas.openxmlformats.org/officeDocument/2006/relationships/hyperlink" Target="https://www.animalpharmacy.jp/" TargetMode="External" Id="rId91"/><Relationship Type="http://schemas.openxmlformats.org/officeDocument/2006/relationships/hyperlink" Target="https://www.animalpharmacy.jp/" TargetMode="External" Id="rId92"/><Relationship Type="http://schemas.openxmlformats.org/officeDocument/2006/relationships/hyperlink" Target="https://arrows-healthcare.com" TargetMode="External" Id="rId93"/><Relationship Type="http://schemas.openxmlformats.org/officeDocument/2006/relationships/hyperlink" Target="https://arrows-healthcare.com/product/product_list?ccd=1017" TargetMode="External" Id="rId94"/><Relationship Type="http://schemas.openxmlformats.org/officeDocument/2006/relationships/hyperlink" Target="https://baseconnect.in/companies/prefecture/d80b180e-5fd9-4082-8cdc-a510179a3475/keyword/c53ff370-90f7-45dc-a0ee-e22bda2cde5e" TargetMode="External" Id="rId95"/><Relationship Type="http://schemas.openxmlformats.org/officeDocument/2006/relationships/hyperlink" Target="https://www.qix.co.jp" TargetMode="External" Id="rId96"/><Relationship Type="http://schemas.openxmlformats.org/officeDocument/2006/relationships/hyperlink" Target="https://www.qix.co.jp/news/322" TargetMode="External" Id="rId97"/><Relationship Type="http://schemas.openxmlformats.org/officeDocument/2006/relationships/hyperlink" Target="https://www.terucom.co.jp/" TargetMode="External" Id="rId98"/><Relationship Type="http://schemas.openxmlformats.org/officeDocument/2006/relationships/hyperlink" Target="https://www.jamo.or.jp/member/" TargetMode="External" Id="rId99"/><Relationship Type="http://schemas.openxmlformats.org/officeDocument/2006/relationships/hyperlink" Target="https://taishodou.jp/" TargetMode="External" Id="rId100"/><Relationship Type="http://schemas.openxmlformats.org/officeDocument/2006/relationships/hyperlink" Target="https://jadida.or.jp/doc/KaiinList20250401.pdf" TargetMode="External" Id="rId101"/><Relationship Type="http://schemas.openxmlformats.org/officeDocument/2006/relationships/hyperlink" Target="https://www.atol-com.co.jp/" TargetMode="External" Id="rId102"/><Relationship Type="http://schemas.openxmlformats.org/officeDocument/2006/relationships/hyperlink" Target="https://news.jprpet.com/company/list/174/" TargetMode="External" Id="rId103"/><Relationship Type="http://schemas.openxmlformats.org/officeDocument/2006/relationships/hyperlink" Target="https://www.kyusyumitaka.com/" TargetMode="External" Id="rId104"/><Relationship Type="http://schemas.openxmlformats.org/officeDocument/2006/relationships/hyperlink" Target="https://www.kyusyumitaka.com/" TargetMode="External" Id="rId105"/><Relationship Type="http://schemas.openxmlformats.org/officeDocument/2006/relationships/hyperlink" Target="https://jadida.or.jp/doc/KaiinList20250407.pdf" TargetMode="External" Id="rId106"/><Relationship Type="http://schemas.openxmlformats.org/officeDocument/2006/relationships/hyperlink" Target="https://news.jprpet.com/company/list/174/" TargetMode="External" Id="rId107"/><Relationship Type="http://schemas.openxmlformats.org/officeDocument/2006/relationships/hyperlink" Target="https://chubukasei.jp/" TargetMode="External" Id="rId108"/><Relationship Type="http://schemas.openxmlformats.org/officeDocument/2006/relationships/hyperlink" Target="https://jadida.or.jp/doc/KaiinList20250401.pdf" TargetMode="External" Id="rId109"/><Relationship Type="http://schemas.openxmlformats.org/officeDocument/2006/relationships/hyperlink" Target="https://news.jprpet.com/company/list/174/" TargetMode="External" Id="rId110"/><Relationship Type="http://schemas.openxmlformats.org/officeDocument/2006/relationships/hyperlink" Target="http://www.niigatafuji.co.jp" TargetMode="External" Id="rId111"/><Relationship Type="http://schemas.openxmlformats.org/officeDocument/2006/relationships/hyperlink" Target="https://www.jadida.or.jp/doc/KaiinList20241001.pdf" TargetMode="External" Id="rId112"/><Relationship Type="http://schemas.openxmlformats.org/officeDocument/2006/relationships/hyperlink" Target="https://jadida.or.jp/doc/KaiinList20250822.pdf" TargetMode="External" Id="rId113"/><Relationship Type="http://schemas.openxmlformats.org/officeDocument/2006/relationships/hyperlink" Target="https://jadida.or.jp/doc/KaiinList20250822.pdf" TargetMode="External" Id="rId114"/><Relationship Type="http://schemas.openxmlformats.org/officeDocument/2006/relationships/hyperlink" Target="https://sinbou.co.jp/" TargetMode="External" Id="rId115"/><Relationship Type="http://schemas.openxmlformats.org/officeDocument/2006/relationships/hyperlink" Target="https://jadida.or.jp/doc/KaiinList20250822.pdf" TargetMode="External" Id="rId116"/><Relationship Type="http://schemas.openxmlformats.org/officeDocument/2006/relationships/hyperlink" Target="https://www.jadida.or.jp/doc/KaiinList20241001.pdf" TargetMode="External" Id="rId117"/><Relationship Type="http://schemas.openxmlformats.org/officeDocument/2006/relationships/hyperlink" Target="https://jyuchiku.co.jp/" TargetMode="External" Id="rId118"/><Relationship Type="http://schemas.openxmlformats.org/officeDocument/2006/relationships/hyperlink" Target="https://jadida.or.jp/doc/KaiinList20250822.pdf" TargetMode="External" Id="rId119"/><Relationship Type="http://schemas.openxmlformats.org/officeDocument/2006/relationships/hyperlink" Target="https://www.matsudaiyaku.co.jp/" TargetMode="External" Id="rId120"/><Relationship Type="http://schemas.openxmlformats.org/officeDocument/2006/relationships/hyperlink" Target="https://jadida.or.jp/doc/KaiinList20250401.pdf" TargetMode="External" Id="rId121"/><Relationship Type="http://schemas.openxmlformats.org/officeDocument/2006/relationships/hyperlink" Target="https://www.jadida.or.jp/doc/KaiinList20241001.pdf" TargetMode="External" Id="rId122"/><Relationship Type="http://schemas.openxmlformats.org/officeDocument/2006/relationships/hyperlink" Target="http://www.wakoshoji.jp/" TargetMode="External" Id="rId123"/><Relationship Type="http://schemas.openxmlformats.org/officeDocument/2006/relationships/hyperlink" Target="https://jadida.or.jp/doc/KaiinList20250401.pdf" TargetMode="External" Id="rId124"/><Relationship Type="http://schemas.openxmlformats.org/officeDocument/2006/relationships/hyperlink" Target="https://news.jprpet.com/company/list/174/" TargetMode="External" Id="rId125"/><Relationship Type="http://schemas.openxmlformats.org/officeDocument/2006/relationships/hyperlink" Target="https://jadida.or.jp/doc/KaiinList20250822.pdf" TargetMode="External" Id="rId126"/><Relationship Type="http://schemas.openxmlformats.org/officeDocument/2006/relationships/hyperlink" Target="https://www.yuuwa-yakuhin.co.jp/" TargetMode="External" Id="rId127"/><Relationship Type="http://schemas.openxmlformats.org/officeDocument/2006/relationships/hyperlink" Target="https://news.jprpet.com/company/list/174/" TargetMode="External" Id="rId128"/><Relationship Type="http://schemas.openxmlformats.org/officeDocument/2006/relationships/hyperlink" Target="http://www.chuo-orion.co.jp/" TargetMode="External" Id="rId129"/><Relationship Type="http://schemas.openxmlformats.org/officeDocument/2006/relationships/hyperlink" Target="https://jadida.or.jp/doc/KaiinList20250822.pdf" TargetMode="External" Id="rId130"/><Relationship Type="http://schemas.openxmlformats.org/officeDocument/2006/relationships/hyperlink" Target="https://www.jadida.or.jp/doc/KaiinList20241001.pdf" TargetMode="External" Id="rId131"/><Relationship Type="http://schemas.openxmlformats.org/officeDocument/2006/relationships/hyperlink" Target="https://www.jpd-nd.com/" TargetMode="External" Id="rId132"/><Relationship Type="http://schemas.openxmlformats.org/officeDocument/2006/relationships/hyperlink" Target="https://info.gbiz.go.jp/hojin/ichiran?hojinBango=9011801003669" TargetMode="External" Id="rId133"/><Relationship Type="http://schemas.openxmlformats.org/officeDocument/2006/relationships/hyperlink" Target="https://www.sunibis.co.jp/" TargetMode="External" Id="rId134"/><Relationship Type="http://schemas.openxmlformats.org/officeDocument/2006/relationships/hyperlink" Target="https://news.jprpet.com/company/list/174/" TargetMode="External" Id="rId135"/><Relationship Type="http://schemas.openxmlformats.org/officeDocument/2006/relationships/hyperlink" Target="https://www.okimei.co.jp/" TargetMode="External" Id="rId136"/><Relationship Type="http://schemas.openxmlformats.org/officeDocument/2006/relationships/hyperlink" Target="https://jadida.or.jp/doc/KaiinList20250401.pdf" TargetMode="External" Id="rId137"/><Relationship Type="http://schemas.openxmlformats.org/officeDocument/2006/relationships/hyperlink" Target="https://jadida.or.jp/doc/KaiinList20250401.pdf" TargetMode="External" Id="rId138"/><Relationship Type="http://schemas.openxmlformats.org/officeDocument/2006/relationships/hyperlink" Target="https://www.fuji-keizai.co.jp/report/detail.html?code=122410710&amp;la=ja&amp;la=en" TargetMode="External" Id="rId139"/><Relationship Type="http://schemas.openxmlformats.org/officeDocument/2006/relationships/hyperlink" Target="https://www.jadida.or.jp/doc/KaiinList20241001.pdf" TargetMode="External" Id="rId140"/><Relationship Type="http://schemas.openxmlformats.org/officeDocument/2006/relationships/hyperlink" Target="https://www.jadida.or.jp/doc/KaiinList20241001.pdf" TargetMode="External" Id="rId141"/><Relationship Type="http://schemas.openxmlformats.org/officeDocument/2006/relationships/hyperlink" Target="https://www.fair-medical.jp/" TargetMode="External" Id="rId142"/><Relationship Type="http://schemas.openxmlformats.org/officeDocument/2006/relationships/hyperlink" Target="https://www.fair-medical.jp/" TargetMode="External" Id="rId143"/><Relationship Type="http://schemas.openxmlformats.org/officeDocument/2006/relationships/hyperlink" Target="https://www.wism-mutoh.jp" TargetMode="External" Id="rId144"/><Relationship Type="http://schemas.openxmlformats.org/officeDocument/2006/relationships/hyperlink" Target="https://www.wism-mutoh.jp/bases/?region=%E5%8C%97%E6%B5%B7%E9%81%93" TargetMode="External" Id="rId145"/><Relationship Type="http://schemas.openxmlformats.org/officeDocument/2006/relationships/hyperlink" Target="https://www.sysmex-tmc.co.jp/index.html" TargetMode="External" Id="rId146"/><Relationship Type="http://schemas.openxmlformats.org/officeDocument/2006/relationships/hyperlink" Target="https://www.jamo.or.jp/member/" TargetMode="External" Id="rId147"/><Relationship Type="http://schemas.openxmlformats.org/officeDocument/2006/relationships/hyperlink" Target="https://shiratake-med.com/" TargetMode="External" Id="rId148"/><Relationship Type="http://schemas.openxmlformats.org/officeDocument/2006/relationships/hyperlink" Target="https://shiratake-med.com/" TargetMode="External" Id="rId149"/><Relationship Type="http://schemas.openxmlformats.org/officeDocument/2006/relationships/hyperlink" Target="https://www.solve-net.com" TargetMode="External" Id="rId150"/><Relationship Type="http://schemas.openxmlformats.org/officeDocument/2006/relationships/hyperlink" Target="https://www.solve-net.com/info/tag/%E5%8B%95%E7%89%A9%E7%97%85%E9%99%A2%E5%90%91%E3%81%91%E8%A3%BD%E5%93%81/" TargetMode="External" Id="rId151"/><Relationship Type="http://schemas.openxmlformats.org/officeDocument/2006/relationships/hyperlink" Target="https://www.marubun-tsusyo.co.jp/" TargetMode="External" Id="rId152"/><Relationship Type="http://schemas.openxmlformats.org/officeDocument/2006/relationships/hyperlink" Target="https://baseconnect.in/companies/prefecture/4637ba90-383b-4656-8be1-ca34c7f7244f/keyword/89941b4e-2dd1-4848-8957-48af280a31e0" TargetMode="External" Id="rId153"/><Relationship Type="http://schemas.openxmlformats.org/officeDocument/2006/relationships/hyperlink" Target="https://mobix-kk.com/" TargetMode="External" Id="rId154"/><Relationship Type="http://schemas.openxmlformats.org/officeDocument/2006/relationships/hyperlink" Target="https://baseconnect.in/companies/prefecture/8de2e273-a5a8-45b9-8fc1-0fe6344d6843/keyword/14f3dcec-9cd5-4be5-84e1-ddccb7bd228c" TargetMode="External" Id="rId155"/><Relationship Type="http://schemas.openxmlformats.org/officeDocument/2006/relationships/hyperlink" Target="https://promedi.co.jp/" TargetMode="External" Id="rId156"/><Relationship Type="http://schemas.openxmlformats.org/officeDocument/2006/relationships/hyperlink" Target="https://baseconnect.in/companies/prefecture/4637ba90-383b-4656-8be1-ca34c7f7244f/keyword/89941b4e-2dd1-4848-8957-48af280a31e0" TargetMode="External" Id="rId157"/><Relationship Type="http://schemas.openxmlformats.org/officeDocument/2006/relationships/hyperlink" Target="https://www.ishiguro-medical.jp/" TargetMode="External" Id="rId158"/><Relationship Type="http://schemas.openxmlformats.org/officeDocument/2006/relationships/hyperlink" Target="https://baseconnect.in/companies/prefecture/63038c5a-e328-472b-b9cc-039738609ba7/category/b2358a1c-c4c6-46f4-a0b1-dee3a1b30a0b" TargetMode="External" Id="rId159"/><Relationship Type="http://schemas.openxmlformats.org/officeDocument/2006/relationships/hyperlink" Target="https://baseconnect.in/companies/keyword/4d87c1c6-1be0-402b-9086-9c71cd173036" TargetMode="External" Id="rId160"/><Relationship Type="http://schemas.openxmlformats.org/officeDocument/2006/relationships/hyperlink" Target="https://baseconnect.in/companies/prefecture/3420045f-8609-4232-9407-75407ae4e6e8/category/b2358a1c-c4c6-46f4-a0b1-dee3a1b30a0b" TargetMode="External" Id="rId161"/><Relationship Type="http://schemas.openxmlformats.org/officeDocument/2006/relationships/hyperlink" Target="https://www.kuribara.co.jp/" TargetMode="External" Id="rId162"/><Relationship Type="http://schemas.openxmlformats.org/officeDocument/2006/relationships/hyperlink" Target="https://www.r-agent.com/company/c7230/" TargetMode="External" Id="rId163"/><Relationship Type="http://schemas.openxmlformats.org/officeDocument/2006/relationships/hyperlink" Target="https://www.kishiya.co.jp" TargetMode="External" Id="rId164"/><Relationship Type="http://schemas.openxmlformats.org/officeDocument/2006/relationships/hyperlink" Target="https://www.kishiya.co.jp/group/" TargetMode="External" Id="rId165"/><Relationship Type="http://schemas.openxmlformats.org/officeDocument/2006/relationships/hyperlink" Target="https://www.yamashitaika.co.jp/" TargetMode="External" Id="rId166"/><Relationship Type="http://schemas.openxmlformats.org/officeDocument/2006/relationships/hyperlink" Target="https://job.mynavi.jp/27/pc/search/corp80535/outline.html" TargetMode="External" Id="rId167"/><Relationship Type="http://schemas.openxmlformats.org/officeDocument/2006/relationships/hyperlink" Target="https://www.mac-inc.co.jp/" TargetMode="External" Id="rId168"/><Relationship Type="http://schemas.openxmlformats.org/officeDocument/2006/relationships/hyperlink" Target="https://baseconnect.in/companies/prefecture/9ebb3838-effc-47da-b634-994957a78319/keyword/14f3dcec-9cd5-4be5-84e1-ddccb7bd228c" TargetMode="External" Id="rId169"/><Relationship Type="http://schemas.openxmlformats.org/officeDocument/2006/relationships/hyperlink" Target="https://baseconnect.in/companies/prefecture/47b312cd-84c4-4e89-951a-b56344bc774e/keyword/89941b4e-2dd1-4848-8957-48af280a31e0" TargetMode="External" Id="rId170"/><Relationship Type="http://schemas.openxmlformats.org/officeDocument/2006/relationships/hyperlink" Target="https://www.nikkei.com/compass/search/Y2F0ZWdvcnk9Y29tcGFueSZyZWdpb249MjMmaW5kdXN0cnlTPTA1MzI" TargetMode="External" Id="rId171"/><Relationship Type="http://schemas.openxmlformats.org/officeDocument/2006/relationships/hyperlink" Target="https://baseconnect.in/companies/prefecture/3cf97f91-8b39-4cdb-981b-d035b0176b65/keyword/89941b4e-2dd1-4848-8957-48af280a31e0" TargetMode="External" Id="rId172"/><Relationship Type="http://schemas.openxmlformats.org/officeDocument/2006/relationships/hyperlink" Target="https://baseconnect.in/companies/prefecture/8de2e273-a5a8-45b9-8fc1-0fe6344d6843/keyword/14f3dcec-9cd5-4be5-84e1-ddccb7bd228c" TargetMode="External" Id="rId173"/><Relationship Type="http://schemas.openxmlformats.org/officeDocument/2006/relationships/hyperlink" Target="https://www.nikkei.com/compass/search/Y2F0ZWdvcnk9Y29tcGFueSZyZWdpb249MjMmaW5kdXN0cnlTPTA1MzI" TargetMode="External" Id="rId174"/><Relationship Type="http://schemas.openxmlformats.org/officeDocument/2006/relationships/hyperlink" Target="https://baseconnect.in/companies/prefecture/aed784f6-cd06-4f72-95d9-876e82d37385/keyword/89941b4e-2dd1-4848-8957-48af280a31e0" TargetMode="External" Id="rId175"/><Relationship Type="http://schemas.openxmlformats.org/officeDocument/2006/relationships/hyperlink" Target="http://www.kk-himec.co.jp/" TargetMode="External" Id="rId176"/><Relationship Type="http://schemas.openxmlformats.org/officeDocument/2006/relationships/hyperlink" Target="https://baseconnect.in/companies/prefecture/31ffefed-1183-4eba-a6d9-4182a6136e50/keyword/14f3dcec-9cd5-4be5-84e1-ddccb7bd228c" TargetMode="External" Id="rId177"/><Relationship Type="http://schemas.openxmlformats.org/officeDocument/2006/relationships/hyperlink" Target="https://baseconnect.in/companies/prefecture/31ffefed-1183-4eba-a6d9-4182a6136e50/keyword/14f3dcec-9cd5-4be5-84e1-ddccb7bd228c" TargetMode="External" Id="rId178"/><Relationship Type="http://schemas.openxmlformats.org/officeDocument/2006/relationships/hyperlink" Target="https://tenshoku.mynavi.jp/company/list/i02090/" TargetMode="External" Id="rId179"/><Relationship Type="http://schemas.openxmlformats.org/officeDocument/2006/relationships/hyperlink" Target="https://baseconnect.in/companies/prefecture/aed784f6-cd06-4f72-95d9-876e82d37385/keyword/89941b4e-2dd1-4848-8957-48af280a31e0" TargetMode="External" Id="rId180"/><Relationship Type="http://schemas.openxmlformats.org/officeDocument/2006/relationships/hyperlink" Target="https://www.knowmed.jp/" TargetMode="External" Id="rId181"/><Relationship Type="http://schemas.openxmlformats.org/officeDocument/2006/relationships/hyperlink" Target="https://tenshoku.mynavi.jp/company/list/i02090/" TargetMode="External" Id="rId182"/><Relationship Type="http://schemas.openxmlformats.org/officeDocument/2006/relationships/hyperlink" Target="https://www.kyowaika.co.jp" TargetMode="External" Id="rId183"/><Relationship Type="http://schemas.openxmlformats.org/officeDocument/2006/relationships/hyperlink" Target="https://logokit.com/brands/kyowaika.co.jp" TargetMode="External" Id="rId184"/><Relationship Type="http://schemas.openxmlformats.org/officeDocument/2006/relationships/hyperlink" Target="https://baseconnect.in/companies/prefecture/60622468-79bd-4eef-86f8-cb69d1ef09f0/keyword/14f3dcec-9cd5-4be5-84e1-ddccb7bd228c" TargetMode="External" Id="rId185"/><Relationship Type="http://schemas.openxmlformats.org/officeDocument/2006/relationships/hyperlink" Target="https://www.mshhs.com/" TargetMode="External" Id="rId186"/><Relationship Type="http://schemas.openxmlformats.org/officeDocument/2006/relationships/hyperlink" Target="https://baseconnect.in/companies/prefecture/4637ba90-383b-4656-8be1-ca34c7f7244f/keyword/89941b4e-2dd1-4848-8957-48af280a31e0" TargetMode="External" Id="rId187"/><Relationship Type="http://schemas.openxmlformats.org/officeDocument/2006/relationships/hyperlink" Target="https://www.navitime.co.jp/category/0516/23/?tags=010190" TargetMode="External" Id="rId188"/><Relationship Type="http://schemas.openxmlformats.org/officeDocument/2006/relationships/hyperlink" Target="https://baseconnect.in/companies/prefecture/47b312cd-84c4-4e89-951a-b56344bc774e/keyword/89941b4e-2dd1-4848-8957-48af280a31e0" TargetMode="External" Id="rId189"/><Relationship Type="http://schemas.openxmlformats.org/officeDocument/2006/relationships/hyperlink" Target="https://baseconnect.in/companies/prefecture/31ffefed-1183-4eba-a6d9-4182a6136e50/keyword/14f3dcec-9cd5-4be5-84e1-ddccb7bd228c" TargetMode="External" Id="rId190"/><Relationship Type="http://schemas.openxmlformats.org/officeDocument/2006/relationships/hyperlink" Target="https://www.navitime.co.jp/category/0516/23/?tags=010190" TargetMode="External" Id="rId191"/><Relationship Type="http://schemas.openxmlformats.org/officeDocument/2006/relationships/hyperlink" Target="http://www.shizuokaika.co.jp/" TargetMode="External" Id="rId192"/><Relationship Type="http://schemas.openxmlformats.org/officeDocument/2006/relationships/hyperlink" Target="http://www.shizuokaika.co.jp/" TargetMode="External" Id="rId193"/><Relationship Type="http://schemas.openxmlformats.org/officeDocument/2006/relationships/hyperlink" Target="https://www.navitime.co.jp/category/0516/28110/?tags=010447" TargetMode="External" Id="rId194"/><Relationship Type="http://schemas.openxmlformats.org/officeDocument/2006/relationships/hyperlink" Target="https://www.t-t-m.co.jp/TTM_WEB/" TargetMode="External" Id="rId195"/><Relationship Type="http://schemas.openxmlformats.org/officeDocument/2006/relationships/hyperlink" Target="https://www.navitime.co.jp/category/0516/23/?tags=010190" TargetMode="External" Id="rId196"/><Relationship Type="http://schemas.openxmlformats.org/officeDocument/2006/relationships/hyperlink" Target="https://touzai-iyouki.com/" TargetMode="External" Id="rId197"/><Relationship Type="http://schemas.openxmlformats.org/officeDocument/2006/relationships/hyperlink" Target="https://touzai-iyouki.com/" TargetMode="External" Id="rId198"/><Relationship Type="http://schemas.openxmlformats.org/officeDocument/2006/relationships/hyperlink" Target="https://baseconnect.in/companies/prefecture/60622468-79bd-4eef-86f8-cb69d1ef09f0/keyword/14f3dcec-9cd5-4be5-84e1-ddccb7bd228c" TargetMode="External" Id="rId199"/><Relationship Type="http://schemas.openxmlformats.org/officeDocument/2006/relationships/hyperlink" Target="https://www.yagami.co.jp/" TargetMode="External" Id="rId200"/><Relationship Type="http://schemas.openxmlformats.org/officeDocument/2006/relationships/hyperlink" Target="https://note.com/arrows_column/n/nd4fd35a1d8b1" TargetMode="External" Id="rId201"/><Relationship Type="http://schemas.openxmlformats.org/officeDocument/2006/relationships/hyperlink" Target="https://astis.co.jp/" TargetMode="External" Id="rId202"/><Relationship Type="http://schemas.openxmlformats.org/officeDocument/2006/relationships/hyperlink" Target="https://astis.co.jp/" TargetMode="External" Id="rId203"/><Relationship Type="http://schemas.openxmlformats.org/officeDocument/2006/relationships/hyperlink" Target="https://eiko165.co.jp/" TargetMode="External" Id="rId204"/><Relationship Type="http://schemas.openxmlformats.org/officeDocument/2006/relationships/hyperlink" Target="https://eiko165.co.jp/" TargetMode="External" Id="rId205"/><Relationship Type="http://schemas.openxmlformats.org/officeDocument/2006/relationships/hyperlink" Target="https://www.fukuda.co.jp/company/lt/lt_area05.html" TargetMode="External" Id="rId206"/><Relationship Type="http://schemas.openxmlformats.org/officeDocument/2006/relationships/hyperlink" Target="https://www.fukuda.co.jp/company/lt/lt_area05.html" TargetMode="External" Id="rId207"/><Relationship Type="http://schemas.openxmlformats.org/officeDocument/2006/relationships/hyperlink" Target="https://www.kawanishi-md.co.jp/kw/" TargetMode="External" Id="rId208"/><Relationship Type="http://schemas.openxmlformats.org/officeDocument/2006/relationships/hyperlink" Target="https://kitaishihon.com/company/2689/story" TargetMode="External" Id="rId209"/><Relationship Type="http://schemas.openxmlformats.org/officeDocument/2006/relationships/hyperlink" Target="https://jml-west.jp/" TargetMode="External" Id="rId210"/><Relationship Type="http://schemas.openxmlformats.org/officeDocument/2006/relationships/hyperlink" Target="https://www.fukuda.co.jp/company/lt/lt_area05.html" TargetMode="External" Id="rId211"/><Relationship Type="http://schemas.openxmlformats.org/officeDocument/2006/relationships/hyperlink" Target="https://www.fukuda.co.jp/company/lt/lt_area05.html" TargetMode="External" Id="rId212"/><Relationship Type="http://schemas.openxmlformats.org/officeDocument/2006/relationships/hyperlink" Target="https://shikokuiryoki.com/" TargetMode="External" Id="rId213"/><Relationship Type="http://schemas.openxmlformats.org/officeDocument/2006/relationships/hyperlink" Target="https://shikokuiryoki.com/about/" TargetMode="External" Id="rId214"/><Relationship Type="http://schemas.openxmlformats.org/officeDocument/2006/relationships/hyperlink" Target="https://www.fukuda.co.jp/company/lt/lt_area05.html" TargetMode="External" Id="rId215"/><Relationship Type="http://schemas.openxmlformats.org/officeDocument/2006/relationships/hyperlink" Target="https://t-iryoki.co.jp/" TargetMode="External" Id="rId216"/><Relationship Type="http://schemas.openxmlformats.org/officeDocument/2006/relationships/hyperlink" Target="https://www.fukuda.co.jp/company/lt/lt_area05.html" TargetMode="External" Id="rId217"/><Relationship Type="http://schemas.openxmlformats.org/officeDocument/2006/relationships/hyperlink" Target="https://www.actmedic.jp/" TargetMode="External" Id="rId218"/><Relationship Type="http://schemas.openxmlformats.org/officeDocument/2006/relationships/hyperlink" Target="https://www.actmedic.jp/" TargetMode="External" Id="rId219"/><Relationship Type="http://schemas.openxmlformats.org/officeDocument/2006/relationships/hyperlink" Target="https://baseconnect.in/companies/prefecture/63038c5a-e328-472b-b9cc-039738609ba7/category/b2358a1c-c4c6-46f4-a0b1-dee3a1b30a0b" TargetMode="External" Id="rId220"/><Relationship Type="http://schemas.openxmlformats.org/officeDocument/2006/relationships/hyperlink" Target="https://baseconnect.in/companies/prefecture/e010a2b6-a345-4a52-b350-1ca592e384b8/keyword/a68873de-8c54-4a2c-820f-e04c8b93064c" TargetMode="External" Id="rId221"/><Relationship Type="http://schemas.openxmlformats.org/officeDocument/2006/relationships/hyperlink" Target="https://baseconnect.in/companies/prefecture/63038c5a-e328-472b-b9cc-039738609ba7/category/b2358a1c-c4c6-46f4-a0b1-dee3a1b30a0b" TargetMode="External" Id="rId222"/><Relationship Type="http://schemas.openxmlformats.org/officeDocument/2006/relationships/hyperlink" Target="https://baseconnect.in/companies/prefecture/63038c5a-e328-472b-b9cc-039738609ba7/category/b2358a1c-c4c6-46f4-a0b1-dee3a1b30a0b" TargetMode="External" Id="rId223"/><Relationship Type="http://schemas.openxmlformats.org/officeDocument/2006/relationships/hyperlink" Target="https://www.navitime.co.jp/category/0516/27128/?tags=010190" TargetMode="External" Id="rId224"/><Relationship Type="http://schemas.openxmlformats.org/officeDocument/2006/relationships/hyperlink" Target="https://www.nikkei.com/compass/search/Y2F0ZWdvcnk9Y29tcGFueSZyZWdpb249MjgmaW5kdXN0cnlTPTA1MzI" TargetMode="External" Id="rId225"/><Relationship Type="http://schemas.openxmlformats.org/officeDocument/2006/relationships/hyperlink" Target="https://baseconnect.in/companies/prefecture/63038c5a-e328-472b-b9cc-039738609ba7/category/b2358a1c-c4c6-46f4-a0b1-dee3a1b30a0b" TargetMode="External" Id="rId226"/><Relationship Type="http://schemas.openxmlformats.org/officeDocument/2006/relationships/hyperlink" Target="https://baseconnect.in/companies/prefecture/d80b180e-5fd9-4082-8cdc-a510179a3475/keyword/89941b4e-2dd1-4848-8957-48af280a31e0" TargetMode="External" Id="rId227"/><Relationship Type="http://schemas.openxmlformats.org/officeDocument/2006/relationships/hyperlink" Target="https://kimedical-kyoto.com/" TargetMode="External" Id="rId228"/><Relationship Type="http://schemas.openxmlformats.org/officeDocument/2006/relationships/hyperlink" Target="http://www.mia-kyoto.gr.jp/members/kimedical.html" TargetMode="External" Id="rId229"/><Relationship Type="http://schemas.openxmlformats.org/officeDocument/2006/relationships/hyperlink" Target="https://houjin.goo.to/corporations/prefs/hyogo/category-s-medical-equipment-and-instrument-trading-companies" TargetMode="External" Id="rId230"/><Relationship Type="http://schemas.openxmlformats.org/officeDocument/2006/relationships/hyperlink" Target="https://www.kns-md.co.jp/" TargetMode="External" Id="rId231"/><Relationship Type="http://schemas.openxmlformats.org/officeDocument/2006/relationships/hyperlink" Target="https://www.kns-md.co.jp/" TargetMode="External" Id="rId232"/><Relationship Type="http://schemas.openxmlformats.org/officeDocument/2006/relationships/hyperlink" Target="https://houjin.goo.to/corporations/prefs/hyogo/category-s-medical-equipment-and-instrument-trading-companies" TargetMode="External" Id="rId233"/><Relationship Type="http://schemas.openxmlformats.org/officeDocument/2006/relationships/hyperlink" Target="https://www.masudaika.co.jp" TargetMode="External" Id="rId234"/><Relationship Type="http://schemas.openxmlformats.org/officeDocument/2006/relationships/hyperlink" Target="https://www.masudaika.co.jp/aboutus/" TargetMode="External" Id="rId235"/><Relationship Type="http://schemas.openxmlformats.org/officeDocument/2006/relationships/hyperlink" Target="https://www.nikkei.com/compass/search/Y2F0ZWdvcnk9Y29tcGFueSZyZWdpb249MjcmaW5kdXN0cnlTPTA1MzI" TargetMode="External" Id="rId236"/><Relationship Type="http://schemas.openxmlformats.org/officeDocument/2006/relationships/hyperlink" Target="https://www.minato-med.co.jp/" TargetMode="External" Id="rId237"/><Relationship Type="http://schemas.openxmlformats.org/officeDocument/2006/relationships/hyperlink" Target="http://mia-kyoto.gr.jp/members/minato.html" TargetMode="External" Id="rId238"/><Relationship Type="http://schemas.openxmlformats.org/officeDocument/2006/relationships/hyperlink" Target="https://www.miyano.co.jp" TargetMode="External" Id="rId239"/><Relationship Type="http://schemas.openxmlformats.org/officeDocument/2006/relationships/hyperlink" Target="https://www.miyano.co.jp/business/iryo" TargetMode="External" Id="rId240"/><Relationship Type="http://schemas.openxmlformats.org/officeDocument/2006/relationships/hyperlink" Target="https://baseconnect.in/companies/prefecture/d80b180e-5fd9-4082-8cdc-a510179a3475/keyword/14f3dcec-9cd5-4be5-84e1-ddccb7bd228c" TargetMode="External" Id="rId241"/><Relationship Type="http://schemas.openxmlformats.org/officeDocument/2006/relationships/hyperlink" Target="https://nakayamaika.com/" TargetMode="External" Id="rId242"/><Relationship Type="http://schemas.openxmlformats.org/officeDocument/2006/relationships/hyperlink" Target="https://baseconnect.in/companies/prefecture/1d5a2479-736c-41d9-98fe-d43b8d447ca4/category/b2358a1c-c4c6-46f4-a0b1-dee3a1b30a0b" TargetMode="External" Id="rId243"/><Relationship Type="http://schemas.openxmlformats.org/officeDocument/2006/relationships/hyperlink" Target="https://sanshodoh.co.jp/" TargetMode="External" Id="rId244"/><Relationship Type="http://schemas.openxmlformats.org/officeDocument/2006/relationships/hyperlink" Target="https://baseconnect.in/companies/prefecture/63038c5a-e328-472b-b9cc-039738609ba7/keyword/89941b4e-2dd1-4848-8957-48af280a31e0" TargetMode="External" Id="rId245"/><Relationship Type="http://schemas.openxmlformats.org/officeDocument/2006/relationships/hyperlink" Target="https://baseconnect.in/companies/prefecture/d80b180e-5fd9-4082-8cdc-a510179a3475/keyword/89941b4e-2dd1-4848-8957-48af280a31e0" TargetMode="External" Id="rId246"/><Relationship Type="http://schemas.openxmlformats.org/officeDocument/2006/relationships/hyperlink" Target="https://baseconnect.in/companies/prefecture/912d7b2d-41c2-4923-a5c1-6666f9834966/keyword/14f3dcec-9cd5-4be5-84e1-ddccb7bd228c" TargetMode="External" Id="rId247"/><Relationship Type="http://schemas.openxmlformats.org/officeDocument/2006/relationships/hyperlink" Target="https://baseconnect.in/companies/prefecture/63038c5a-e328-472b-b9cc-039738609ba7/category/b2358a1c-c4c6-46f4-a0b1-dee3a1b30a0b" TargetMode="External" Id="rId248"/><Relationship Type="http://schemas.openxmlformats.org/officeDocument/2006/relationships/hyperlink" Target="https://www.nikkei.com/compass/search/Y2F0ZWdvcnk9Y29tcGFueSZyZWdpb249MjgmaW5kdXN0cnlTPTA1MzI" TargetMode="External" Id="rId249"/><Relationship Type="http://schemas.openxmlformats.org/officeDocument/2006/relationships/hyperlink" Target="https://baseconnect.in/companies/prefecture/c59cfe5b-871c-44d1-8594-96d4a5882e4b/keyword/89941b4e-2dd1-4848-8957-48af280a31e0" TargetMode="External" Id="rId250"/><Relationship Type="http://schemas.openxmlformats.org/officeDocument/2006/relationships/hyperlink" Target="https://baseconnect.in/companies/prefecture/a30ebdff-361b-42be-8372-1b0d350f48a0/category/b2358a1c-c4c6-46f4-a0b1-dee3a1b30a0b" TargetMode="External" Id="rId251"/><Relationship Type="http://schemas.openxmlformats.org/officeDocument/2006/relationships/hyperlink" Target="https://www.nikkei.com/compass/search/Y2F0ZWdvcnk9Y29tcGFueSZyZWdpb249MTMmaW5kdXN0cnlTPTA1MzI" TargetMode="External" Id="rId252"/><Relationship Type="http://schemas.openxmlformats.org/officeDocument/2006/relationships/hyperlink" Target="http://www.cmi.co.jp/" TargetMode="External" Id="rId253"/><Relationship Type="http://schemas.openxmlformats.org/officeDocument/2006/relationships/hyperlink" Target="https://baseconnect.in/companies/prefecture/a30ebdff-361b-42be-8372-1b0d350f48a0/keyword/89941b4e-2dd1-4848-8957-48af280a31e0" TargetMode="External" Id="rId254"/><Relationship Type="http://schemas.openxmlformats.org/officeDocument/2006/relationships/hyperlink" Target="https://baseconnect.in/companies/prefecture/5b2e6d00-cfba-4d0b-850d-54757e4b4d7f/keyword/89941b4e-2dd1-4848-8957-48af280a31e0" TargetMode="External" Id="rId255"/><Relationship Type="http://schemas.openxmlformats.org/officeDocument/2006/relationships/hyperlink" Target="https://baseconnect.in/companies/prefecture/5b2e6d00-cfba-4d0b-850d-54757e4b4d7f/keyword/14f3dcec-9cd5-4be5-84e1-ddccb7bd228c" TargetMode="External" Id="rId256"/><Relationship Type="http://schemas.openxmlformats.org/officeDocument/2006/relationships/hyperlink" Target="https://baseconnect.in/companies/prefecture/5b2e6d00-cfba-4d0b-850d-54757e4b4d7f/keyword/89941b4e-2dd1-4848-8957-48af280a31e0" TargetMode="External" Id="rId257"/><Relationship Type="http://schemas.openxmlformats.org/officeDocument/2006/relationships/hyperlink" Target="https://baseconnect.in/companies/prefecture/3420045f-8609-4232-9407-75407ae4e6e8/keyword/89941b4e-2dd1-4848-8957-48af280a31e0" TargetMode="External" Id="rId258"/><Relationship Type="http://schemas.openxmlformats.org/officeDocument/2006/relationships/hyperlink" Target="https://baseconnect.in/companies/prefecture/5d54c878-c20d-4f57-bb73-e021f2210d6c/keyword/14f3dcec-9cd5-4be5-84e1-ddccb7bd228c" TargetMode="External" Id="rId259"/><Relationship Type="http://schemas.openxmlformats.org/officeDocument/2006/relationships/hyperlink" Target="https://baseconnect.in/companies/prefecture/3420045f-8609-4232-9407-75407ae4e6e8/keyword/89941b4e-2dd1-4848-8957-48af280a31e0" TargetMode="External" Id="rId260"/><Relationship Type="http://schemas.openxmlformats.org/officeDocument/2006/relationships/hyperlink" Target="https://baseconnect.in/companies/prefecture/d8203dea-91e2-41c3-a785-b80aa997273c/category/b2358a1c-c4c6-46f4-a0b1-dee3a1b30a0b" TargetMode="External" Id="rId261"/><Relationship Type="http://schemas.openxmlformats.org/officeDocument/2006/relationships/hyperlink" Target="https://www.nikkei.com/compass/search/Y2F0ZWdvcnk9Y29tcGFueSZyZWdpb249MTMmaW5kdXN0cnlTPTA1MzI" TargetMode="External" Id="rId262"/><Relationship Type="http://schemas.openxmlformats.org/officeDocument/2006/relationships/hyperlink" Target="https://www.nikkei.com/compass/search/Y2F0ZWdvcnk9Y29tcGFueSZyZWdpb249MTMmaW5kdXN0cnlTPTA1MzI" TargetMode="External" Id="rId263"/><Relationship Type="http://schemas.openxmlformats.org/officeDocument/2006/relationships/hyperlink" Target="https://baseconnect.in/companies/prefecture/a30ebdff-361b-42be-8372-1b0d350f48a0/keyword/89941b4e-2dd1-4848-8957-48af280a31e0" TargetMode="External" Id="rId264"/><Relationship Type="http://schemas.openxmlformats.org/officeDocument/2006/relationships/hyperlink" Target="https://baseconnect.in/companies/prefecture/5d54c878-c20d-4f57-bb73-e021f2210d6c/keyword/14f3dcec-9cd5-4be5-84e1-ddccb7bd228c" TargetMode="External" Id="rId265"/><Relationship Type="http://schemas.openxmlformats.org/officeDocument/2006/relationships/hyperlink" Target="https://baseconnect.in/companies/prefecture/a30ebdff-361b-42be-8372-1b0d350f48a0/keyword/89941b4e-2dd1-4848-8957-48af280a31e0" TargetMode="External" Id="rId266"/><Relationship Type="http://schemas.openxmlformats.org/officeDocument/2006/relationships/hyperlink" Target="https://baseconnect.in/companies/prefecture/a30ebdff-361b-42be-8372-1b0d350f48a0/category/b2358a1c-c4c6-46f4-a0b1-dee3a1b30a0b" TargetMode="External" Id="rId267"/><Relationship Type="http://schemas.openxmlformats.org/officeDocument/2006/relationships/hyperlink" Target="https://baseconnect.in/companies/prefecture/3420045f-8609-4232-9407-75407ae4e6e8/keyword/89941b4e-2dd1-4848-8957-48af280a31e0" TargetMode="External" Id="rId268"/><Relationship Type="http://schemas.openxmlformats.org/officeDocument/2006/relationships/hyperlink" Target="https://www.nikkei.com/compass/search/Y2F0ZWdvcnk9Y29tcGFueSZyZWdpb249MTMmaW5kdXN0cnlTPTA1MzI" TargetMode="External" Id="rId269"/><Relationship Type="http://schemas.openxmlformats.org/officeDocument/2006/relationships/hyperlink" Target="https://www.ace-med.co.jp/" TargetMode="External" Id="rId270"/><Relationship Type="http://schemas.openxmlformats.org/officeDocument/2006/relationships/hyperlink" Target="https://baseconnect.in/companies/prefecture/b147f06d-09b9-4c4f-9e51-e7157354eec0/keyword/14f3dcec-9cd5-4be5-84e1-ddccb7bd228c" TargetMode="External" Id="rId271"/><Relationship Type="http://schemas.openxmlformats.org/officeDocument/2006/relationships/hyperlink" Target="https://www.astemf.jp/" TargetMode="External" Id="rId272"/><Relationship Type="http://schemas.openxmlformats.org/officeDocument/2006/relationships/hyperlink" Target="https://baseconnect.in/companies/keyword/14f3dcec-9cd5-4be5-84e1-ddccb7bd228c" TargetMode="External" Id="rId273"/><Relationship Type="http://schemas.openxmlformats.org/officeDocument/2006/relationships/hyperlink" Target="https://baseconnect.in/companies/prefecture/b147f06d-09b9-4c4f-9e51-e7157354eec0/keyword/14f3dcec-9cd5-4be5-84e1-ddccb7bd228c" TargetMode="External" Id="rId274"/><Relationship Type="http://schemas.openxmlformats.org/officeDocument/2006/relationships/hyperlink" Target="https://baseconnect.in/companies/prefecture/39b58ff0-63fd-405f-8b8a-37c5443ce5c7/keyword/89941b4e-2dd1-4848-8957-48af280a31e0" TargetMode="External" Id="rId275"/><Relationship Type="http://schemas.openxmlformats.org/officeDocument/2006/relationships/hyperlink" Target="http://hachigou.co.jp/" TargetMode="External" Id="rId276"/><Relationship Type="http://schemas.openxmlformats.org/officeDocument/2006/relationships/hyperlink" Target="https://baseconnect.in/companies/prefecture/344720c8-49c6-4a45-94af-958496d86524/category/b2358a1c-c4c6-46f4-a0b1-dee3a1b30a0b" TargetMode="External" Id="rId277"/><Relationship Type="http://schemas.openxmlformats.org/officeDocument/2006/relationships/hyperlink" Target="https://note.com/arrows_column/n/nd4fd35a1d8b1" TargetMode="External" Id="rId278"/><Relationship Type="http://schemas.openxmlformats.org/officeDocument/2006/relationships/hyperlink" Target="https://baseconnect.in/companies/prefecture/96c84bbe-0dd4-4885-9333-4913e3f022c9/keyword/89941b4e-2dd1-4848-8957-48af280a31e0" TargetMode="External" Id="rId279"/><Relationship Type="http://schemas.openxmlformats.org/officeDocument/2006/relationships/hyperlink" Target="https://www.nikkei.com/compass/company/ib4WUdvTL1TxuRMigwCfQh" TargetMode="External" Id="rId280"/><Relationship Type="http://schemas.openxmlformats.org/officeDocument/2006/relationships/hyperlink" Target="https://www.navitime.co.jp/category/0516/40/?tags=010190&amp;from=tag" TargetMode="External" Id="rId281"/><Relationship Type="http://schemas.openxmlformats.org/officeDocument/2006/relationships/hyperlink" Target="https://www.navitime.co.jp/category/00/47/?tags=010190" TargetMode="External" Id="rId282"/><Relationship Type="http://schemas.openxmlformats.org/officeDocument/2006/relationships/hyperlink" Target="https://okinawa-medico.com/" TargetMode="External" Id="rId283"/><Relationship Type="http://schemas.openxmlformats.org/officeDocument/2006/relationships/hyperlink" Target="https://okinawa-medico.com/company/" TargetMode="External" Id="rId284"/><Relationship Type="http://schemas.openxmlformats.org/officeDocument/2006/relationships/hyperlink" Target="https://www.navitime.co.jp/category/00/47/?tags=010190" TargetMode="External" Id="rId285"/><Relationship Type="http://schemas.openxmlformats.org/officeDocument/2006/relationships/hyperlink" Target="https://baseconnect.in/companies/prefecture/344720c8-49c6-4a45-94af-958496d86524/category/b2358a1c-c4c6-46f4-a0b1-dee3a1b30a0b" TargetMode="External" Id="rId286"/><Relationship Type="http://schemas.openxmlformats.org/officeDocument/2006/relationships/hyperlink" Target="https://baseconnect.in/companies/prefecture/96c84bbe-0dd4-4885-9333-4913e3f022c9/keyword/89941b4e-2dd1-4848-8957-48af280a31e0" TargetMode="External" Id="rId287"/><Relationship Type="http://schemas.openxmlformats.org/officeDocument/2006/relationships/hyperlink" Target="https://baseconnect.in/companies/prefecture/39b58ff0-63fd-405f-8b8a-37c5443ce5c7/keyword/89941b4e-2dd1-4848-8957-48af280a31e0" TargetMode="External" Id="rId288"/><Relationship Type="http://schemas.openxmlformats.org/officeDocument/2006/relationships/hyperlink" Target="https://baseconnect.in/companies/prefecture/344720c8-49c6-4a45-94af-958496d86524/category/b2358a1c-c4c6-46f4-a0b1-dee3a1b30a0b" TargetMode="External" Id="rId289"/><Relationship Type="http://schemas.openxmlformats.org/officeDocument/2006/relationships/hyperlink" Target="https://tenshoku.mynavi.jp/tohoku/list/i02090/" TargetMode="External" Id="rId290"/><Relationship Type="http://schemas.openxmlformats.org/officeDocument/2006/relationships/hyperlink" Target="https://www.as-1.co.jp/agent/hospital/tohoku/" TargetMode="External" Id="rId291"/><Relationship Type="http://schemas.openxmlformats.org/officeDocument/2006/relationships/hyperlink" Target="https://baseconnect.in/companies/prefecture/9ebb3838-effc-47da-b634-994957a78319/keyword/89941b4e-2dd1-4848-8957-48af280a31e0" TargetMode="External" Id="rId292"/><Relationship Type="http://schemas.openxmlformats.org/officeDocument/2006/relationships/hyperlink" Target="https://hokkai-md.com/" TargetMode="External" Id="rId293"/><Relationship Type="http://schemas.openxmlformats.org/officeDocument/2006/relationships/hyperlink" Target="https://hokkai-md.com/" TargetMode="External" Id="rId294"/><Relationship Type="http://schemas.openxmlformats.org/officeDocument/2006/relationships/hyperlink" Target="https://www.hurex.jp/column/company/717/" TargetMode="External" Id="rId295"/><Relationship Type="http://schemas.openxmlformats.org/officeDocument/2006/relationships/hyperlink" Target="https://www.koseki.co.jp/" TargetMode="External" Id="rId296"/><Relationship Type="http://schemas.openxmlformats.org/officeDocument/2006/relationships/hyperlink" Target="https://www.koseki.co.jp/" TargetMode="External" Id="rId297"/><Relationship Type="http://schemas.openxmlformats.org/officeDocument/2006/relationships/hyperlink" Target="https://tohoku-ikihan.com/memberlist_category/iwate/" TargetMode="External" Id="rId298"/><Relationship Type="http://schemas.openxmlformats.org/officeDocument/2006/relationships/hyperlink" Target="https://baseconnect.in/companies/prefecture/9ebb3838-effc-47da-b634-994957a78319/keyword/89941b4e-2dd1-4848-8957-48af280a31e0" TargetMode="External" Id="rId299"/><Relationship Type="http://schemas.openxmlformats.org/officeDocument/2006/relationships/hyperlink" Target="https://maruki-ms.co.jp/" TargetMode="External" Id="rId300"/><Relationship Type="http://schemas.openxmlformats.org/officeDocument/2006/relationships/hyperlink" Target="https://maruki-ms.co.jp/" TargetMode="External" Id="rId301"/><Relationship Type="http://schemas.openxmlformats.org/officeDocument/2006/relationships/hyperlink" Target="https://tohoku-ikihan.com/memberlist_category/iwate/" TargetMode="External" Id="rId302"/><Relationship Type="http://schemas.openxmlformats.org/officeDocument/2006/relationships/hyperlink" Target="http://www.nanbu-irika.com/" TargetMode="External" Id="rId303"/><Relationship Type="http://schemas.openxmlformats.org/officeDocument/2006/relationships/hyperlink" Target="https://tohoku-ikihan.com/memberlist_category/iwate/" TargetMode="External" Id="rId304"/><Relationship Type="http://schemas.openxmlformats.org/officeDocument/2006/relationships/hyperlink" Target="https://www.as-1.co.jp/agent/hospital/tohoku/" TargetMode="External" Id="rId305"/><Relationship Type="http://schemas.openxmlformats.org/officeDocument/2006/relationships/hyperlink" Target="https://san-ou.co.jp/" TargetMode="External" Id="rId306"/><Relationship Type="http://schemas.openxmlformats.org/officeDocument/2006/relationships/hyperlink" Target="https://tohoku-ikihan.com/memberlist_category/iwate/" TargetMode="External" Id="rId307"/><Relationship Type="http://schemas.openxmlformats.org/officeDocument/2006/relationships/hyperlink" Target="https://www.shibataintech.co.jp/" TargetMode="External" Id="rId308"/><Relationship Type="http://schemas.openxmlformats.org/officeDocument/2006/relationships/hyperlink" Target="https://www.shibataintech.co.jp/" TargetMode="External" Id="rId309"/><Relationship Type="http://schemas.openxmlformats.org/officeDocument/2006/relationships/hyperlink" Target="https://www.takeyama.co.jp/" TargetMode="External" Id="rId310"/><Relationship Type="http://schemas.openxmlformats.org/officeDocument/2006/relationships/hyperlink" Target="https://www.nikkei.com/compass/company/qXdeUEKA1xdNAfnfizWWaB" TargetMode="External" Id="rId311"/><Relationship Type="http://schemas.openxmlformats.org/officeDocument/2006/relationships/hyperlink" Target="https://www.tohoku-tmt.com/" TargetMode="External" Id="rId312"/><Relationship Type="http://schemas.openxmlformats.org/officeDocument/2006/relationships/hyperlink" Target="https://www.tohoku-tmt.com/about/index.html" TargetMode="External" Id="rId313"/><Relationship Type="http://schemas.openxmlformats.org/officeDocument/2006/relationships/hyperlink" Target="https://tohoku-ikihan.com/memberlist_category/iwate/" TargetMode="External" Id="rId314"/><Relationship Type="http://schemas.openxmlformats.org/officeDocument/2006/relationships/hyperlink" Target="https://www.hamc-kah.com/" TargetMode="External" Id="rId315"/><Relationship Type="http://schemas.openxmlformats.org/officeDocument/2006/relationships/hyperlink" Target="https://www.hamc-kah.com/" TargetMode="External" Id="rId316"/><Relationship Type="http://schemas.openxmlformats.org/officeDocument/2006/relationships/hyperlink" Target="https://ahhd.jp/I0000003" TargetMode="External" Id="rId317"/><Relationship Type="http://schemas.openxmlformats.org/officeDocument/2006/relationships/hyperlink" Target="https://www.nosai-niigata.or.jp/" TargetMode="External" Id="rId318"/><Relationship Type="http://schemas.openxmlformats.org/officeDocument/2006/relationships/hyperlink" Target="https://www.nosai.or.jp/nosai_kasou/nosai_kakuchi01.html" TargetMode="External" Id="rId319"/><Relationship Type="http://schemas.openxmlformats.org/officeDocument/2006/relationships/hyperlink" Target="https://nosai-hiroshima.or.jp" TargetMode="External" Id="rId320"/><Relationship Type="http://schemas.openxmlformats.org/officeDocument/2006/relationships/hyperlink" Target="https://nosai-hiroshima.or.jp/access-kachiku/" TargetMode="External" Id="rId321"/><Relationship Type="http://schemas.openxmlformats.org/officeDocument/2006/relationships/hyperlink" Target="https://www.nosai.or.jp/nosai_kasou/nosai_kakuchi01.html" TargetMode="External" Id="rId322"/><Relationship Type="http://schemas.openxmlformats.org/officeDocument/2006/relationships/hyperlink" Target="https://www.ok-nosai.or.jp" TargetMode="External" Id="rId323"/><Relationship Type="http://schemas.openxmlformats.org/officeDocument/2006/relationships/hyperlink" Target="https://www.ok-nosai.or.jp/office/livestock.html" TargetMode="External" Id="rId324"/><Relationship Type="http://schemas.openxmlformats.org/officeDocument/2006/relationships/hyperlink" Target="https://www.nosai.or.jp/nosai_kasou/nosai_kakuchi01.html" TargetMode="External" Id="rId325"/><Relationship Type="http://schemas.openxmlformats.org/officeDocument/2006/relationships/hyperlink" Target="https://www.nosai.or.jp/nosai_kasou/nosai_kakuchi01.html" TargetMode="External" Id="rId326"/><Relationship Type="http://schemas.openxmlformats.org/officeDocument/2006/relationships/hyperlink" Target="https://ymgc-nosai.org" TargetMode="External" Id="rId327"/><Relationship Type="http://schemas.openxmlformats.org/officeDocument/2006/relationships/hyperlink" Target="https://ymgc-nosai.org/cms/page106.html" TargetMode="External" Id="rId328"/><Relationship Type="http://schemas.openxmlformats.org/officeDocument/2006/relationships/hyperlink" Target="https://www.okayama-amc.com/" TargetMode="External" Id="rId329"/><Relationship Type="http://schemas.openxmlformats.org/officeDocument/2006/relationships/hyperlink" Target="https://www.okayama-amc.com/" TargetMode="External" Id="rId330"/><Relationship Type="http://schemas.openxmlformats.org/officeDocument/2006/relationships/hyperlink" Target="https://ahk-cuare.com/" TargetMode="External" Id="rId331"/><Relationship Type="http://schemas.openxmlformats.org/officeDocument/2006/relationships/hyperlink" Target="https://ahk-cuare.com/" TargetMode="External" Id="rId332"/><Relationship Type="http://schemas.openxmlformats.org/officeDocument/2006/relationships/hyperlink" Target="https://www.elsa-hp.com" TargetMode="External" Id="rId333"/><Relationship Type="http://schemas.openxmlformats.org/officeDocument/2006/relationships/hyperlink" Target="https://www.kobe-np.co.jp/info/prtimes/202602/c170012_r8.shtml" TargetMode="External" Id="rId334"/><Relationship Type="http://schemas.openxmlformats.org/officeDocument/2006/relationships/hyperlink" Target="https://hadukikai.co.jp/" TargetMode="External" Id="rId335"/><Relationship Type="http://schemas.openxmlformats.org/officeDocument/2006/relationships/hyperlink" Target="https://hadukikai.co.jp/group_hosp/hyougo/" TargetMode="External" Id="rId336"/><Relationship Type="http://schemas.openxmlformats.org/officeDocument/2006/relationships/hyperlink" Target="https://doubutsuyakan.jp" TargetMode="External" Id="rId337"/><Relationship Type="http://schemas.openxmlformats.org/officeDocument/2006/relationships/hyperlink" Target="https://doubutsuyakan.jp/about.html" TargetMode="External" Id="rId338"/><Relationship Type="http://schemas.openxmlformats.org/officeDocument/2006/relationships/hyperlink" Target="https://wolveshand.jp/" TargetMode="External" Id="rId339"/><Relationship Type="http://schemas.openxmlformats.org/officeDocument/2006/relationships/hyperlink" Target="https://ahhd.jp/I0000003" TargetMode="External" Id="rId340"/><Relationship Type="http://schemas.openxmlformats.org/officeDocument/2006/relationships/hyperlink" Target="https://allone-ah.co.jp" TargetMode="External" Id="rId341"/><Relationship Type="http://schemas.openxmlformats.org/officeDocument/2006/relationships/hyperlink" Target="https://allone-ah.co.jp/company" TargetMode="External" Id="rId342"/><Relationship Type="http://schemas.openxmlformats.org/officeDocument/2006/relationships/hyperlink" Target="https://www.aitom.jp/" TargetMode="External" Id="rId343"/><Relationship Type="http://schemas.openxmlformats.org/officeDocument/2006/relationships/hyperlink" Target="https://www.aitom.jp/about/" TargetMode="External" Id="rId344"/><Relationship Type="http://schemas.openxmlformats.org/officeDocument/2006/relationships/hyperlink" Target="https://www.anicom-pafe.com" TargetMode="External" Id="rId345"/><Relationship Type="http://schemas.openxmlformats.org/officeDocument/2006/relationships/hyperlink" Target="https://ahhd.jp/I0000003" TargetMode="External" Id="rId346"/><Relationship Type="http://schemas.openxmlformats.org/officeDocument/2006/relationships/hyperlink" Target="https://www.fanimedic-ah.com" TargetMode="External" Id="rId347"/><Relationship Type="http://schemas.openxmlformats.org/officeDocument/2006/relationships/hyperlink" Target="https://www.fanimedic-ah.com/group-hospitals/" TargetMode="External" Id="rId348"/><Relationship Type="http://schemas.openxmlformats.org/officeDocument/2006/relationships/hyperlink" Target="https://inagakiah.com/" TargetMode="External" Id="rId349"/><Relationship Type="http://schemas.openxmlformats.org/officeDocument/2006/relationships/hyperlink" Target="https://inagakiah.com/" TargetMode="External" Id="rId350"/><Relationship Type="http://schemas.openxmlformats.org/officeDocument/2006/relationships/hyperlink" Target="https://www.primo-ah.com/" TargetMode="External" Id="rId351"/><Relationship Type="http://schemas.openxmlformats.org/officeDocument/2006/relationships/hyperlink" Target="https://www.primo-ah.com/" TargetMode="External" Id="rId352"/><Relationship Type="http://schemas.openxmlformats.org/officeDocument/2006/relationships/hyperlink" Target="https://lifemate-vh.com/" TargetMode="External" Id="rId353"/><Relationship Type="http://schemas.openxmlformats.org/officeDocument/2006/relationships/hyperlink" Target="https://lifemate-vh.com/" TargetMode="External" Id="rId354"/><Relationship Type="http://schemas.openxmlformats.org/officeDocument/2006/relationships/hyperlink" Target="https://bayside.minami-ahg.jp/" TargetMode="External" Id="rId355"/><Relationship Type="http://schemas.openxmlformats.org/officeDocument/2006/relationships/hyperlink" Target="https://bayside.minami-ahg.jp/" TargetMode="External" Id="rId356"/><Relationship Type="http://schemas.openxmlformats.org/officeDocument/2006/relationships/hyperlink" Target="https://www.jpac.jp/" TargetMode="External" Id="rId357"/><Relationship Type="http://schemas.openxmlformats.org/officeDocument/2006/relationships/hyperlink" Target="https://prtimes.jp/main/html/rd/p/000000001.000183725.html" TargetMode="External" Id="rId358"/><Relationship Type="http://schemas.openxmlformats.org/officeDocument/2006/relationships/hyperlink" Target="https://nosai-chiba.or.jp" TargetMode="External" Id="rId359"/><Relationship Type="http://schemas.openxmlformats.org/officeDocument/2006/relationships/hyperlink" Target="https://nosai-chiba.or.jp/soshiki/shinryo/" TargetMode="External" Id="rId360"/><Relationship Type="http://schemas.openxmlformats.org/officeDocument/2006/relationships/hyperlink" Target="https://www.maff.go.jp/j/keiei/nogyohoken/contact.html" TargetMode="External" Id="rId361"/><Relationship Type="http://schemas.openxmlformats.org/officeDocument/2006/relationships/hyperlink" Target="https://www.ibaraki-nosai.or.jp" TargetMode="External" Id="rId362"/><Relationship Type="http://schemas.openxmlformats.org/officeDocument/2006/relationships/hyperlink" Target="https://ibaraki.lin.gr.jp/chikusan-ibaraki/24-11/11.html" TargetMode="External" Id="rId363"/><Relationship Type="http://schemas.openxmlformats.org/officeDocument/2006/relationships/hyperlink" Target="https://www.maff.go.jp/j/keiei/nogyohoken/contact.html" TargetMode="External" Id="rId364"/><Relationship Type="http://schemas.openxmlformats.org/officeDocument/2006/relationships/hyperlink" Target="https://otakibashi.com/" TargetMode="External" Id="rId365"/><Relationship Type="http://schemas.openxmlformats.org/officeDocument/2006/relationships/hyperlink" Target="https://medical-space.co.jp/works/area/" TargetMode="External" Id="rId366"/><Relationship Type="http://schemas.openxmlformats.org/officeDocument/2006/relationships/hyperlink" Target="https://www.vcajapan.com" TargetMode="External" Id="rId367"/><Relationship Type="http://schemas.openxmlformats.org/officeDocument/2006/relationships/hyperlink" Target="https://www.vcajapan.com/" TargetMode="External" Id="rId368"/><Relationship Type="http://schemas.openxmlformats.org/officeDocument/2006/relationships/hyperlink" Target="https://withmal-hd.co.jp/" TargetMode="External" Id="rId369"/><Relationship Type="http://schemas.openxmlformats.org/officeDocument/2006/relationships/hyperlink" Target="https://ahhd.jp/I0000019" TargetMode="External" Id="rId370"/><Relationship Type="http://schemas.openxmlformats.org/officeDocument/2006/relationships/hyperlink" Target="https://and-vet-ah.com/" TargetMode="External" Id="rId371"/><Relationship Type="http://schemas.openxmlformats.org/officeDocument/2006/relationships/hyperlink" Target="https://and-vet-ah.com/" TargetMode="External" Id="rId372"/><Relationship Type="http://schemas.openxmlformats.org/officeDocument/2006/relationships/hyperlink" Target="https://f-dic.com/" TargetMode="External" Id="rId373"/><Relationship Type="http://schemas.openxmlformats.org/officeDocument/2006/relationships/hyperlink" Target="https://fukuoka-ahg.jp/group/" TargetMode="External" Id="rId374"/><Relationship Type="http://schemas.openxmlformats.org/officeDocument/2006/relationships/hyperlink" Target="https://www.nosai46.jp/kagoshima/" TargetMode="External" Id="rId375"/><Relationship Type="http://schemas.openxmlformats.org/officeDocument/2006/relationships/hyperlink" Target="https://www.nosai46.jp/kagoshima/" TargetMode="External" Id="rId376"/><Relationship Type="http://schemas.openxmlformats.org/officeDocument/2006/relationships/hyperlink" Target="https://nosai-kumamoto.or.jp/" TargetMode="External" Id="rId377"/><Relationship Type="http://schemas.openxmlformats.org/officeDocument/2006/relationships/hyperlink" Target="https://www.nosai.or.jp/nosai_kasou/juuishi/kyusyu_okinawa.html" TargetMode="External" Id="rId378"/><Relationship Type="http://schemas.openxmlformats.org/officeDocument/2006/relationships/hyperlink" Target="https://nosai-miyazakiken.jp" TargetMode="External" Id="rId379"/><Relationship Type="http://schemas.openxmlformats.org/officeDocument/2006/relationships/hyperlink" Target="https://nosai-miyazakiken.jp/veterinarian/" TargetMode="External" Id="rId380"/><Relationship Type="http://schemas.openxmlformats.org/officeDocument/2006/relationships/hyperlink" Target="https://www.nosai-ngs.jp" TargetMode="External" Id="rId381"/><Relationship Type="http://schemas.openxmlformats.org/officeDocument/2006/relationships/hyperlink" Target="https://www.nosai-ngs.jp/list.html" TargetMode="External" Id="rId382"/><Relationship Type="http://schemas.openxmlformats.org/officeDocument/2006/relationships/hyperlink" Target="https://www.nosai-oita.jp" TargetMode="External" Id="rId383"/><Relationship Type="http://schemas.openxmlformats.org/officeDocument/2006/relationships/hyperlink" Target="https://www.nosai-oita.jp/kachikushinryojo" TargetMode="External" Id="rId384"/><Relationship Type="http://schemas.openxmlformats.org/officeDocument/2006/relationships/hyperlink" Target="https://nosai-okinawa.jp" TargetMode="External" Id="rId385"/><Relationship Type="http://schemas.openxmlformats.org/officeDocument/2006/relationships/hyperlink" Target="https://nosai-okinawa.jp/clinic/" TargetMode="External" Id="rId386"/><Relationship Type="http://schemas.openxmlformats.org/officeDocument/2006/relationships/hyperlink" Target="https://www.nosai.or.jp/nosai_kasou/nosai_kakuchi01.html" TargetMode="External" Id="rId387"/><Relationship Type="http://schemas.openxmlformats.org/officeDocument/2006/relationships/hyperlink" Target="https://halleluya-vet.com/" TargetMode="External" Id="rId388"/><Relationship Type="http://schemas.openxmlformats.org/officeDocument/2006/relationships/hyperlink" Target="https://www.halleluya-vet.net/aboutus" TargetMode="External" Id="rId389"/><Relationship Type="http://schemas.openxmlformats.org/officeDocument/2006/relationships/hyperlink" Target="https://midori-no-mori.jp/" TargetMode="External" Id="rId390"/><Relationship Type="http://schemas.openxmlformats.org/officeDocument/2006/relationships/hyperlink" Target="https://midori-no-mori.jp/" TargetMode="External" Id="rId391"/><Relationship Type="http://schemas.openxmlformats.org/officeDocument/2006/relationships/hyperlink" Target="http://www.nosai-aomori.or.jp" TargetMode="External" Id="rId392"/><Relationship Type="http://schemas.openxmlformats.org/officeDocument/2006/relationships/hyperlink" Target="http://www.nosai-aomori.or.jp/wp-content/uploads/2025/08/4e705eaea4a622fbfd5c63b338189b7d.pdf" TargetMode="External" Id="rId393"/><Relationship Type="http://schemas.openxmlformats.org/officeDocument/2006/relationships/hyperlink" Target="https://fukushima-nosainet.jp" TargetMode="External" Id="rId394"/><Relationship Type="http://schemas.openxmlformats.org/officeDocument/2006/relationships/hyperlink" Target="https://fukushima-nosainet.jp/outline/out-c/out-c-c" TargetMode="External" Id="rId395"/><Relationship Type="http://schemas.openxmlformats.org/officeDocument/2006/relationships/hyperlink" Target="https://www.nosai-do.or.jp" TargetMode="External" Id="rId396"/><Relationship Type="http://schemas.openxmlformats.org/officeDocument/2006/relationships/hyperlink" Target="https://www.nosai-do.or.jp/about/overview/" TargetMode="External" Id="rId397"/><Relationship Type="http://schemas.openxmlformats.org/officeDocument/2006/relationships/hyperlink" Target="https://www.maff.go.jp/j/keiei/nogyohoken/contact.html" TargetMode="External" Id="rId398"/><Relationship Type="http://schemas.openxmlformats.org/officeDocument/2006/relationships/hyperlink" Target="https://www.nosaimiyagi.or.jp" TargetMode="External" Id="rId399"/><Relationship Type="http://schemas.openxmlformats.org/officeDocument/2006/relationships/hyperlink" Target="https://www.nosaimiyagi.or.jp/outline/" TargetMode="External" Id="rId400"/><Relationship Type="http://schemas.openxmlformats.org/officeDocument/2006/relationships/hyperlink" Target="https://www.yynosai.or.jp" TargetMode="External" Id="rId401"/><Relationship Type="http://schemas.openxmlformats.org/officeDocument/2006/relationships/hyperlink" Target="https://www.yynosai.or.jp/yamagata/branch" TargetMode="External" Id="rId402"/><Relationship Type="http://schemas.openxmlformats.org/officeDocument/2006/relationships/hyperlink" Target="https://www.thms.jp" TargetMode="External" Id="rId403"/><Relationship Type="http://schemas.openxmlformats.org/officeDocument/2006/relationships/hyperlink" Target="https://www.thms.jp/service/juuika/breeding/hanshokukenshin/" TargetMode="External" Id="rId404"/><Relationship Type="http://schemas.openxmlformats.org/officeDocument/2006/relationships/hyperlink" Target="https://animal-99.com/" TargetMode="External" Id="rId405"/><Relationship Type="http://schemas.openxmlformats.org/officeDocument/2006/relationships/hyperlink" Target="https://animal-99.com/" TargetMode="External" Id="rId406"/></Relationships>
</file>

<file path=xl/worksheets/_rels/sheet2.xml.rels><Relationships xmlns="http://schemas.openxmlformats.org/package/2006/relationships"><Relationship Type="http://schemas.openxmlformats.org/officeDocument/2006/relationships/hyperlink" Target="https://cscjp.co.jp/csc-medical/products/vet-videoscope.html" TargetMode="External" Id="rId1"/><Relationship Type="http://schemas.openxmlformats.org/officeDocument/2006/relationships/hyperlink" Target="https://cscjp.co.jp/csc-medical/products/vet-videoscope.html" TargetMode="External" Id="rId2"/><Relationship Type="http://schemas.openxmlformats.org/officeDocument/2006/relationships/hyperlink" Target="https://arkraythinkanimal.com" TargetMode="External" Id="rId3"/><Relationship Type="http://schemas.openxmlformats.org/officeDocument/2006/relationships/hyperlink" Target="https://www.vm.nval.go.jp/public/detail/16030" TargetMode="External" Id="rId4"/><Relationship Type="http://schemas.openxmlformats.org/officeDocument/2006/relationships/hyperlink" Target="https://www.nosawa.co.jp/" TargetMode="External" Id="rId5"/><Relationship Type="http://schemas.openxmlformats.org/officeDocument/2006/relationships/hyperlink" Target="https://vm.nval.go.jp/?mfg_dealer_name=&amp;sort=MANUFACTURING_DEALER&amp;submit=submit" TargetMode="External" Id="rId6"/><Relationship Type="http://schemas.openxmlformats.org/officeDocument/2006/relationships/hyperlink" Target="https://www.olympus-marketing.co.jp/business/animal/" TargetMode="External" Id="rId7"/><Relationship Type="http://schemas.openxmlformats.org/officeDocument/2006/relationships/hyperlink" Target="https://www.olympus-marketing.co.jp/business/animal/" TargetMode="External" Id="rId8"/><Relationship Type="http://schemas.openxmlformats.org/officeDocument/2006/relationships/hyperlink" Target="https://www.kyoritsu-shokai.com" TargetMode="External" Id="rId9"/><Relationship Type="http://schemas.openxmlformats.org/officeDocument/2006/relationships/hyperlink" Target="https://www.kyoritsu-shokai.com/company/%E5%8C%BB%E8%96%AC%E5%93%81%E3%83%BB%E5%8B%95%E7%89%A9%E7%94%A8%E5%8C%BB%E8%96%AC%E5%93%81%E8%A8%B1%E5%8F%AF%E8%A8%BC%E9%96%A2%E9%80%A3/" TargetMode="External" Id="rId10"/><Relationship Type="http://schemas.openxmlformats.org/officeDocument/2006/relationships/hyperlink" Target="https://ts-xray.com" TargetMode="External" Id="rId11"/><Relationship Type="http://schemas.openxmlformats.org/officeDocument/2006/relationships/hyperlink" Target="https://www.pref.saitama.lg.jp/documents/236933/0343_tands.pdf" TargetMode="External" Id="rId12"/><Relationship Type="http://schemas.openxmlformats.org/officeDocument/2006/relationships/hyperlink" Target="https://aison.jp/" TargetMode="External" Id="rId13"/><Relationship Type="http://schemas.openxmlformats.org/officeDocument/2006/relationships/hyperlink" Target="https://www.vm.nval.go.jp/public/detail/19613" TargetMode="External" Id="rId14"/><Relationship Type="http://schemas.openxmlformats.org/officeDocument/2006/relationships/hyperlink" Target="https://www.vm.nval.go.jp/public/detail/12549" TargetMode="External" Id="rId15"/><Relationship Type="http://schemas.openxmlformats.org/officeDocument/2006/relationships/hyperlink" Target="https://www.vm.nval.go.jp/public/detail/6770" TargetMode="External" Id="rId16"/><Relationship Type="http://schemas.openxmlformats.org/officeDocument/2006/relationships/hyperlink" Target="https://www.metran.co.jp/" TargetMode="External" Id="rId17"/><Relationship Type="http://schemas.openxmlformats.org/officeDocument/2006/relationships/hyperlink" Target="https://www.vm.nval.go.jp/public/detail/18306" TargetMode="External" Id="rId18"/><Relationship Type="http://schemas.openxmlformats.org/officeDocument/2006/relationships/hyperlink" Target="https://www.vm.nval.go.jp/public/detail/17793" TargetMode="External" Id="rId19"/><Relationship Type="http://schemas.openxmlformats.org/officeDocument/2006/relationships/hyperlink" Target="https://rayvision.co.jp/" TargetMode="External" Id="rId20"/><Relationship Type="http://schemas.openxmlformats.org/officeDocument/2006/relationships/hyperlink" Target="https://rayvision.co.jp/" TargetMode="External" Id="rId21"/><Relationship Type="http://schemas.openxmlformats.org/officeDocument/2006/relationships/hyperlink" Target="https://www.top-tokyo.co.jp/products/veterinary/" TargetMode="External" Id="rId22"/><Relationship Type="http://schemas.openxmlformats.org/officeDocument/2006/relationships/hyperlink" Target="https://www.top-tokyo.co.jp/products/veterinary/" TargetMode="External" Id="rId23"/><Relationship Type="http://schemas.openxmlformats.org/officeDocument/2006/relationships/hyperlink" Target="https://www.jamo.or.jp/member/" TargetMode="External" Id="rId24"/><Relationship Type="http://schemas.openxmlformats.org/officeDocument/2006/relationships/hyperlink" Target="https://www.asahi-intecc-vet.com/" TargetMode="External" Id="rId25"/><Relationship Type="http://schemas.openxmlformats.org/officeDocument/2006/relationships/hyperlink" Target="https://www.rdsupport-tenshoku.jp/search/JOB40843" TargetMode="External" Id="rId26"/><Relationship Type="http://schemas.openxmlformats.org/officeDocument/2006/relationships/hyperlink" Target="https://www.horiba.com/jpn/medical/" TargetMode="External" Id="rId27"/><Relationship Type="http://schemas.openxmlformats.org/officeDocument/2006/relationships/hyperlink" Target="https://www.vm.nval.go.jp/public/detail/19457" TargetMode="External" Id="rId28"/><Relationship Type="http://schemas.openxmlformats.org/officeDocument/2006/relationships/hyperlink" Target="https://kruz-medical.co.jp/" TargetMode="External" Id="rId29"/><Relationship Type="http://schemas.openxmlformats.org/officeDocument/2006/relationships/hyperlink" Target="https://kruz-medical.co.jp/business/" TargetMode="External" Id="rId30"/><Relationship Type="http://schemas.openxmlformats.org/officeDocument/2006/relationships/hyperlink" Target="https://www.vet.meiji.com" TargetMode="External" Id="rId31"/><Relationship Type="http://schemas.openxmlformats.org/officeDocument/2006/relationships/hyperlink" Target="https://www.vet.meiji.com/corporate/outline.html" TargetMode="External" Id="rId32"/><Relationship Type="http://schemas.openxmlformats.org/officeDocument/2006/relationships/hyperlink" Target="https://medical-space.co.jp/products/manufacturer/%E5%B3%B6%E6%B4%A5%E8%A3%BD%E4%BD%9C%E6%89%80/" TargetMode="External" Id="rId33"/><Relationship Type="http://schemas.openxmlformats.org/officeDocument/2006/relationships/hyperlink" Target="https://www.yasui-kk.co.jp" TargetMode="External" Id="rId34"/><Relationship Type="http://schemas.openxmlformats.org/officeDocument/2006/relationships/hyperlink" Target="https://www.yasui-kk.co.jp/medical-news/2721/" TargetMode="External" Id="rId35"/><Relationship Type="http://schemas.openxmlformats.org/officeDocument/2006/relationships/hyperlink" Target="https://ahhd.jp/I0000004" TargetMode="External" Id="rId36"/><Relationship Type="http://schemas.openxmlformats.org/officeDocument/2006/relationships/hyperlink" Target="https://amco.co.jp" TargetMode="External" Id="rId37"/><Relationship Type="http://schemas.openxmlformats.org/officeDocument/2006/relationships/hyperlink" Target="http://www.miyano-medix.com/service7.html" TargetMode="External" Id="rId38"/><Relationship Type="http://schemas.openxmlformats.org/officeDocument/2006/relationships/hyperlink" Target="http://akiyama-elp.com/gaiyou.html" TargetMode="External" Id="rId39"/><Relationship Type="http://schemas.openxmlformats.org/officeDocument/2006/relationships/hyperlink" Target="https://vm.nval.go.jp/?page=115&amp;submit=submit" TargetMode="External" Id="rId40"/><Relationship Type="http://schemas.openxmlformats.org/officeDocument/2006/relationships/hyperlink" Target="https://astec-medical.co.jp/" TargetMode="External" Id="rId41"/><Relationship Type="http://schemas.openxmlformats.org/officeDocument/2006/relationships/hyperlink" Target="https://www.vm.nval.go.jp/public/detail/19578" TargetMode="External" Id="rId42"/><Relationship Type="http://schemas.openxmlformats.org/officeDocument/2006/relationships/hyperlink" Target="https://www.cornesag.com" TargetMode="External" Id="rId43"/><Relationship Type="http://schemas.openxmlformats.org/officeDocument/2006/relationships/hyperlink" Target="https://www.cornesag.com/product/milking/breeding_management/afimilk_afiact/feature.html" TargetMode="External" Id="rId44"/><Relationship Type="http://schemas.openxmlformats.org/officeDocument/2006/relationships/hyperlink" Target="http://www.createmedic.co.jp/products/animal_2/" TargetMode="External" Id="rId45"/><Relationship Type="http://schemas.openxmlformats.org/officeDocument/2006/relationships/hyperlink" Target="https://www.vm.nval.go.jp/public/detail/17513" TargetMode="External" Id="rId46"/><Relationship Type="http://schemas.openxmlformats.org/officeDocument/2006/relationships/hyperlink" Target="https://erma.co.jp/" TargetMode="External" Id="rId47"/><Relationship Type="http://schemas.openxmlformats.org/officeDocument/2006/relationships/hyperlink" Target="https://www.vm.nval.go.jp/public/detail/18103" TargetMode="External" Id="rId48"/><Relationship Type="http://schemas.openxmlformats.org/officeDocument/2006/relationships/hyperlink" Target="https://frontier-intl.co.jp" TargetMode="External" Id="rId49"/><Relationship Type="http://schemas.openxmlformats.org/officeDocument/2006/relationships/hyperlink" Target="https://frontier-intl.co.jp/product/tyouonpasindankilist/" TargetMode="External" Id="rId50"/><Relationship Type="http://schemas.openxmlformats.org/officeDocument/2006/relationships/hyperlink" Target="https://ahhd.jp/I0000004" TargetMode="External" Id="rId51"/><Relationship Type="http://schemas.openxmlformats.org/officeDocument/2006/relationships/hyperlink" Target="https://www.jamo.or.jp/member/" TargetMode="External" Id="rId52"/><Relationship Type="http://schemas.openxmlformats.org/officeDocument/2006/relationships/hyperlink" Target="https://surge-m.co.jp" TargetMode="External" Id="rId53"/><Relationship Type="http://schemas.openxmlformats.org/officeDocument/2006/relationships/hyperlink" Target="https://www.vm.nval.go.jp/public/detail/6752" TargetMode="External" Id="rId54"/><Relationship Type="http://schemas.openxmlformats.org/officeDocument/2006/relationships/hyperlink" Target="https://ahhd.jp/I0000004" TargetMode="External" Id="rId55"/><Relationship Type="http://schemas.openxmlformats.org/officeDocument/2006/relationships/hyperlink" Target="https://www.tokyoiken.co.jp/" TargetMode="External" Id="rId56"/><Relationship Type="http://schemas.openxmlformats.org/officeDocument/2006/relationships/hyperlink" Target="https://ahhd.jp/I0000004" TargetMode="External" Id="rId57"/><Relationship Type="http://schemas.openxmlformats.org/officeDocument/2006/relationships/hyperlink" Target="https://www.skylux.co.jp/product/" TargetMode="External" Id="rId58"/><Relationship Type="http://schemas.openxmlformats.org/officeDocument/2006/relationships/hyperlink" Target="https://www.skylux.co.jp/product/" TargetMode="External" Id="rId59"/><Relationship Type="http://schemas.openxmlformats.org/officeDocument/2006/relationships/hyperlink" Target="https://www.acoma.com/" TargetMode="External" Id="rId60"/><Relationship Type="http://schemas.openxmlformats.org/officeDocument/2006/relationships/hyperlink" Target="https://munatex.com/products/5863/" TargetMode="External" Id="rId61"/><Relationship Type="http://schemas.openxmlformats.org/officeDocument/2006/relationships/hyperlink" Target="https://sakai-me.com/" TargetMode="External" Id="rId62"/><Relationship Type="http://schemas.openxmlformats.org/officeDocument/2006/relationships/hyperlink" Target="https://sakai-me.com/" TargetMode="External" Id="rId63"/><Relationship Type="http://schemas.openxmlformats.org/officeDocument/2006/relationships/hyperlink" Target="https://www.vm.nval.go.jp/public/detail/11016" TargetMode="External" Id="rId64"/><Relationship Type="http://schemas.openxmlformats.org/officeDocument/2006/relationships/hyperlink" Target="https://shinmedico.jp/" TargetMode="External" Id="rId65"/><Relationship Type="http://schemas.openxmlformats.org/officeDocument/2006/relationships/hyperlink" Target="https://baseconnect.in/companies/prefecture/3420045f-8609-4232-9407-75407ae4e6e8/keyword/a68873de-8c54-4a2c-820f-e04c8b93064c" TargetMode="External" Id="rId66"/><Relationship Type="http://schemas.openxmlformats.org/officeDocument/2006/relationships/hyperlink" Target="https://www.taiyo-denshi.com/" TargetMode="External" Id="rId67"/><Relationship Type="http://schemas.openxmlformats.org/officeDocument/2006/relationships/hyperlink" Target="https://www.jamo.or.jp/member/" TargetMode="External" Id="rId68"/><Relationship Type="http://schemas.openxmlformats.org/officeDocument/2006/relationships/hyperlink" Target="http://www.asuka-med.com" TargetMode="External" Id="rId69"/><Relationship Type="http://schemas.openxmlformats.org/officeDocument/2006/relationships/hyperlink" Target="https://www.jamo.or.jp/member/" TargetMode="External" Id="rId70"/><Relationship Type="http://schemas.openxmlformats.org/officeDocument/2006/relationships/hyperlink" Target="https://www.jamo.or.jp/member/" TargetMode="External" Id="rId71"/><Relationship Type="http://schemas.openxmlformats.org/officeDocument/2006/relationships/hyperlink" Target="https://news.jprpet.com/company/list/175/" TargetMode="External" Id="rId72"/><Relationship Type="http://schemas.openxmlformats.org/officeDocument/2006/relationships/hyperlink" Target="https://www.flexmedical.jp/" TargetMode="External" Id="rId73"/><Relationship Type="http://schemas.openxmlformats.org/officeDocument/2006/relationships/hyperlink" Target="https://www.jamo.or.jp/member/" TargetMode="External" Id="rId74"/><Relationship Type="http://schemas.openxmlformats.org/officeDocument/2006/relationships/hyperlink" Target="https://www.kimuramed.jp/" TargetMode="External" Id="rId75"/><Relationship Type="http://schemas.openxmlformats.org/officeDocument/2006/relationships/hyperlink" Target="https://medical-space.co.jp/products/2309/" TargetMode="External" Id="rId76"/><Relationship Type="http://schemas.openxmlformats.org/officeDocument/2006/relationships/hyperlink" Target="https://kind-medical.co.jp/" TargetMode="External" Id="rId77"/><Relationship Type="http://schemas.openxmlformats.org/officeDocument/2006/relationships/hyperlink" Target="https://kind-medical.co.jp/" TargetMode="External" Id="rId78"/><Relationship Type="http://schemas.openxmlformats.org/officeDocument/2006/relationships/hyperlink" Target="https://www.e-mcast.co.jp" TargetMode="External" Id="rId79"/><Relationship Type="http://schemas.openxmlformats.org/officeDocument/2006/relationships/hyperlink" Target="https://www.e-mcast.co.jp/shop/r/rdoubutsu/" TargetMode="External" Id="rId80"/><Relationship Type="http://schemas.openxmlformats.org/officeDocument/2006/relationships/hyperlink" Target="https://www.marubun.co.jp" TargetMode="External" Id="rId81"/><Relationship Type="http://schemas.openxmlformats.org/officeDocument/2006/relationships/hyperlink" Target="https://www.marubun.co.jp/info/2024/50370" TargetMode="External" Id="rId82"/><Relationship Type="http://schemas.openxmlformats.org/officeDocument/2006/relationships/hyperlink" Target="https://meilleur.co.jp/" TargetMode="External" Id="rId83"/><Relationship Type="http://schemas.openxmlformats.org/officeDocument/2006/relationships/hyperlink" Target="https://www.jamo.or.jp/member/" TargetMode="External" Id="rId84"/><Relationship Type="http://schemas.openxmlformats.org/officeDocument/2006/relationships/hyperlink" Target="http://www.nihoniryo.co.jp/" TargetMode="External" Id="rId85"/><Relationship Type="http://schemas.openxmlformats.org/officeDocument/2006/relationships/hyperlink" Target="https://news.jprpet.com/company/list/175/" TargetMode="External" Id="rId86"/><Relationship Type="http://schemas.openxmlformats.org/officeDocument/2006/relationships/hyperlink" Target="https://www.sophiatech.co.jp" TargetMode="External" Id="rId87"/><Relationship Type="http://schemas.openxmlformats.org/officeDocument/2006/relationships/hyperlink" Target="https://www.sophiatech.co.jp/orthppedic-implants?lightbox=image9xt" TargetMode="External" Id="rId88"/><Relationship Type="http://schemas.openxmlformats.org/officeDocument/2006/relationships/hyperlink" Target="https://www.vetpartners.co.jp/" TargetMode="External" Id="rId89"/><Relationship Type="http://schemas.openxmlformats.org/officeDocument/2006/relationships/hyperlink" Target="https://www.rdsupport-tenshoku.jp/search/JOB40843" TargetMode="External" Id="rId90"/><Relationship Type="http://schemas.openxmlformats.org/officeDocument/2006/relationships/hyperlink" Target="https://www.animalpharmacy.jp/" TargetMode="External" Id="rId91"/><Relationship Type="http://schemas.openxmlformats.org/officeDocument/2006/relationships/hyperlink" Target="https://www.animalpharmacy.jp/" TargetMode="External" Id="rId92"/><Relationship Type="http://schemas.openxmlformats.org/officeDocument/2006/relationships/hyperlink" Target="https://arrows-healthcare.com" TargetMode="External" Id="rId93"/><Relationship Type="http://schemas.openxmlformats.org/officeDocument/2006/relationships/hyperlink" Target="https://arrows-healthcare.com/product/product_list?ccd=1017" TargetMode="External" Id="rId94"/><Relationship Type="http://schemas.openxmlformats.org/officeDocument/2006/relationships/hyperlink" Target="https://baseconnect.in/companies/prefecture/d80b180e-5fd9-4082-8cdc-a510179a3475/keyword/c53ff370-90f7-45dc-a0ee-e22bda2cde5e" TargetMode="External" Id="rId95"/><Relationship Type="http://schemas.openxmlformats.org/officeDocument/2006/relationships/hyperlink" Target="https://www.qix.co.jp" TargetMode="External" Id="rId96"/><Relationship Type="http://schemas.openxmlformats.org/officeDocument/2006/relationships/hyperlink" Target="https://www.qix.co.jp/news/322" TargetMode="External" Id="rId97"/><Relationship Type="http://schemas.openxmlformats.org/officeDocument/2006/relationships/hyperlink" Target="https://www.terucom.co.jp/" TargetMode="External" Id="rId98"/><Relationship Type="http://schemas.openxmlformats.org/officeDocument/2006/relationships/hyperlink" Target="https://www.jamo.or.jp/member/" TargetMode="External" Id="rId99"/></Relationships>
</file>

<file path=xl/worksheets/_rels/sheet3.xml.rels><Relationships xmlns="http://schemas.openxmlformats.org/package/2006/relationships"><Relationship Type="http://schemas.openxmlformats.org/officeDocument/2006/relationships/hyperlink" Target="https://ahhd.jp/I0000003" TargetMode="External" Id="rId1"/><Relationship Type="http://schemas.openxmlformats.org/officeDocument/2006/relationships/hyperlink" Target="https://www.okayama-amc.com/" TargetMode="External" Id="rId2"/><Relationship Type="http://schemas.openxmlformats.org/officeDocument/2006/relationships/hyperlink" Target="https://www.okayama-amc.com/" TargetMode="External" Id="rId3"/><Relationship Type="http://schemas.openxmlformats.org/officeDocument/2006/relationships/hyperlink" Target="https://ahk-cuare.com/" TargetMode="External" Id="rId4"/><Relationship Type="http://schemas.openxmlformats.org/officeDocument/2006/relationships/hyperlink" Target="https://ahk-cuare.com/" TargetMode="External" Id="rId5"/><Relationship Type="http://schemas.openxmlformats.org/officeDocument/2006/relationships/hyperlink" Target="https://www.elsa-hp.com" TargetMode="External" Id="rId6"/><Relationship Type="http://schemas.openxmlformats.org/officeDocument/2006/relationships/hyperlink" Target="https://www.kobe-np.co.jp/info/prtimes/202602/c170012_r8.shtml" TargetMode="External" Id="rId7"/><Relationship Type="http://schemas.openxmlformats.org/officeDocument/2006/relationships/hyperlink" Target="https://hadukikai.co.jp/" TargetMode="External" Id="rId8"/><Relationship Type="http://schemas.openxmlformats.org/officeDocument/2006/relationships/hyperlink" Target="https://hadukikai.co.jp/group_hosp/hyougo/" TargetMode="External" Id="rId9"/><Relationship Type="http://schemas.openxmlformats.org/officeDocument/2006/relationships/hyperlink" Target="https://doubutsuyakan.jp" TargetMode="External" Id="rId10"/><Relationship Type="http://schemas.openxmlformats.org/officeDocument/2006/relationships/hyperlink" Target="https://doubutsuyakan.jp/about.html" TargetMode="External" Id="rId11"/><Relationship Type="http://schemas.openxmlformats.org/officeDocument/2006/relationships/hyperlink" Target="https://wolveshand.jp/" TargetMode="External" Id="rId12"/><Relationship Type="http://schemas.openxmlformats.org/officeDocument/2006/relationships/hyperlink" Target="https://ahhd.jp/I0000003" TargetMode="External" Id="rId13"/><Relationship Type="http://schemas.openxmlformats.org/officeDocument/2006/relationships/hyperlink" Target="https://allone-ah.co.jp" TargetMode="External" Id="rId14"/><Relationship Type="http://schemas.openxmlformats.org/officeDocument/2006/relationships/hyperlink" Target="https://allone-ah.co.jp/company" TargetMode="External" Id="rId15"/><Relationship Type="http://schemas.openxmlformats.org/officeDocument/2006/relationships/hyperlink" Target="https://www.aitom.jp/" TargetMode="External" Id="rId16"/><Relationship Type="http://schemas.openxmlformats.org/officeDocument/2006/relationships/hyperlink" Target="https://www.aitom.jp/about/" TargetMode="External" Id="rId17"/><Relationship Type="http://schemas.openxmlformats.org/officeDocument/2006/relationships/hyperlink" Target="https://www.anicom-pafe.com" TargetMode="External" Id="rId18"/><Relationship Type="http://schemas.openxmlformats.org/officeDocument/2006/relationships/hyperlink" Target="https://ahhd.jp/I0000003" TargetMode="External" Id="rId19"/><Relationship Type="http://schemas.openxmlformats.org/officeDocument/2006/relationships/hyperlink" Target="https://www.fanimedic-ah.com" TargetMode="External" Id="rId20"/><Relationship Type="http://schemas.openxmlformats.org/officeDocument/2006/relationships/hyperlink" Target="https://www.fanimedic-ah.com/group-hospitals/" TargetMode="External" Id="rId21"/><Relationship Type="http://schemas.openxmlformats.org/officeDocument/2006/relationships/hyperlink" Target="https://inagakiah.com/" TargetMode="External" Id="rId22"/><Relationship Type="http://schemas.openxmlformats.org/officeDocument/2006/relationships/hyperlink" Target="https://inagakiah.com/" TargetMode="External" Id="rId23"/><Relationship Type="http://schemas.openxmlformats.org/officeDocument/2006/relationships/hyperlink" Target="https://www.primo-ah.com/" TargetMode="External" Id="rId24"/><Relationship Type="http://schemas.openxmlformats.org/officeDocument/2006/relationships/hyperlink" Target="https://www.primo-ah.com/" TargetMode="External" Id="rId25"/><Relationship Type="http://schemas.openxmlformats.org/officeDocument/2006/relationships/hyperlink" Target="https://lifemate-vh.com/" TargetMode="External" Id="rId26"/><Relationship Type="http://schemas.openxmlformats.org/officeDocument/2006/relationships/hyperlink" Target="https://lifemate-vh.com/" TargetMode="External" Id="rId27"/><Relationship Type="http://schemas.openxmlformats.org/officeDocument/2006/relationships/hyperlink" Target="https://bayside.minami-ahg.jp/" TargetMode="External" Id="rId28"/><Relationship Type="http://schemas.openxmlformats.org/officeDocument/2006/relationships/hyperlink" Target="https://bayside.minami-ahg.jp/" TargetMode="External" Id="rId29"/><Relationship Type="http://schemas.openxmlformats.org/officeDocument/2006/relationships/hyperlink" Target="https://www.jpac.jp/" TargetMode="External" Id="rId30"/><Relationship Type="http://schemas.openxmlformats.org/officeDocument/2006/relationships/hyperlink" Target="https://prtimes.jp/main/html/rd/p/000000001.000183725.html" TargetMode="External" Id="rId31"/><Relationship Type="http://schemas.openxmlformats.org/officeDocument/2006/relationships/hyperlink" Target="https://otakibashi.com/" TargetMode="External" Id="rId32"/><Relationship Type="http://schemas.openxmlformats.org/officeDocument/2006/relationships/hyperlink" Target="https://medical-space.co.jp/works/area/" TargetMode="External" Id="rId33"/><Relationship Type="http://schemas.openxmlformats.org/officeDocument/2006/relationships/hyperlink" Target="https://www.vcajapan.com" TargetMode="External" Id="rId34"/><Relationship Type="http://schemas.openxmlformats.org/officeDocument/2006/relationships/hyperlink" Target="https://www.vcajapan.com/" TargetMode="External" Id="rId35"/><Relationship Type="http://schemas.openxmlformats.org/officeDocument/2006/relationships/hyperlink" Target="https://withmal-hd.co.jp/" TargetMode="External" Id="rId36"/><Relationship Type="http://schemas.openxmlformats.org/officeDocument/2006/relationships/hyperlink" Target="https://ahhd.jp/I0000019" TargetMode="External" Id="rId37"/><Relationship Type="http://schemas.openxmlformats.org/officeDocument/2006/relationships/hyperlink" Target="https://and-vet-ah.com/" TargetMode="External" Id="rId38"/><Relationship Type="http://schemas.openxmlformats.org/officeDocument/2006/relationships/hyperlink" Target="https://and-vet-ah.com/" TargetMode="External" Id="rId39"/><Relationship Type="http://schemas.openxmlformats.org/officeDocument/2006/relationships/hyperlink" Target="https://f-dic.com/" TargetMode="External" Id="rId40"/><Relationship Type="http://schemas.openxmlformats.org/officeDocument/2006/relationships/hyperlink" Target="https://fukuoka-ahg.jp/group/" TargetMode="External" Id="rId41"/><Relationship Type="http://schemas.openxmlformats.org/officeDocument/2006/relationships/hyperlink" Target="https://halleluya-vet.com/" TargetMode="External" Id="rId42"/><Relationship Type="http://schemas.openxmlformats.org/officeDocument/2006/relationships/hyperlink" Target="https://www.halleluya-vet.net/aboutus" TargetMode="External" Id="rId43"/><Relationship Type="http://schemas.openxmlformats.org/officeDocument/2006/relationships/hyperlink" Target="https://www.hamc-kah.com/" TargetMode="External" Id="rId44"/><Relationship Type="http://schemas.openxmlformats.org/officeDocument/2006/relationships/hyperlink" Target="https://www.hamc-kah.com/" TargetMode="External" Id="rId45"/><Relationship Type="http://schemas.openxmlformats.org/officeDocument/2006/relationships/hyperlink" Target="https://midori-no-mori.jp/" TargetMode="External" Id="rId46"/><Relationship Type="http://schemas.openxmlformats.org/officeDocument/2006/relationships/hyperlink" Target="https://midori-no-mori.jp/" TargetMode="External" Id="rId47"/><Relationship Type="http://schemas.openxmlformats.org/officeDocument/2006/relationships/hyperlink" Target="https://animal-99.com/" TargetMode="External" Id="rId48"/><Relationship Type="http://schemas.openxmlformats.org/officeDocument/2006/relationships/hyperlink" Target="https://animal-99.com/" TargetMode="External" Id="rId49"/><Relationship Type="http://schemas.openxmlformats.org/officeDocument/2006/relationships/hyperlink" Target="https://www.nosai-niigata.or.jp/" TargetMode="External" Id="rId50"/><Relationship Type="http://schemas.openxmlformats.org/officeDocument/2006/relationships/hyperlink" Target="https://www.nosai.or.jp/nosai_kasou/nosai_kakuchi01.html" TargetMode="External" Id="rId51"/><Relationship Type="http://schemas.openxmlformats.org/officeDocument/2006/relationships/hyperlink" Target="https://nosai-hiroshima.or.jp" TargetMode="External" Id="rId52"/><Relationship Type="http://schemas.openxmlformats.org/officeDocument/2006/relationships/hyperlink" Target="https://nosai-hiroshima.or.jp/access-kachiku/" TargetMode="External" Id="rId53"/><Relationship Type="http://schemas.openxmlformats.org/officeDocument/2006/relationships/hyperlink" Target="https://www.nosai.or.jp/nosai_kasou/nosai_kakuchi01.html" TargetMode="External" Id="rId54"/><Relationship Type="http://schemas.openxmlformats.org/officeDocument/2006/relationships/hyperlink" Target="https://www.ok-nosai.or.jp" TargetMode="External" Id="rId55"/><Relationship Type="http://schemas.openxmlformats.org/officeDocument/2006/relationships/hyperlink" Target="https://www.ok-nosai.or.jp/office/livestock.html" TargetMode="External" Id="rId56"/><Relationship Type="http://schemas.openxmlformats.org/officeDocument/2006/relationships/hyperlink" Target="https://www.nosai.or.jp/nosai_kasou/nosai_kakuchi01.html" TargetMode="External" Id="rId57"/><Relationship Type="http://schemas.openxmlformats.org/officeDocument/2006/relationships/hyperlink" Target="https://www.nosai.or.jp/nosai_kasou/nosai_kakuchi01.html" TargetMode="External" Id="rId58"/><Relationship Type="http://schemas.openxmlformats.org/officeDocument/2006/relationships/hyperlink" Target="https://ymgc-nosai.org" TargetMode="External" Id="rId59"/><Relationship Type="http://schemas.openxmlformats.org/officeDocument/2006/relationships/hyperlink" Target="https://ymgc-nosai.org/cms/page106.html" TargetMode="External" Id="rId60"/><Relationship Type="http://schemas.openxmlformats.org/officeDocument/2006/relationships/hyperlink" Target="https://nosai-chiba.or.jp" TargetMode="External" Id="rId61"/><Relationship Type="http://schemas.openxmlformats.org/officeDocument/2006/relationships/hyperlink" Target="https://nosai-chiba.or.jp/soshiki/shinryo/" TargetMode="External" Id="rId62"/><Relationship Type="http://schemas.openxmlformats.org/officeDocument/2006/relationships/hyperlink" Target="https://www.maff.go.jp/j/keiei/nogyohoken/contact.html" TargetMode="External" Id="rId63"/><Relationship Type="http://schemas.openxmlformats.org/officeDocument/2006/relationships/hyperlink" Target="https://www.ibaraki-nosai.or.jp" TargetMode="External" Id="rId64"/><Relationship Type="http://schemas.openxmlformats.org/officeDocument/2006/relationships/hyperlink" Target="https://ibaraki.lin.gr.jp/chikusan-ibaraki/24-11/11.html" TargetMode="External" Id="rId65"/><Relationship Type="http://schemas.openxmlformats.org/officeDocument/2006/relationships/hyperlink" Target="https://www.maff.go.jp/j/keiei/nogyohoken/contact.html" TargetMode="External" Id="rId66"/><Relationship Type="http://schemas.openxmlformats.org/officeDocument/2006/relationships/hyperlink" Target="https://www.nosai46.jp/kagoshima/" TargetMode="External" Id="rId67"/><Relationship Type="http://schemas.openxmlformats.org/officeDocument/2006/relationships/hyperlink" Target="https://www.nosai46.jp/kagoshima/" TargetMode="External" Id="rId68"/><Relationship Type="http://schemas.openxmlformats.org/officeDocument/2006/relationships/hyperlink" Target="https://nosai-kumamoto.or.jp/" TargetMode="External" Id="rId69"/><Relationship Type="http://schemas.openxmlformats.org/officeDocument/2006/relationships/hyperlink" Target="https://www.nosai.or.jp/nosai_kasou/juuishi/kyusyu_okinawa.html" TargetMode="External" Id="rId70"/><Relationship Type="http://schemas.openxmlformats.org/officeDocument/2006/relationships/hyperlink" Target="https://nosai-miyazakiken.jp" TargetMode="External" Id="rId71"/><Relationship Type="http://schemas.openxmlformats.org/officeDocument/2006/relationships/hyperlink" Target="https://nosai-miyazakiken.jp/veterinarian/" TargetMode="External" Id="rId72"/><Relationship Type="http://schemas.openxmlformats.org/officeDocument/2006/relationships/hyperlink" Target="https://www.nosai-ngs.jp" TargetMode="External" Id="rId73"/><Relationship Type="http://schemas.openxmlformats.org/officeDocument/2006/relationships/hyperlink" Target="https://www.nosai-ngs.jp/list.html" TargetMode="External" Id="rId74"/><Relationship Type="http://schemas.openxmlformats.org/officeDocument/2006/relationships/hyperlink" Target="https://www.nosai-oita.jp" TargetMode="External" Id="rId75"/><Relationship Type="http://schemas.openxmlformats.org/officeDocument/2006/relationships/hyperlink" Target="https://www.nosai-oita.jp/kachikushinryojo" TargetMode="External" Id="rId76"/><Relationship Type="http://schemas.openxmlformats.org/officeDocument/2006/relationships/hyperlink" Target="https://nosai-okinawa.jp" TargetMode="External" Id="rId77"/><Relationship Type="http://schemas.openxmlformats.org/officeDocument/2006/relationships/hyperlink" Target="https://nosai-okinawa.jp/clinic/" TargetMode="External" Id="rId78"/><Relationship Type="http://schemas.openxmlformats.org/officeDocument/2006/relationships/hyperlink" Target="https://www.nosai.or.jp/nosai_kasou/nosai_kakuchi01.html" TargetMode="External" Id="rId79"/><Relationship Type="http://schemas.openxmlformats.org/officeDocument/2006/relationships/hyperlink" Target="http://www.nosai-aomori.or.jp" TargetMode="External" Id="rId80"/><Relationship Type="http://schemas.openxmlformats.org/officeDocument/2006/relationships/hyperlink" Target="http://www.nosai-aomori.or.jp/wp-content/uploads/2025/08/4e705eaea4a622fbfd5c63b338189b7d.pdf" TargetMode="External" Id="rId81"/><Relationship Type="http://schemas.openxmlformats.org/officeDocument/2006/relationships/hyperlink" Target="https://fukushima-nosainet.jp" TargetMode="External" Id="rId82"/><Relationship Type="http://schemas.openxmlformats.org/officeDocument/2006/relationships/hyperlink" Target="https://fukushima-nosainet.jp/outline/out-c/out-c-c" TargetMode="External" Id="rId83"/><Relationship Type="http://schemas.openxmlformats.org/officeDocument/2006/relationships/hyperlink" Target="https://www.nosai-do.or.jp" TargetMode="External" Id="rId84"/><Relationship Type="http://schemas.openxmlformats.org/officeDocument/2006/relationships/hyperlink" Target="https://www.nosai-do.or.jp/about/overview/" TargetMode="External" Id="rId85"/><Relationship Type="http://schemas.openxmlformats.org/officeDocument/2006/relationships/hyperlink" Target="https://www.maff.go.jp/j/keiei/nogyohoken/contact.html" TargetMode="External" Id="rId86"/><Relationship Type="http://schemas.openxmlformats.org/officeDocument/2006/relationships/hyperlink" Target="https://www.nosaimiyagi.or.jp" TargetMode="External" Id="rId87"/><Relationship Type="http://schemas.openxmlformats.org/officeDocument/2006/relationships/hyperlink" Target="https://www.nosaimiyagi.or.jp/outline/" TargetMode="External" Id="rId88"/><Relationship Type="http://schemas.openxmlformats.org/officeDocument/2006/relationships/hyperlink" Target="https://www.yynosai.or.jp" TargetMode="External" Id="rId89"/><Relationship Type="http://schemas.openxmlformats.org/officeDocument/2006/relationships/hyperlink" Target="https://www.yynosai.or.jp/yamagata/branch" TargetMode="External" Id="rId90"/><Relationship Type="http://schemas.openxmlformats.org/officeDocument/2006/relationships/hyperlink" Target="https://www.thms.jp" TargetMode="External" Id="rId91"/><Relationship Type="http://schemas.openxmlformats.org/officeDocument/2006/relationships/hyperlink" Target="https://www.thms.jp/service/juuika/breeding/hanshokukenshin/" TargetMode="External" Id="rId92"/></Relationships>
</file>

<file path=xl/worksheets/_rels/sheet6.xml.rels><Relationships xmlns="http://schemas.openxmlformats.org/package/2006/relationships"><Relationship Type="http://schemas.openxmlformats.org/officeDocument/2006/relationships/hyperlink" Target="https://www.maff.go.jp/j/keiei/nogyohoken/contact.html" TargetMode="External" Id="rId1"/><Relationship Type="http://schemas.openxmlformats.org/officeDocument/2006/relationships/hyperlink" Target="https://www.jamo.or.jp/member/" TargetMode="External" Id="rId2"/><Relationship Type="http://schemas.openxmlformats.org/officeDocument/2006/relationships/hyperlink" Target="https://jadida.or.jp/doc/KaiinList20250822.pdf" TargetMode="External" Id="rId3"/><Relationship Type="http://schemas.openxmlformats.org/officeDocument/2006/relationships/hyperlink" Target="https://jadida.or.jp/doc/KaiinList20250401.pdf" TargetMode="External" Id="rId4"/><Relationship Type="http://schemas.openxmlformats.org/officeDocument/2006/relationships/hyperlink" Target="https://www.jadida.or.jp/doc/KaiinList20241001.pdf" TargetMode="External" Id="rId5"/><Relationship Type="http://schemas.openxmlformats.org/officeDocument/2006/relationships/hyperlink" Target="https://www.nosai.or.jp/nosai_kasou/nosai_kakuchi01.html" TargetMode="External" Id="rId6"/><Relationship Type="http://schemas.openxmlformats.org/officeDocument/2006/relationships/hyperlink" Target="https://news.jprpet.com/company/list/174/" TargetMode="External" Id="rId7"/><Relationship Type="http://schemas.openxmlformats.org/officeDocument/2006/relationships/hyperlink" Target="https://baseconnect.in/companies/prefecture/63038c5a-e328-472b-b9cc-039738609ba7/category/b2358a1c-c4c6-46f4-a0b1-dee3a1b30a0b" TargetMode="External" Id="rId8"/><Relationship Type="http://schemas.openxmlformats.org/officeDocument/2006/relationships/hyperlink" Target="https://www.fukuda.co.jp/company/lt/lt_area05.html" TargetMode="External" Id="rId9"/><Relationship Type="http://schemas.openxmlformats.org/officeDocument/2006/relationships/hyperlink" Target="https://note.com/arrows_column/n/nd4fd35a1d8b1" TargetMode="External" Id="rId10"/><Relationship Type="http://schemas.openxmlformats.org/officeDocument/2006/relationships/hyperlink" Target="https://tohoku-ikihan.com/memberlist_category/iwate/" TargetMode="External" Id="rId11"/><Relationship Type="http://schemas.openxmlformats.org/officeDocument/2006/relationships/hyperlink" Target="https://ahhd.jp/I0000004" TargetMode="External" Id="rId12"/><Relationship Type="http://schemas.openxmlformats.org/officeDocument/2006/relationships/hyperlink" Target="https://www.nikkei.com/compass/search/Y2F0ZWdvcnk9Y29tcGFueSZyZWdpb249MTMmaW5kdXN0cnlTPTA1MzI" TargetMode="External" Id="rId13"/><Relationship Type="http://schemas.openxmlformats.org/officeDocument/2006/relationships/hyperlink" Target="https://news.jprpet.com/company/list/175/" TargetMode="External" Id="rId14"/><Relationship Type="http://schemas.openxmlformats.org/officeDocument/2006/relationships/hyperlink" Target="https://baseconnect.in/companies/prefecture/4637ba90-383b-4656-8be1-ca34c7f7244f/keyword/89941b4e-2dd1-4848-8957-48af280a31e0" TargetMode="External" Id="rId15"/><Relationship Type="http://schemas.openxmlformats.org/officeDocument/2006/relationships/hyperlink" Target="https://baseconnect.in/companies/prefecture/31ffefed-1183-4eba-a6d9-4182a6136e50/keyword/14f3dcec-9cd5-4be5-84e1-ddccb7bd228c" TargetMode="External" Id="rId16"/><Relationship Type="http://schemas.openxmlformats.org/officeDocument/2006/relationships/hyperlink" Target="https://www.navitime.co.jp/category/0516/23/?tags=010190" TargetMode="External" Id="rId17"/><Relationship Type="http://schemas.openxmlformats.org/officeDocument/2006/relationships/hyperlink" Target="https://houjin.goo.to/corporations/prefs/hyogo/category-s-medical-equipment-and-instrument-trading-companies" TargetMode="External" Id="rId18"/><Relationship Type="http://schemas.openxmlformats.org/officeDocument/2006/relationships/hyperlink" Target="https://baseconnect.in/companies/prefecture/a30ebdff-361b-42be-8372-1b0d350f48a0/keyword/89941b4e-2dd1-4848-8957-48af280a31e0" TargetMode="External" Id="rId19"/><Relationship Type="http://schemas.openxmlformats.org/officeDocument/2006/relationships/hyperlink" Target="https://baseconnect.in/companies/prefecture/3420045f-8609-4232-9407-75407ae4e6e8/keyword/89941b4e-2dd1-4848-8957-48af280a31e0" TargetMode="External" Id="rId20"/><Relationship Type="http://schemas.openxmlformats.org/officeDocument/2006/relationships/hyperlink" Target="https://baseconnect.in/companies/prefecture/344720c8-49c6-4a45-94af-958496d86524/category/b2358a1c-c4c6-46f4-a0b1-dee3a1b30a0b" TargetMode="External" Id="rId21"/><Relationship Type="http://schemas.openxmlformats.org/officeDocument/2006/relationships/hyperlink" Target="https://www.as-1.co.jp/agent/hospital/tohoku/" TargetMode="External" Id="rId22"/><Relationship Type="http://schemas.openxmlformats.org/officeDocument/2006/relationships/hyperlink" Target="https://ahhd.jp/I0000003" TargetMode="External" Id="rId23"/><Relationship Type="http://schemas.openxmlformats.org/officeDocument/2006/relationships/hyperlink" Target="https://www.rdsupport-tenshoku.jp/search/JOB40843" TargetMode="External" Id="rId24"/><Relationship Type="http://schemas.openxmlformats.org/officeDocument/2006/relationships/hyperlink" Target="https://baseconnect.in/companies/prefecture/d8203dea-91e2-41c3-a785-b80aa997273c/category/b2358a1c-c4c6-46f4-a0b1-dee3a1b30a0b" TargetMode="External" Id="rId25"/><Relationship Type="http://schemas.openxmlformats.org/officeDocument/2006/relationships/hyperlink" Target="https://www.fuji-keizai.co.jp/report/detail.html?code=122410710&amp;la=ja&amp;la=en" TargetMode="External" Id="rId26"/><Relationship Type="http://schemas.openxmlformats.org/officeDocument/2006/relationships/hyperlink" Target="https://baseconnect.in/companies/prefecture/8de2e273-a5a8-45b9-8fc1-0fe6344d6843/keyword/14f3dcec-9cd5-4be5-84e1-ddccb7bd228c" TargetMode="External" Id="rId27"/><Relationship Type="http://schemas.openxmlformats.org/officeDocument/2006/relationships/hyperlink" Target="https://baseconnect.in/companies/prefecture/47b312cd-84c4-4e89-951a-b56344bc774e/keyword/89941b4e-2dd1-4848-8957-48af280a31e0" TargetMode="External" Id="rId28"/><Relationship Type="http://schemas.openxmlformats.org/officeDocument/2006/relationships/hyperlink" Target="https://www.nikkei.com/compass/search/Y2F0ZWdvcnk9Y29tcGFueSZyZWdpb249MjMmaW5kdXN0cnlTPTA1MzI" TargetMode="External" Id="rId29"/><Relationship Type="http://schemas.openxmlformats.org/officeDocument/2006/relationships/hyperlink" Target="https://baseconnect.in/companies/prefecture/aed784f6-cd06-4f72-95d9-876e82d37385/keyword/89941b4e-2dd1-4848-8957-48af280a31e0" TargetMode="External" Id="rId30"/><Relationship Type="http://schemas.openxmlformats.org/officeDocument/2006/relationships/hyperlink" Target="https://tenshoku.mynavi.jp/company/list/i02090/" TargetMode="External" Id="rId31"/><Relationship Type="http://schemas.openxmlformats.org/officeDocument/2006/relationships/hyperlink" Target="https://baseconnect.in/companies/prefecture/60622468-79bd-4eef-86f8-cb69d1ef09f0/keyword/14f3dcec-9cd5-4be5-84e1-ddccb7bd228c" TargetMode="External" Id="rId32"/><Relationship Type="http://schemas.openxmlformats.org/officeDocument/2006/relationships/hyperlink" Target="https://www.nikkei.com/compass/search/Y2F0ZWdvcnk9Y29tcGFueSZyZWdpb249MjgmaW5kdXN0cnlTPTA1MzI" TargetMode="External" Id="rId33"/><Relationship Type="http://schemas.openxmlformats.org/officeDocument/2006/relationships/hyperlink" Target="https://baseconnect.in/companies/prefecture/d80b180e-5fd9-4082-8cdc-a510179a3475/keyword/89941b4e-2dd1-4848-8957-48af280a31e0" TargetMode="External" Id="rId34"/><Relationship Type="http://schemas.openxmlformats.org/officeDocument/2006/relationships/hyperlink" Target="https://baseconnect.in/companies/prefecture/a30ebdff-361b-42be-8372-1b0d350f48a0/category/b2358a1c-c4c6-46f4-a0b1-dee3a1b30a0b" TargetMode="External" Id="rId35"/><Relationship Type="http://schemas.openxmlformats.org/officeDocument/2006/relationships/hyperlink" Target="https://baseconnect.in/companies/prefecture/5b2e6d00-cfba-4d0b-850d-54757e4b4d7f/keyword/89941b4e-2dd1-4848-8957-48af280a31e0" TargetMode="External" Id="rId36"/><Relationship Type="http://schemas.openxmlformats.org/officeDocument/2006/relationships/hyperlink" Target="https://baseconnect.in/companies/prefecture/5d54c878-c20d-4f57-bb73-e021f2210d6c/keyword/14f3dcec-9cd5-4be5-84e1-ddccb7bd228c" TargetMode="External" Id="rId37"/><Relationship Type="http://schemas.openxmlformats.org/officeDocument/2006/relationships/hyperlink" Target="https://baseconnect.in/companies/prefecture/b147f06d-09b9-4c4f-9e51-e7157354eec0/keyword/14f3dcec-9cd5-4be5-84e1-ddccb7bd228c" TargetMode="External" Id="rId38"/><Relationship Type="http://schemas.openxmlformats.org/officeDocument/2006/relationships/hyperlink" Target="https://baseconnect.in/companies/prefecture/39b58ff0-63fd-405f-8b8a-37c5443ce5c7/keyword/89941b4e-2dd1-4848-8957-48af280a31e0" TargetMode="External" Id="rId39"/><Relationship Type="http://schemas.openxmlformats.org/officeDocument/2006/relationships/hyperlink" Target="https://baseconnect.in/companies/prefecture/96c84bbe-0dd4-4885-9333-4913e3f022c9/keyword/89941b4e-2dd1-4848-8957-48af280a31e0" TargetMode="External" Id="rId40"/><Relationship Type="http://schemas.openxmlformats.org/officeDocument/2006/relationships/hyperlink" Target="https://www.navitime.co.jp/category/00/47/?tags=010190" TargetMode="External" Id="rId41"/><Relationship Type="http://schemas.openxmlformats.org/officeDocument/2006/relationships/hyperlink" Target="https://baseconnect.in/companies/prefecture/9ebb3838-effc-47da-b634-994957a78319/keyword/89941b4e-2dd1-4848-8957-48af280a31e0" TargetMode="External" Id="rId42"/><Relationship Type="http://schemas.openxmlformats.org/officeDocument/2006/relationships/hyperlink" Target="https://cscjp.co.jp/csc-medical/products/vet-videoscope.html" TargetMode="External" Id="rId43"/><Relationship Type="http://schemas.openxmlformats.org/officeDocument/2006/relationships/hyperlink" Target="https://sia-tokyo.gr.jp/co-list/748" TargetMode="External" Id="rId44"/><Relationship Type="http://schemas.openxmlformats.org/officeDocument/2006/relationships/hyperlink" Target="https://cscjp.co.jp/contact/" TargetMode="External" Id="rId45"/><Relationship Type="http://schemas.openxmlformats.org/officeDocument/2006/relationships/hyperlink" Target="https://www.vm.nval.go.jp/public/detail/16030" TargetMode="External" Id="rId46"/><Relationship Type="http://schemas.openxmlformats.org/officeDocument/2006/relationships/hyperlink" Target="https://arkraythinkanimal.com/2025/09/03/information95/" TargetMode="External" Id="rId47"/><Relationship Type="http://schemas.openxmlformats.org/officeDocument/2006/relationships/hyperlink" Target="https://arkraythinkanimal.com/company/" TargetMode="External" Id="rId48"/><Relationship Type="http://schemas.openxmlformats.org/officeDocument/2006/relationships/hyperlink" Target="https://arkraythinkanimal.com/contact/" TargetMode="External" Id="rId49"/><Relationship Type="http://schemas.openxmlformats.org/officeDocument/2006/relationships/hyperlink" Target="https://vm.nval.go.jp/?mfg_dealer_name=&amp;sort=MANUFACTURING_DEALER&amp;submit=submit" TargetMode="External" Id="rId50"/><Relationship Type="http://schemas.openxmlformats.org/officeDocument/2006/relationships/hyperlink" Target="https://www.vm.nval.go.jp/public/detail/9148" TargetMode="External" Id="rId51"/><Relationship Type="http://schemas.openxmlformats.org/officeDocument/2006/relationships/hyperlink" Target="https://www.totalapproach.co.jp/askme/askme.html" TargetMode="External" Id="rId52"/><Relationship Type="http://schemas.openxmlformats.org/officeDocument/2006/relationships/hyperlink" Target="https://www.nosawa.co.jp/inquiry/" TargetMode="External" Id="rId53"/><Relationship Type="http://schemas.openxmlformats.org/officeDocument/2006/relationships/hyperlink" Target="https://www.olympus-marketing.co.jp/business/animal/" TargetMode="External" Id="rId54"/><Relationship Type="http://schemas.openxmlformats.org/officeDocument/2006/relationships/hyperlink" Target="https://www.olympus-marketing.co.jp/contact/" TargetMode="External" Id="rId55"/><Relationship Type="http://schemas.openxmlformats.org/officeDocument/2006/relationships/hyperlink" Target="https://www.kyoritsu-shokai.com/company/%E5%8C%BB%E8%96%AC%E5%93%81%E3%83%BB%E5%8B%95%E7%89%A9%E7%94%A8%E5%8C%BB%E8%96%AC%E5%93%81%E8%A8%B1%E5%8F%AF%E8%A8%BC%E9%96%A2%E9%80%A3/" TargetMode="External" Id="rId56"/><Relationship Type="http://schemas.openxmlformats.org/officeDocument/2006/relationships/hyperlink" Target="https://jadida.or.jp/aboutus.html" TargetMode="External" Id="rId57"/><Relationship Type="http://schemas.openxmlformats.org/officeDocument/2006/relationships/hyperlink" Target="https://www.kyoritsu-shokai.com/%E7%89%B9%E5%AE%9A%E5%95%86%E5%8F%96%E5%BC%95%E6%B3%95%E3%81%AB%E5%9F%BA%E3%81%A5%E3%81%8F%E8%A1%A8%E8%A8%98/" TargetMode="External" Id="rId58"/><Relationship Type="http://schemas.openxmlformats.org/officeDocument/2006/relationships/hyperlink" Target="https://www.kyoritsu-shokai.com/%E3%81%8A%E5%95%8F%E3%81%84%E5%90%88%E3%82%8F%E3%81%9B/" TargetMode="External" Id="rId59"/><Relationship Type="http://schemas.openxmlformats.org/officeDocument/2006/relationships/hyperlink" Target="https://www.pref.saitama.lg.jp/documents/236933/0343_tands.pdf" TargetMode="External" Id="rId60"/><Relationship Type="http://schemas.openxmlformats.org/officeDocument/2006/relationships/hyperlink" Target="https://www.vm.nval.go.jp/public/detail/6769" TargetMode="External" Id="rId61"/><Relationship Type="http://schemas.openxmlformats.org/officeDocument/2006/relationships/hyperlink" Target="https://ts-xray.com/recruit/" TargetMode="External" Id="rId62"/><Relationship Type="http://schemas.openxmlformats.org/officeDocument/2006/relationships/hyperlink" Target="https://ts-xray.com/inquiry/" TargetMode="External" Id="rId63"/><Relationship Type="http://schemas.openxmlformats.org/officeDocument/2006/relationships/hyperlink" Target="https://www.vm.nval.go.jp/public/detail/17793" TargetMode="External" Id="rId64"/><Relationship Type="http://schemas.openxmlformats.org/officeDocument/2006/relationships/hyperlink" Target="https://www.vm.nval.go.jp/public/detail/6784" TargetMode="External" Id="rId65"/><Relationship Type="http://schemas.openxmlformats.org/officeDocument/2006/relationships/hyperlink" Target="https://www.nipro.co.jp/contact/device/" TargetMode="External" Id="rId66"/><Relationship Type="http://schemas.openxmlformats.org/officeDocument/2006/relationships/hyperlink" Target="https://www.vm.nval.go.jp/public/detail/19613" TargetMode="External" Id="rId67"/><Relationship Type="http://schemas.openxmlformats.org/officeDocument/2006/relationships/hyperlink" Target="https://www.pmda.go.jp/PmdaSearch/kikiDetail/ResultDataSetPDF/112161_306ADBZX00058000_V_01_01" TargetMode="External" Id="rId68"/><Relationship Type="http://schemas.openxmlformats.org/officeDocument/2006/relationships/hyperlink" Target="http://www.kawaguchicci.or.jp/plat/pl_disp_company_detail.cgi?company=2209" TargetMode="External" Id="rId69"/><Relationship Type="http://schemas.openxmlformats.org/officeDocument/2006/relationships/hyperlink" Target="https://www.vm.nval.go.jp/public/detail/12549" TargetMode="External" Id="rId70"/><Relationship Type="http://schemas.openxmlformats.org/officeDocument/2006/relationships/hyperlink" Target="https://www.idexx.co.jp/ja/about-idexx/contact-idexx/" TargetMode="External" Id="rId71"/><Relationship Type="http://schemas.openxmlformats.org/officeDocument/2006/relationships/hyperlink" Target="https://www.vm.nval.go.jp/public/detail/6770" TargetMode="External" Id="rId72"/><Relationship Type="http://schemas.openxmlformats.org/officeDocument/2006/relationships/hyperlink" Target="https://www.vm.nval.go.jp/public/detail/18306" TargetMode="External" Id="rId73"/><Relationship Type="http://schemas.openxmlformats.org/officeDocument/2006/relationships/hyperlink" Target="https://medical-space.co.jp/products/3096/" TargetMode="External" Id="rId74"/><Relationship Type="http://schemas.openxmlformats.org/officeDocument/2006/relationships/hyperlink" Target="https://www.metran.co.jp/links" TargetMode="External" Id="rId75"/><Relationship Type="http://schemas.openxmlformats.org/officeDocument/2006/relationships/hyperlink" Target="https://rayvision.co.jp/" TargetMode="External" Id="rId76"/><Relationship Type="http://schemas.openxmlformats.org/officeDocument/2006/relationships/hyperlink" Target="https://medical-space.co.jp/products/9109/" TargetMode="External" Id="rId77"/><Relationship Type="http://schemas.openxmlformats.org/officeDocument/2006/relationships/hyperlink" Target="https://rayvision.co.jp/contact/" TargetMode="External" Id="rId78"/><Relationship Type="http://schemas.openxmlformats.org/officeDocument/2006/relationships/hyperlink" Target="https://www.top-tokyo.co.jp/products/veterinary/" TargetMode="External" Id="rId79"/><Relationship Type="http://schemas.openxmlformats.org/officeDocument/2006/relationships/hyperlink" Target="https://www.vm.nval.go.jp/public/detail/19372" TargetMode="External" Id="rId80"/><Relationship Type="http://schemas.openxmlformats.org/officeDocument/2006/relationships/hyperlink" Target="https://www.top-tokyo.co.jp/contact/" TargetMode="External" Id="rId81"/><Relationship Type="http://schemas.openxmlformats.org/officeDocument/2006/relationships/hyperlink" Target="https://www.asahi-intecc.co.jp/contact/vet" TargetMode="External" Id="rId82"/><Relationship Type="http://schemas.openxmlformats.org/officeDocument/2006/relationships/hyperlink" Target="https://www.vm.nval.go.jp/public/detail/19457" TargetMode="External" Id="rId83"/><Relationship Type="http://schemas.openxmlformats.org/officeDocument/2006/relationships/hyperlink" Target="https://www.horiba.com/jpn/medical/news/events/detail/news/9/2025/%E6%97%A5%E6%9C%AC%E8%87%A8%E5%BA%8A%E7%8D%A3%E5%8C%BB%E5%AD%A6%E3%83%95%E3%82%A9%E3%83%BC%E3%83%A9%E3%83%A0jbvp%E5%B9%B4%E6%AC%A1%E5%A4%A7%E4%BC%9A/" TargetMode="External" Id="rId84"/><Relationship Type="http://schemas.openxmlformats.org/officeDocument/2006/relationships/hyperlink" Target="https://www.horiba.com/jpn/company/news/detail/news/1/2024/microsemi-lc-712-release/" TargetMode="External" Id="rId85"/><Relationship Type="http://schemas.openxmlformats.org/officeDocument/2006/relationships/hyperlink" Target="https://medical-space.co.jp/products/manufacturer/%E5%B3%B6%E6%B4%A5%E8%A3%BD%E4%BD%9C%E6%89%80/" TargetMode="External" Id="rId86"/><Relationship Type="http://schemas.openxmlformats.org/officeDocument/2006/relationships/hyperlink" Target="https://www.med.shimadzu.co.jp/network/" TargetMode="External" Id="rId87"/><Relationship Type="http://schemas.openxmlformats.org/officeDocument/2006/relationships/hyperlink" Target="https://www.vet.meiji.com/corporate/outline.html" TargetMode="External" Id="rId88"/><Relationship Type="http://schemas.openxmlformats.org/officeDocument/2006/relationships/hyperlink" Target="https://www.vet.meiji.com" TargetMode="External" Id="rId89"/><Relationship Type="http://schemas.openxmlformats.org/officeDocument/2006/relationships/hyperlink" Target="https://www.yasui-kk.co.jp/medical-news/2721/" TargetMode="External" Id="rId90"/><Relationship Type="http://schemas.openxmlformats.org/officeDocument/2006/relationships/hyperlink" Target="https://www.pref.miyazaki.lg.jp/documents/57538/57538_20230421133605-1.pdf" TargetMode="External" Id="rId91"/><Relationship Type="http://schemas.openxmlformats.org/officeDocument/2006/relationships/hyperlink" Target="https://hamiq.koic.or.jp/introduction/detail.php?num=2359" TargetMode="External" Id="rId92"/><Relationship Type="http://schemas.openxmlformats.org/officeDocument/2006/relationships/hyperlink" Target="https://www.yasui-kk.co.jp/medical/" TargetMode="External" Id="rId93"/><Relationship Type="http://schemas.openxmlformats.org/officeDocument/2006/relationships/hyperlink" Target="https://www.aandd.co.jp/support/agency/" TargetMode="External" Id="rId94"/><Relationship Type="http://schemas.openxmlformats.org/officeDocument/2006/relationships/hyperlink" Target="https://www.aandd.co.jp/products/medical/" TargetMode="External" Id="rId95"/><Relationship Type="http://schemas.openxmlformats.org/officeDocument/2006/relationships/hyperlink" Target="http://www.miyano-medix.com/service7.html" TargetMode="External" Id="rId96"/><Relationship Type="http://schemas.openxmlformats.org/officeDocument/2006/relationships/hyperlink" Target="https://go.amco-inc.net/l/943023/2021-10-29/2kgyq" TargetMode="External" Id="rId97"/><Relationship Type="http://schemas.openxmlformats.org/officeDocument/2006/relationships/hyperlink" Target="https://vm.nval.go.jp/?page=115&amp;submit=submit" TargetMode="External" Id="rId98"/><Relationship Type="http://schemas.openxmlformats.org/officeDocument/2006/relationships/hyperlink" Target="https://www.osaka-iryokiki-kyokai.com/member_list/" TargetMode="External" Id="rId99"/><Relationship Type="http://schemas.openxmlformats.org/officeDocument/2006/relationships/hyperlink" Target="https://www.vm.nval.go.jp/public/detail/19578" TargetMode="External" Id="rId100"/><Relationship Type="http://schemas.openxmlformats.org/officeDocument/2006/relationships/hyperlink" Target="https://www.vm.nval.go.jp/public/detail/17513" TargetMode="External" Id="rId101"/><Relationship Type="http://schemas.openxmlformats.org/officeDocument/2006/relationships/hyperlink" Target="https://www.vm.nval.go.jp/public/detail/19240" TargetMode="External" Id="rId102"/><Relationship Type="http://schemas.openxmlformats.org/officeDocument/2006/relationships/hyperlink" Target="https://tonomachi-ksf.kawasaki-net.ne.jp/institution/%E3%82%AF%E3%83%AA%E3%82%A8%E3%83%BC%E3%83%88%E3%83%A1%E3%83%87%E3%82%A3%E3%83%83%E3%82%AF%E6%A0%AA%E5%BC%8F%E4%BC%9A%E7%A4%BE_j/" TargetMode="External" Id="rId103"/><Relationship Type="http://schemas.openxmlformats.org/officeDocument/2006/relationships/hyperlink" Target="https://www.createmedic.co.jp/contact/form/" TargetMode="External" Id="rId104"/><Relationship Type="http://schemas.openxmlformats.org/officeDocument/2006/relationships/hyperlink" Target="https://www.vm.nval.go.jp/public/detail/18103" TargetMode="External" Id="rId105"/><Relationship Type="http://schemas.openxmlformats.org/officeDocument/2006/relationships/hyperlink" Target="https://medical-space.co.jp/products/9158/" TargetMode="External" Id="rId106"/><Relationship Type="http://schemas.openxmlformats.org/officeDocument/2006/relationships/hyperlink" Target="https://www.vm.nval.go.jp/public/detail/6752" TargetMode="External" Id="rId107"/><Relationship Type="http://schemas.openxmlformats.org/officeDocument/2006/relationships/hyperlink" Target="https://baseconnect.in/companies/prefecture/a30ebdff-361b-42be-8372-1b0d350f48a0/keyword/c53ff370-90f7-45dc-a0ee-e22bda2cde5e" TargetMode="External" Id="rId108"/><Relationship Type="http://schemas.openxmlformats.org/officeDocument/2006/relationships/hyperlink" Target="https://surge-m.co.jp/home/inquiry/inquiry/" TargetMode="External" Id="rId109"/><Relationship Type="http://schemas.openxmlformats.org/officeDocument/2006/relationships/hyperlink" Target="https://www.terumo.co.jp/inquiry" TargetMode="External" Id="rId110"/><Relationship Type="http://schemas.openxmlformats.org/officeDocument/2006/relationships/hyperlink" Target="https://www.munatex.co.jp/businessguide/" TargetMode="External" Id="rId111"/><Relationship Type="http://schemas.openxmlformats.org/officeDocument/2006/relationships/hyperlink" Target="https://www.tokyoiken.co.jp/contact/" TargetMode="External" Id="rId112"/><Relationship Type="http://schemas.openxmlformats.org/officeDocument/2006/relationships/hyperlink" Target="https://www.skylux.co.jp/product/" TargetMode="External" Id="rId113"/><Relationship Type="http://schemas.openxmlformats.org/officeDocument/2006/relationships/hyperlink" Target="https://medical-space.co.jp/products/product/%E2%96%A0%E6%89%8B%E8%A1%93%E9%96%A2%E9%80%A3/%E6%89%8B%E8%A1%93%E7%84%A1%E5%BD%B1%E7%81%AF/" TargetMode="External" Id="rId114"/><Relationship Type="http://schemas.openxmlformats.org/officeDocument/2006/relationships/hyperlink" Target="https://www.skylux.co.jp/contact/" TargetMode="External" Id="rId115"/><Relationship Type="http://schemas.openxmlformats.org/officeDocument/2006/relationships/hyperlink" Target="https://munatex.com/products/5863/" TargetMode="External" Id="rId116"/><Relationship Type="http://schemas.openxmlformats.org/officeDocument/2006/relationships/hyperlink" Target="https://medical-space.co.jp/products-manufacturer/" TargetMode="External" Id="rId117"/><Relationship Type="http://schemas.openxmlformats.org/officeDocument/2006/relationships/hyperlink" Target="https://www.acoma.com/support/support-list/" TargetMode="External" Id="rId118"/><Relationship Type="http://schemas.openxmlformats.org/officeDocument/2006/relationships/hyperlink" Target="https://www.vm.nval.go.jp/public/detail/11016" TargetMode="External" Id="rId119"/><Relationship Type="http://schemas.openxmlformats.org/officeDocument/2006/relationships/hyperlink" Target="https://www.nashinoki-vet.com/column/2016/4017/" TargetMode="External" Id="rId120"/><Relationship Type="http://schemas.openxmlformats.org/officeDocument/2006/relationships/hyperlink" Target="https://www.taiyo-denshi.com/contents/category/contact/" TargetMode="External" Id="rId121"/><Relationship Type="http://schemas.openxmlformats.org/officeDocument/2006/relationships/hyperlink" Target="https://medical-space.co.jp/products/2309/" TargetMode="External" Id="rId122"/><Relationship Type="http://schemas.openxmlformats.org/officeDocument/2006/relationships/hyperlink" Target="https://www.kimuramed.jp/contact/" TargetMode="External" Id="rId123"/><Relationship Type="http://schemas.openxmlformats.org/officeDocument/2006/relationships/hyperlink" Target="https://www.marubun.co.jp/info/2024/50370" TargetMode="External" Id="rId124"/><Relationship Type="http://schemas.openxmlformats.org/officeDocument/2006/relationships/hyperlink" Target="https://clarius.com/?p=125094" TargetMode="External" Id="rId125"/><Relationship Type="http://schemas.openxmlformats.org/officeDocument/2006/relationships/hyperlink" Target="https://www.marubun.co.jp/products/51908/" TargetMode="External" Id="rId126"/><Relationship Type="http://schemas.openxmlformats.org/officeDocument/2006/relationships/hyperlink" Target="https://www.sophiatech.co.jp/orthppedic-implants?lightbox=image9xt" TargetMode="External" Id="rId127"/><Relationship Type="http://schemas.openxmlformats.org/officeDocument/2006/relationships/hyperlink" Target="https://www.sophiatech.co.jp/" TargetMode="External" Id="rId128"/><Relationship Type="http://schemas.openxmlformats.org/officeDocument/2006/relationships/hyperlink" Target="https://kruz-medical.co.jp/business/" TargetMode="External" Id="rId129"/><Relationship Type="http://schemas.openxmlformats.org/officeDocument/2006/relationships/hyperlink" Target="https://kruz.co.jp/" TargetMode="External" Id="rId130"/><Relationship Type="http://schemas.openxmlformats.org/officeDocument/2006/relationships/hyperlink" Target="http://kruz.co.jp/profile.html" TargetMode="External" Id="rId131"/><Relationship Type="http://schemas.openxmlformats.org/officeDocument/2006/relationships/hyperlink" Target="https://www.avs.co.jp/contact/" TargetMode="External" Id="rId132"/><Relationship Type="http://schemas.openxmlformats.org/officeDocument/2006/relationships/hyperlink" Target="https://frontier-intl.co.jp/product/tyouonpasindankilist/" TargetMode="External" Id="rId133"/><Relationship Type="http://schemas.openxmlformats.org/officeDocument/2006/relationships/hyperlink" Target="https://www.cornesag.com/product/milking/breeding_management/afimilk_afiact/feature.html" TargetMode="External" Id="rId134"/><Relationship Type="http://schemas.openxmlformats.org/officeDocument/2006/relationships/hyperlink" Target="https://www.cornesag.com/inquiry/" TargetMode="External" Id="rId135"/><Relationship Type="http://schemas.openxmlformats.org/officeDocument/2006/relationships/hyperlink" Target="https://sakai-me.com/" TargetMode="External" Id="rId136"/><Relationship Type="http://schemas.openxmlformats.org/officeDocument/2006/relationships/hyperlink" Target="https://baseconnect.in/companies/prefecture/3420045f-8609-4232-9407-75407ae4e6e8/keyword/a68873de-8c54-4a2c-820f-e04c8b93064c" TargetMode="External" Id="rId137"/><Relationship Type="http://schemas.openxmlformats.org/officeDocument/2006/relationships/hyperlink" Target="https://shinmedico.jp/company/" TargetMode="External" Id="rId138"/><Relationship Type="http://schemas.openxmlformats.org/officeDocument/2006/relationships/hyperlink" Target="https://shinmedico.jp/inquiry/" TargetMode="External" Id="rId139"/><Relationship Type="http://schemas.openxmlformats.org/officeDocument/2006/relationships/hyperlink" Target="https://medical-space.co.jp/products/manufacturer/%E9%A3%9B%E9%B3%A5%E3%83%A1%E3%83%87%E3%82%A3%E3%82%AB%E3%83%AB/" TargetMode="External" Id="rId140"/><Relationship Type="http://schemas.openxmlformats.org/officeDocument/2006/relationships/hyperlink" Target="https://www.flexmedical.jp/contact.html" TargetMode="External" Id="rId141"/><Relationship Type="http://schemas.openxmlformats.org/officeDocument/2006/relationships/hyperlink" Target="https://kind-medical.co.jp/" TargetMode="External" Id="rId142"/><Relationship Type="http://schemas.openxmlformats.org/officeDocument/2006/relationships/hyperlink" Target="https://kind-medical.co.jp/company/" TargetMode="External" Id="rId143"/><Relationship Type="http://schemas.openxmlformats.org/officeDocument/2006/relationships/hyperlink" Target="https://kind-medical.co.jp/contact/" TargetMode="External" Id="rId144"/><Relationship Type="http://schemas.openxmlformats.org/officeDocument/2006/relationships/hyperlink" Target="https://www.e-mcast.co.jp/shop/r/rdoubutsu/" TargetMode="External" Id="rId145"/><Relationship Type="http://schemas.openxmlformats.org/officeDocument/2006/relationships/hyperlink" Target="https://www.e-mcast.co.jp/shop/secure/method_index.aspx" TargetMode="External" Id="rId146"/><Relationship Type="http://schemas.openxmlformats.org/officeDocument/2006/relationships/hyperlink" Target="https://meilleur.co.jp/contact/" TargetMode="External" Id="rId147"/><Relationship Type="http://schemas.openxmlformats.org/officeDocument/2006/relationships/hyperlink" Target="https://www.vetpartners.co.jp/" TargetMode="External" Id="rId148"/><Relationship Type="http://schemas.openxmlformats.org/officeDocument/2006/relationships/hyperlink" Target="https://www.vetpartners.co.jp/contact/" TargetMode="External" Id="rId149"/><Relationship Type="http://schemas.openxmlformats.org/officeDocument/2006/relationships/hyperlink" Target="https://www.animalpharmacy.jp/" TargetMode="External" Id="rId150"/><Relationship Type="http://schemas.openxmlformats.org/officeDocument/2006/relationships/hyperlink" Target="https://www.animalpharmacy.jp/contact/" TargetMode="External" Id="rId151"/><Relationship Type="http://schemas.openxmlformats.org/officeDocument/2006/relationships/hyperlink" Target="https://arrows-healthcare.com/product/product_list?ccd=1017" TargetMode="External" Id="rId152"/><Relationship Type="http://schemas.openxmlformats.org/officeDocument/2006/relationships/hyperlink" Target="https://2ndlabo.com/M530/" TargetMode="External" Id="rId153"/><Relationship Type="http://schemas.openxmlformats.org/officeDocument/2006/relationships/hyperlink" Target="https://arrows-healthcare.com/inquiry" TargetMode="External" Id="rId154"/><Relationship Type="http://schemas.openxmlformats.org/officeDocument/2006/relationships/hyperlink" Target="https://baseconnect.in/companies/prefecture/d80b180e-5fd9-4082-8cdc-a510179a3475/keyword/c53ff370-90f7-45dc-a0ee-e22bda2cde5e" TargetMode="External" Id="rId155"/><Relationship Type="http://schemas.openxmlformats.org/officeDocument/2006/relationships/hyperlink" Target="https://cycloop.co.jp/about/" TargetMode="External" Id="rId156"/><Relationship Type="http://schemas.openxmlformats.org/officeDocument/2006/relationships/hyperlink" Target="https://www.qix.co.jp/news/322" TargetMode="External" Id="rId157"/><Relationship Type="http://schemas.openxmlformats.org/officeDocument/2006/relationships/hyperlink" Target="https://www.value-press.com/pressrelease/289075" TargetMode="External" Id="rId158"/><Relationship Type="http://schemas.openxmlformats.org/officeDocument/2006/relationships/hyperlink" Target="https://www.qix.co.jp/law/" TargetMode="External" Id="rId159"/><Relationship Type="http://schemas.openxmlformats.org/officeDocument/2006/relationships/hyperlink" Target="https://www.terucom.co.jp/company/outline/" TargetMode="External" Id="rId160"/><Relationship Type="http://schemas.openxmlformats.org/officeDocument/2006/relationships/hyperlink" Target="https://taishodou.jp/contact/" TargetMode="External" Id="rId161"/><Relationship Type="http://schemas.openxmlformats.org/officeDocument/2006/relationships/hyperlink" Target="https://www.kyusyumitaka.com/" TargetMode="External" Id="rId162"/><Relationship Type="http://schemas.openxmlformats.org/officeDocument/2006/relationships/hyperlink" Target="https://www.kyusyumitaka.com/%E4%BC%9A%E7%A4%BE%E6%83%85%E5%A0%B1" TargetMode="External" Id="rId163"/><Relationship Type="http://schemas.openxmlformats.org/officeDocument/2006/relationships/hyperlink" Target="https://jadida.or.jp/doc/KaiinList20250407.pdf" TargetMode="External" Id="rId164"/><Relationship Type="http://schemas.openxmlformats.org/officeDocument/2006/relationships/hyperlink" Target="https://www.acty-kk.com/contact/contact.html" TargetMode="External" Id="rId165"/><Relationship Type="http://schemas.openxmlformats.org/officeDocument/2006/relationships/hyperlink" Target="https://chubukasei.jp/about/company-profile/" TargetMode="External" Id="rId166"/><Relationship Type="http://schemas.openxmlformats.org/officeDocument/2006/relationships/hyperlink" Target="https://chubukasei.jp/contact/" TargetMode="External" Id="rId167"/><Relationship Type="http://schemas.openxmlformats.org/officeDocument/2006/relationships/hyperlink" Target="https://www.iryou.teikyouseido.mhlw.go.jp/znk-web/juminkanja/S2430/initialize?kikanCd=YANCX00288&amp;kikanKbn=5&amp;prefCd=15" TargetMode="External" Id="rId168"/><Relationship Type="http://schemas.openxmlformats.org/officeDocument/2006/relationships/hyperlink" Target="http://www.nagano-arcs.jp/member/%E6%A0%AA%E5%BC%8F%E4%BC%9A%E7%A4%BE%E4%BF%A1%E9%98%B2%E3%82%A8%E3%83%87%E3%82%A3%E3%83%83%E3%82%AF%E3%82%B9/" TargetMode="External" Id="rId169"/><Relationship Type="http://schemas.openxmlformats.org/officeDocument/2006/relationships/hyperlink" Target="https://sinbou.co.jp/contact/" TargetMode="External" Id="rId170"/><Relationship Type="http://schemas.openxmlformats.org/officeDocument/2006/relationships/hyperlink" Target="https://www.matsudaiyaku.co.jp/_inquiry/inquiry.html" TargetMode="External" Id="rId171"/><Relationship Type="http://schemas.openxmlformats.org/officeDocument/2006/relationships/hyperlink" Target="https://oroshidanchi.or.jp/union/%E5%92%8C%E5%85%89%E5%95%86%E4%BA%8B%E3%80%80%E6%A0%AA%E5%BC%8F%E4%BC%9A%E7%A4%BE/" TargetMode="External" Id="rId172"/><Relationship Type="http://schemas.openxmlformats.org/officeDocument/2006/relationships/hyperlink" Target="https://sinwasangyo.co.jp/contact/" TargetMode="External" Id="rId173"/><Relationship Type="http://schemas.openxmlformats.org/officeDocument/2006/relationships/hyperlink" Target="https://baseconnect.in/companies/12d863e2-b869-4893-946b-29648c0a5d00" TargetMode="External" Id="rId174"/><Relationship Type="http://schemas.openxmlformats.org/officeDocument/2006/relationships/hyperlink" Target="https://www.yuuwa-yakuhin.co.jp/" TargetMode="External" Id="rId175"/><Relationship Type="http://schemas.openxmlformats.org/officeDocument/2006/relationships/hyperlink" Target="http://www.chuo-orion.co.jp/contact/" TargetMode="External" Id="rId176"/><Relationship Type="http://schemas.openxmlformats.org/officeDocument/2006/relationships/hyperlink" Target="https://info.gbiz.go.jp/hojin/ichiran?hojinBango=9011801003669" TargetMode="External" Id="rId177"/><Relationship Type="http://schemas.openxmlformats.org/officeDocument/2006/relationships/hyperlink" Target="https://www.sunibis.co.jp/privacy/" TargetMode="External" Id="rId178"/><Relationship Type="http://schemas.openxmlformats.org/officeDocument/2006/relationships/hyperlink" Target="https://www.sunibis.co.jp/contact-us/" TargetMode="External" Id="rId179"/><Relationship Type="http://schemas.openxmlformats.org/officeDocument/2006/relationships/hyperlink" Target="https://www.fair-medical.jp/" TargetMode="External" Id="rId180"/><Relationship Type="http://schemas.openxmlformats.org/officeDocument/2006/relationships/hyperlink" Target="https://www.fair-medical.jp/inquiry" TargetMode="External" Id="rId181"/><Relationship Type="http://schemas.openxmlformats.org/officeDocument/2006/relationships/hyperlink" Target="https://www.wism-mutoh.jp/bases/?region=%E5%8C%97%E6%B5%B7%E9%81%93" TargetMode="External" Id="rId182"/><Relationship Type="http://schemas.openxmlformats.org/officeDocument/2006/relationships/hyperlink" Target="https://shop.wism-mutoh.co.jp/contact.php" TargetMode="External" Id="rId183"/><Relationship Type="http://schemas.openxmlformats.org/officeDocument/2006/relationships/hyperlink" Target="https://www.wism-mutoh.jp/contact/" TargetMode="External" Id="rId184"/><Relationship Type="http://schemas.openxmlformats.org/officeDocument/2006/relationships/hyperlink" Target="https://shiratake-med.com/" TargetMode="External" Id="rId185"/><Relationship Type="http://schemas.openxmlformats.org/officeDocument/2006/relationships/hyperlink" Target="https://irbank.net/mynumber/6040001094684" TargetMode="External" Id="rId186"/><Relationship Type="http://schemas.openxmlformats.org/officeDocument/2006/relationships/hyperlink" Target="https://baseconnect.in/companies/b07e60c3-332e-4f05-b347-64f99a864067" TargetMode="External" Id="rId187"/><Relationship Type="http://schemas.openxmlformats.org/officeDocument/2006/relationships/hyperlink" Target="https://www.solve-net.com/info/tag/%E5%8B%95%E7%89%A9%E7%97%85%E9%99%A2%E5%90%91%E3%81%91%E8%A3%BD%E5%93%81/" TargetMode="External" Id="rId188"/><Relationship Type="http://schemas.openxmlformats.org/officeDocument/2006/relationships/hyperlink" Target="https://prtimes.jp/main/html/rd/p/000000002.000185455.html" TargetMode="External" Id="rId189"/><Relationship Type="http://schemas.openxmlformats.org/officeDocument/2006/relationships/hyperlink" Target="https://www.facebook.com/solve.co.jp/" TargetMode="External" Id="rId190"/><Relationship Type="http://schemas.openxmlformats.org/officeDocument/2006/relationships/hyperlink" Target="https://solve-net.com/company/Contact.html" TargetMode="External" Id="rId191"/><Relationship Type="http://schemas.openxmlformats.org/officeDocument/2006/relationships/hyperlink" Target="https://www.isico.or.jp/company/dgnet/1146.html" TargetMode="External" Id="rId192"/><Relationship Type="http://schemas.openxmlformats.org/officeDocument/2006/relationships/hyperlink" Target="https://www.marubun-tsusyo.co.jp/contact/" TargetMode="External" Id="rId193"/><Relationship Type="http://schemas.openxmlformats.org/officeDocument/2006/relationships/hyperlink" Target="https://mobix-kk.com/contact/" TargetMode="External" Id="rId194"/><Relationship Type="http://schemas.openxmlformats.org/officeDocument/2006/relationships/hyperlink" Target="http://www.mia-kyoto.gr.jp/members/ishiguro.html" TargetMode="External" Id="rId195"/><Relationship Type="http://schemas.openxmlformats.org/officeDocument/2006/relationships/hyperlink" Target="https://baseconnect.in/companies/keyword/4d87c1c6-1be0-402b-9086-9c71cd173036" TargetMode="External" Id="rId196"/><Relationship Type="http://schemas.openxmlformats.org/officeDocument/2006/relationships/hyperlink" Target="https://strainer.jp/tags/medical-trading" TargetMode="External" Id="rId197"/><Relationship Type="http://schemas.openxmlformats.org/officeDocument/2006/relationships/hyperlink" Target="https://baseconnect.in/companies/prefecture/3420045f-8609-4232-9407-75407ae4e6e8/category/b2358a1c-c4c6-46f4-a0b1-dee3a1b30a0b" TargetMode="External" Id="rId198"/><Relationship Type="http://schemas.openxmlformats.org/officeDocument/2006/relationships/hyperlink" Target="https://www.r-agent.com/company/c7230/" TargetMode="External" Id="rId199"/><Relationship Type="http://schemas.openxmlformats.org/officeDocument/2006/relationships/hyperlink" Target="https://job.mynavi.jp/27/pc/search/corp207091/outline.html" TargetMode="External" Id="rId200"/><Relationship Type="http://schemas.openxmlformats.org/officeDocument/2006/relationships/hyperlink" Target="https://www.kuribara.co.jp/company/" TargetMode="External" Id="rId201"/><Relationship Type="http://schemas.openxmlformats.org/officeDocument/2006/relationships/hyperlink" Target="https://www.kishiya.co.jp/group/" TargetMode="External" Id="rId202"/><Relationship Type="http://schemas.openxmlformats.org/officeDocument/2006/relationships/hyperlink" Target="https://www.kishiya.co.jp/contact/input" TargetMode="External" Id="rId203"/><Relationship Type="http://schemas.openxmlformats.org/officeDocument/2006/relationships/hyperlink" Target="https://job.mynavi.jp/27/pc/search/corp80535/outline.html" TargetMode="External" Id="rId204"/><Relationship Type="http://schemas.openxmlformats.org/officeDocument/2006/relationships/hyperlink" Target="https://kitaishihon.com/company/9265/story" TargetMode="External" Id="rId205"/><Relationship Type="http://schemas.openxmlformats.org/officeDocument/2006/relationships/hyperlink" Target="https://www.yamashitaika.co.jp/company/network/" TargetMode="External" Id="rId206"/><Relationship Type="http://schemas.openxmlformats.org/officeDocument/2006/relationships/hyperlink" Target="https://baseconnect.in/companies/prefecture/9ebb3838-effc-47da-b634-994957a78319/keyword/14f3dcec-9cd5-4be5-84e1-ddccb7bd228c" TargetMode="External" Id="rId207"/><Relationship Type="http://schemas.openxmlformats.org/officeDocument/2006/relationships/hyperlink" Target="https://baseconnect.in/companies/prefecture/3cf97f91-8b39-4cdb-981b-d035b0176b65/keyword/89941b4e-2dd1-4848-8957-48af280a31e0" TargetMode="External" Id="rId208"/><Relationship Type="http://schemas.openxmlformats.org/officeDocument/2006/relationships/hyperlink" Target="http://www.kk-himec.co.jp/gaiyo.html" TargetMode="External" Id="rId209"/><Relationship Type="http://schemas.openxmlformats.org/officeDocument/2006/relationships/hyperlink" Target="https://www.knowmed.jp/contact/" TargetMode="External" Id="rId210"/><Relationship Type="http://schemas.openxmlformats.org/officeDocument/2006/relationships/hyperlink" Target="https://logokit.com/brands/kyowaika.co.jp" TargetMode="External" Id="rId211"/><Relationship Type="http://schemas.openxmlformats.org/officeDocument/2006/relationships/hyperlink" Target="https://batonz.jp/sell_cases/5197" TargetMode="External" Id="rId212"/><Relationship Type="http://schemas.openxmlformats.org/officeDocument/2006/relationships/hyperlink" Target="https://www.kyowaika.co.jp/contact/" TargetMode="External" Id="rId213"/><Relationship Type="http://schemas.openxmlformats.org/officeDocument/2006/relationships/hyperlink" Target="https://www.mshhs.com/profile" TargetMode="External" Id="rId214"/><Relationship Type="http://schemas.openxmlformats.org/officeDocument/2006/relationships/hyperlink" Target="http://www.shizuokaika.co.jp/" TargetMode="External" Id="rId215"/><Relationship Type="http://schemas.openxmlformats.org/officeDocument/2006/relationships/hyperlink" Target="https://www.navitime.co.jp/category/0516/28110/?tags=010447" TargetMode="External" Id="rId216"/><Relationship Type="http://schemas.openxmlformats.org/officeDocument/2006/relationships/hyperlink" Target="https://www.t-t-m.co.jp/TTM_WEB/profile" TargetMode="External" Id="rId217"/><Relationship Type="http://schemas.openxmlformats.org/officeDocument/2006/relationships/hyperlink" Target="https://touzai-iyouki.com/" TargetMode="External" Id="rId218"/><Relationship Type="http://schemas.openxmlformats.org/officeDocument/2006/relationships/hyperlink" Target="https://mynavi-agent.jp/corpdetail/12476/" TargetMode="External" Id="rId219"/><Relationship Type="http://schemas.openxmlformats.org/officeDocument/2006/relationships/hyperlink" Target="https://www.yagami.co.jp/company/profile/" TargetMode="External" Id="rId220"/><Relationship Type="http://schemas.openxmlformats.org/officeDocument/2006/relationships/hyperlink" Target="https://astis.co.jp/" TargetMode="External" Id="rId221"/><Relationship Type="http://schemas.openxmlformats.org/officeDocument/2006/relationships/hyperlink" Target="https://astis.co.jp/about/office/" TargetMode="External" Id="rId222"/><Relationship Type="http://schemas.openxmlformats.org/officeDocument/2006/relationships/hyperlink" Target="https://eiko165.co.jp/" TargetMode="External" Id="rId223"/><Relationship Type="http://schemas.openxmlformats.org/officeDocument/2006/relationships/hyperlink" Target="https://eiko165.co.jp/contact" TargetMode="External" Id="rId224"/><Relationship Type="http://schemas.openxmlformats.org/officeDocument/2006/relationships/hyperlink" Target="https://kitaishihon.com/company/2689/story" TargetMode="External" Id="rId225"/><Relationship Type="http://schemas.openxmlformats.org/officeDocument/2006/relationships/hyperlink" Target="http://www.kawanishi-md.co.jp/kw/about/" TargetMode="External" Id="rId226"/><Relationship Type="http://schemas.openxmlformats.org/officeDocument/2006/relationships/hyperlink" Target="https://www.nikkei.com/compass/company/sRwxtV33ViYqGAU9AffVch" TargetMode="External" Id="rId227"/><Relationship Type="http://schemas.openxmlformats.org/officeDocument/2006/relationships/hyperlink" Target="https://www.gogo-jobcafe-shimane.jp/job/company/907782" TargetMode="External" Id="rId228"/><Relationship Type="http://schemas.openxmlformats.org/officeDocument/2006/relationships/hyperlink" Target="https://shikokuiryoki.com/about/" TargetMode="External" Id="rId229"/><Relationship Type="http://schemas.openxmlformats.org/officeDocument/2006/relationships/hyperlink" Target="https://wskagawa.jp/index.php?exec=detail&amp;kigyo_key=13-0096&amp;prog=pub_kigyo" TargetMode="External" Id="rId230"/><Relationship Type="http://schemas.openxmlformats.org/officeDocument/2006/relationships/hyperlink" Target="https://sia-japan.com/company_list/731/" TargetMode="External" Id="rId231"/><Relationship Type="http://schemas.openxmlformats.org/officeDocument/2006/relationships/hyperlink" Target="https://shikokuiryoki.com/contact/" TargetMode="External" Id="rId232"/><Relationship Type="http://schemas.openxmlformats.org/officeDocument/2006/relationships/hyperlink" Target="https://t-iryoki.co.jp/" TargetMode="External" Id="rId233"/><Relationship Type="http://schemas.openxmlformats.org/officeDocument/2006/relationships/hyperlink" Target="https://sia-japan.com/company_list/751/" TargetMode="External" Id="rId234"/><Relationship Type="http://schemas.openxmlformats.org/officeDocument/2006/relationships/hyperlink" Target="https://www.actmedic.jp/" TargetMode="External" Id="rId235"/><Relationship Type="http://schemas.openxmlformats.org/officeDocument/2006/relationships/hyperlink" Target="https://www.actmedic.jp/contact" TargetMode="External" Id="rId236"/><Relationship Type="http://schemas.openxmlformats.org/officeDocument/2006/relationships/hyperlink" Target="https://baseconnect.in/companies/prefecture/e010a2b6-a345-4a52-b350-1ca592e384b8/keyword/a68873de-8c54-4a2c-820f-e04c8b93064c" TargetMode="External" Id="rId237"/><Relationship Type="http://schemas.openxmlformats.org/officeDocument/2006/relationships/hyperlink" Target="https://www.navitime.co.jp/category/0516/27128/?tags=010190" TargetMode="External" Id="rId238"/><Relationship Type="http://schemas.openxmlformats.org/officeDocument/2006/relationships/hyperlink" Target="http://www.mia-kyoto.gr.jp/members/ishitsubo.html" TargetMode="External" Id="rId239"/><Relationship Type="http://schemas.openxmlformats.org/officeDocument/2006/relationships/hyperlink" Target="http://www.mia-kyoto.gr.jp/members/kimedical.html" TargetMode="External" Id="rId240"/><Relationship Type="http://schemas.openxmlformats.org/officeDocument/2006/relationships/hyperlink" Target="https://www.kns-md.co.jp/" TargetMode="External" Id="rId241"/><Relationship Type="http://schemas.openxmlformats.org/officeDocument/2006/relationships/hyperlink" Target="https://www.kns-md.co.jp/contact/" TargetMode="External" Id="rId242"/><Relationship Type="http://schemas.openxmlformats.org/officeDocument/2006/relationships/hyperlink" Target="https://www.masudaika.co.jp/aboutus/" TargetMode="External" Id="rId243"/><Relationship Type="http://schemas.openxmlformats.org/officeDocument/2006/relationships/hyperlink" Target="https://sia-japan.com/company_list/690/" TargetMode="External" Id="rId244"/><Relationship Type="http://schemas.openxmlformats.org/officeDocument/2006/relationships/hyperlink" Target="https://www.nikkei.com/compass/search/Y2F0ZWdvcnk9Y29tcGFueSZyZWdpb249MjcmaW5kdXN0cnlTPTA1MzI" TargetMode="External" Id="rId245"/><Relationship Type="http://schemas.openxmlformats.org/officeDocument/2006/relationships/hyperlink" Target="http://mia-kyoto.gr.jp/members/minato.html" TargetMode="External" Id="rId246"/><Relationship Type="http://schemas.openxmlformats.org/officeDocument/2006/relationships/hyperlink" Target="https://www.minato-med.co.jp/company/office/tokyo/" TargetMode="External" Id="rId247"/><Relationship Type="http://schemas.openxmlformats.org/officeDocument/2006/relationships/hyperlink" Target="https://www.miyano.co.jp/business/iryo" TargetMode="External" Id="rId248"/><Relationship Type="http://schemas.openxmlformats.org/officeDocument/2006/relationships/hyperlink" Target="https://www.miyano.co.jp/contact" TargetMode="External" Id="rId249"/><Relationship Type="http://schemas.openxmlformats.org/officeDocument/2006/relationships/hyperlink" Target="https://baseconnect.in/companies/prefecture/d80b180e-5fd9-4082-8cdc-a510179a3475/keyword/14f3dcec-9cd5-4be5-84e1-ddccb7bd228c" TargetMode="External" Id="rId250"/><Relationship Type="http://schemas.openxmlformats.org/officeDocument/2006/relationships/hyperlink" Target="https://baseconnect.in/companies/prefecture/1d5a2479-736c-41d9-98fe-d43b8d447ca4/category/b2358a1c-c4c6-46f4-a0b1-dee3a1b30a0b" TargetMode="External" Id="rId251"/><Relationship Type="http://schemas.openxmlformats.org/officeDocument/2006/relationships/hyperlink" Target="https://baseconnect.in/companies/prefecture/63038c5a-e328-472b-b9cc-039738609ba7/keyword/89941b4e-2dd1-4848-8957-48af280a31e0" TargetMode="External" Id="rId252"/><Relationship Type="http://schemas.openxmlformats.org/officeDocument/2006/relationships/hyperlink" Target="http://www.mia-kyoto.gr.jp/members/sanshodo.html" TargetMode="External" Id="rId253"/><Relationship Type="http://schemas.openxmlformats.org/officeDocument/2006/relationships/hyperlink" Target="https://baseconnect.in/companies/prefecture/912d7b2d-41c2-4923-a5c1-6666f9834966/keyword/14f3dcec-9cd5-4be5-84e1-ddccb7bd228c" TargetMode="External" Id="rId254"/><Relationship Type="http://schemas.openxmlformats.org/officeDocument/2006/relationships/hyperlink" Target="http://www.mia-kyoto.gr.jp/members/umeno.html" TargetMode="External" Id="rId255"/><Relationship Type="http://schemas.openxmlformats.org/officeDocument/2006/relationships/hyperlink" Target="https://baseconnect.in/companies/prefecture/c59cfe5b-871c-44d1-8594-96d4a5882e4b/keyword/89941b4e-2dd1-4848-8957-48af280a31e0" TargetMode="External" Id="rId256"/><Relationship Type="http://schemas.openxmlformats.org/officeDocument/2006/relationships/hyperlink" Target="http://www.cmi.co.jp/privacy-policy/" TargetMode="External" Id="rId257"/><Relationship Type="http://schemas.openxmlformats.org/officeDocument/2006/relationships/hyperlink" Target="https://baseconnect.in/companies/prefecture/5b2e6d00-cfba-4d0b-850d-54757e4b4d7f/keyword/14f3dcec-9cd5-4be5-84e1-ddccb7bd228c" TargetMode="External" Id="rId258"/><Relationship Type="http://schemas.openxmlformats.org/officeDocument/2006/relationships/hyperlink" Target="http://www.citydo.com/prf/chiba/chiba/guide/sg/wg_list.html?c=0501005" TargetMode="External" Id="rId259"/><Relationship Type="http://schemas.openxmlformats.org/officeDocument/2006/relationships/hyperlink" Target="https://baseconnect.in/companies/keyword/14f3dcec-9cd5-4be5-84e1-ddccb7bd228c" TargetMode="External" Id="rId260"/><Relationship Type="http://schemas.openxmlformats.org/officeDocument/2006/relationships/hyperlink" Target="https://www.astemf.jp/company/officelist.php" TargetMode="External" Id="rId261"/><Relationship Type="http://schemas.openxmlformats.org/officeDocument/2006/relationships/hyperlink" Target="http://hachigou.co.jp/company.html" TargetMode="External" Id="rId262"/><Relationship Type="http://schemas.openxmlformats.org/officeDocument/2006/relationships/hyperlink" Target="https://www.nikkei.com/compass/company/ib4WUdvTL1TxuRMigwCfQh" TargetMode="External" Id="rId263"/><Relationship Type="http://schemas.openxmlformats.org/officeDocument/2006/relationships/hyperlink" Target="https://www.navitime.co.jp/category/0516/40/?tags=010190&amp;from=tag" TargetMode="External" Id="rId264"/><Relationship Type="http://schemas.openxmlformats.org/officeDocument/2006/relationships/hyperlink" Target="https://okinawa-medico.com/company/" TargetMode="External" Id="rId265"/><Relationship Type="http://schemas.openxmlformats.org/officeDocument/2006/relationships/hyperlink" Target="https://tenshoku.mynavi.jp/tohoku/list/i02090/" TargetMode="External" Id="rId266"/><Relationship Type="http://schemas.openxmlformats.org/officeDocument/2006/relationships/hyperlink" Target="https://hokkai-md.com/" TargetMode="External" Id="rId267"/><Relationship Type="http://schemas.openxmlformats.org/officeDocument/2006/relationships/hyperlink" Target="https://www.hurex.jp/column/company/717/" TargetMode="External" Id="rId268"/><Relationship Type="http://schemas.openxmlformats.org/officeDocument/2006/relationships/hyperlink" Target="https://www.hokutake.co.jp/company/kaisyagaiyo.html" TargetMode="External" Id="rId269"/><Relationship Type="http://schemas.openxmlformats.org/officeDocument/2006/relationships/hyperlink" Target="https://www.koseki.co.jp/" TargetMode="External" Id="rId270"/><Relationship Type="http://schemas.openxmlformats.org/officeDocument/2006/relationships/hyperlink" Target="https://www.koseki.co.jp/contact/" TargetMode="External" Id="rId271"/><Relationship Type="http://schemas.openxmlformats.org/officeDocument/2006/relationships/hyperlink" Target="https://maruki-ms.co.jp/" TargetMode="External" Id="rId272"/><Relationship Type="http://schemas.openxmlformats.org/officeDocument/2006/relationships/hyperlink" Target="https://maruki-ms.co.jp/office" TargetMode="External" Id="rId273"/><Relationship Type="http://schemas.openxmlformats.org/officeDocument/2006/relationships/hyperlink" Target="https://info.gbiz.go.jp/hojin/ichiran?hojinBango=6400001001554" TargetMode="External" Id="rId274"/><Relationship Type="http://schemas.openxmlformats.org/officeDocument/2006/relationships/hyperlink" Target="http://nanbu-irika.com/company/gaiyo.html" TargetMode="External" Id="rId275"/><Relationship Type="http://schemas.openxmlformats.org/officeDocument/2006/relationships/hyperlink" Target="https://san-ou.co.jp/company/" TargetMode="External" Id="rId276"/><Relationship Type="http://schemas.openxmlformats.org/officeDocument/2006/relationships/hyperlink" Target="https://san-ou.co.jp/contacts/" TargetMode="External" Id="rId277"/><Relationship Type="http://schemas.openxmlformats.org/officeDocument/2006/relationships/hyperlink" Target="https://www.shibataintech.co.jp/" TargetMode="External" Id="rId278"/><Relationship Type="http://schemas.openxmlformats.org/officeDocument/2006/relationships/hyperlink" Target="https://www.nikkei.com/compass/company/qXdeUEKA1xdNAfnfizWWaB" TargetMode="External" Id="rId279"/><Relationship Type="http://schemas.openxmlformats.org/officeDocument/2006/relationships/hyperlink" Target="https://townpage.goo.ne.jp/shopdetail.php?matomeid=019388011000000899" TargetMode="External" Id="rId280"/><Relationship Type="http://schemas.openxmlformats.org/officeDocument/2006/relationships/hyperlink" Target="https://www.tohoku-tmt.com/about/index.html" TargetMode="External" Id="rId281"/><Relationship Type="http://schemas.openxmlformats.org/officeDocument/2006/relationships/hyperlink" Target="https://www.hamc-kah.com/" TargetMode="External" Id="rId282"/><Relationship Type="http://schemas.openxmlformats.org/officeDocument/2006/relationships/hyperlink" Target="https://www.hamc-kah.com/info_sc/time.cgi" TargetMode="External" Id="rId283"/><Relationship Type="http://schemas.openxmlformats.org/officeDocument/2006/relationships/hyperlink" Target="https://dccpets.jp/clinictop/dcc-shimizutorisaka/" TargetMode="External" Id="rId284"/><Relationship Type="http://schemas.openxmlformats.org/officeDocument/2006/relationships/hyperlink" Target="http://www.nosai-nc.or.jp/gaiyou.html" TargetMode="External" Id="rId285"/><Relationship Type="http://schemas.openxmlformats.org/officeDocument/2006/relationships/hyperlink" Target="https://nosai-hiroshima.or.jp/access-kachiku/" TargetMode="External" Id="rId286"/><Relationship Type="http://schemas.openxmlformats.org/officeDocument/2006/relationships/hyperlink" Target="https://www.ok-nosai.or.jp/office/livestock.html" TargetMode="External" Id="rId287"/><Relationship Type="http://schemas.openxmlformats.org/officeDocument/2006/relationships/hyperlink" Target="https://www.ok-nosai.or.jp/" TargetMode="External" Id="rId288"/><Relationship Type="http://schemas.openxmlformats.org/officeDocument/2006/relationships/hyperlink" Target="https://ymgc-nosai.org/cms/page106.html" TargetMode="External" Id="rId289"/><Relationship Type="http://schemas.openxmlformats.org/officeDocument/2006/relationships/hyperlink" Target="https://www.okayama-amc.com/" TargetMode="External" Id="rId290"/><Relationship Type="http://schemas.openxmlformats.org/officeDocument/2006/relationships/hyperlink" Target="https://ahk-cuare.com/" TargetMode="External" Id="rId291"/><Relationship Type="http://schemas.openxmlformats.org/officeDocument/2006/relationships/hyperlink" Target="https://ahk-cuare.com/%E4%BA%8B%E6%A5%AD%E7%B4%B9%E4%BB%8B%E3%83%88%E3%83%83%E3%83%97/%E3%81%A9%E3%81%86%E3%81%B6%E3%81%A4%E7%97%85%E9%99%A2%E4%BA%AC%E9%83%BD%E3%82%B0%E3%83%AB%E3%83%BC%E3%83%97%E4%BA%8B%E6%A5%AD/product%E4%BA%8B%E6%A5%AD/" TargetMode="External" Id="rId292"/><Relationship Type="http://schemas.openxmlformats.org/officeDocument/2006/relationships/hyperlink" Target="https://www.kobe-np.co.jp/info/prtimes/202602/c170012_r8.shtml" TargetMode="External" Id="rId293"/><Relationship Type="http://schemas.openxmlformats.org/officeDocument/2006/relationships/hyperlink" Target="https://www.ondeck.jp/library/interview/20526" TargetMode="External" Id="rId294"/><Relationship Type="http://schemas.openxmlformats.org/officeDocument/2006/relationships/hyperlink" Target="https://www.elsa-hp.com/contact/" TargetMode="External" Id="rId295"/><Relationship Type="http://schemas.openxmlformats.org/officeDocument/2006/relationships/hyperlink" Target="https://hadukikai.co.jp/group_hosp/hyougo/" TargetMode="External" Id="rId296"/><Relationship Type="http://schemas.openxmlformats.org/officeDocument/2006/relationships/hyperlink" Target="https://hadukikai.co.jp/info/" TargetMode="External" Id="rId297"/><Relationship Type="http://schemas.openxmlformats.org/officeDocument/2006/relationships/hyperlink" Target="https://doubutsuyakan.jp/about.html" TargetMode="External" Id="rId298"/><Relationship Type="http://schemas.openxmlformats.org/officeDocument/2006/relationships/hyperlink" Target="https://edinetdb.jp/company/E39640/text?fy=2024" TargetMode="External" Id="rId299"/><Relationship Type="http://schemas.openxmlformats.org/officeDocument/2006/relationships/hyperlink" Target="https://wolveshand.jp/ir/" TargetMode="External" Id="rId300"/><Relationship Type="http://schemas.openxmlformats.org/officeDocument/2006/relationships/hyperlink" Target="https://allone-ah.co.jp/company" TargetMode="External" Id="rId301"/><Relationship Type="http://schemas.openxmlformats.org/officeDocument/2006/relationships/hyperlink" Target="https://allone-ah.co.jp/terms" TargetMode="External" Id="rId302"/><Relationship Type="http://schemas.openxmlformats.org/officeDocument/2006/relationships/hyperlink" Target="https://allone-ah.co.jp/contact" TargetMode="External" Id="rId303"/><Relationship Type="http://schemas.openxmlformats.org/officeDocument/2006/relationships/hyperlink" Target="https://www.aitom.jp/about/" TargetMode="External" Id="rId304"/><Relationship Type="http://schemas.openxmlformats.org/officeDocument/2006/relationships/hyperlink" Target="https://www.ondeck.jp/library/interview/20468" TargetMode="External" Id="rId305"/><Relationship Type="http://schemas.openxmlformats.org/officeDocument/2006/relationships/hyperlink" Target="https://www.anicom-pafe.com/hospital/openingsupport.html" TargetMode="External" Id="rId306"/><Relationship Type="http://schemas.openxmlformats.org/officeDocument/2006/relationships/hyperlink" Target="https://www.anicom-pafe.com/inquiry.html" TargetMode="External" Id="rId307"/><Relationship Type="http://schemas.openxmlformats.org/officeDocument/2006/relationships/hyperlink" Target="https://www.fanimedic-ah.com/group-hospitals/" TargetMode="External" Id="rId308"/><Relationship Type="http://schemas.openxmlformats.org/officeDocument/2006/relationships/hyperlink" Target="https://www.fanimedic.com/about-us.php" TargetMode="External" Id="rId309"/><Relationship Type="http://schemas.openxmlformats.org/officeDocument/2006/relationships/hyperlink" Target="https://inagakiah.com/" TargetMode="External" Id="rId310"/><Relationship Type="http://schemas.openxmlformats.org/officeDocument/2006/relationships/hyperlink" Target="https://inagakiah.com/contact/" TargetMode="External" Id="rId311"/><Relationship Type="http://schemas.openxmlformats.org/officeDocument/2006/relationships/hyperlink" Target="https://www.primo-ah.com/" TargetMode="External" Id="rId312"/><Relationship Type="http://schemas.openxmlformats.org/officeDocument/2006/relationships/hyperlink" Target="https://sendaihigashi.jpbvet.com/" TargetMode="External" Id="rId313"/><Relationship Type="http://schemas.openxmlformats.org/officeDocument/2006/relationships/hyperlink" Target="https://www.primo-ah.com/about/" TargetMode="External" Id="rId314"/><Relationship Type="http://schemas.openxmlformats.org/officeDocument/2006/relationships/hyperlink" Target="https://lifemate-vh.com/" TargetMode="External" Id="rId315"/><Relationship Type="http://schemas.openxmlformats.org/officeDocument/2006/relationships/hyperlink" Target="https://lifemate-vh.com/company-info/" TargetMode="External" Id="rId316"/><Relationship Type="http://schemas.openxmlformats.org/officeDocument/2006/relationships/hyperlink" Target="https://bayside.minami-ahg.jp/" TargetMode="External" Id="rId317"/><Relationship Type="http://schemas.openxmlformats.org/officeDocument/2006/relationships/hyperlink" Target="https://www.minami-ahg.jp/service/index.html" TargetMode="External" Id="rId318"/><Relationship Type="http://schemas.openxmlformats.org/officeDocument/2006/relationships/hyperlink" Target="https://prtimes.jp/main/html/rd/p/000000001.000183725.html" TargetMode="External" Id="rId319"/><Relationship Type="http://schemas.openxmlformats.org/officeDocument/2006/relationships/hyperlink" Target="https://www.jpac.jp/" TargetMode="External" Id="rId320"/><Relationship Type="http://schemas.openxmlformats.org/officeDocument/2006/relationships/hyperlink" Target="https://prtimes.jp/main/html/rd/p/000000007.000170012.html" TargetMode="External" Id="rId321"/><Relationship Type="http://schemas.openxmlformats.org/officeDocument/2006/relationships/hyperlink" Target="https://nosai-chiba.or.jp/soshiki/shinryo/" TargetMode="External" Id="rId322"/><Relationship Type="http://schemas.openxmlformats.org/officeDocument/2006/relationships/hyperlink" Target="https://nosai-chiba.or.jp/" TargetMode="External" Id="rId323"/><Relationship Type="http://schemas.openxmlformats.org/officeDocument/2006/relationships/hyperlink" Target="https://ibaraki.lin.gr.jp/chikusan-ibaraki/24-11/11.html" TargetMode="External" Id="rId324"/><Relationship Type="http://schemas.openxmlformats.org/officeDocument/2006/relationships/hyperlink" Target="https://medical-space.co.jp/works/area/" TargetMode="External" Id="rId325"/><Relationship Type="http://schemas.openxmlformats.org/officeDocument/2006/relationships/hyperlink" Target="https://otakibashi.com/information.php" TargetMode="External" Id="rId326"/><Relationship Type="http://schemas.openxmlformats.org/officeDocument/2006/relationships/hyperlink" Target="https://www.vcajapan.com/" TargetMode="External" Id="rId327"/><Relationship Type="http://schemas.openxmlformats.org/officeDocument/2006/relationships/hyperlink" Target="https://www.vcajapan.com/privacy/" TargetMode="External" Id="rId328"/><Relationship Type="http://schemas.openxmlformats.org/officeDocument/2006/relationships/hyperlink" Target="https://ahhd.jp/I0000019" TargetMode="External" Id="rId329"/><Relationship Type="http://schemas.openxmlformats.org/officeDocument/2006/relationships/hyperlink" Target="https://globalpetindustry.com/news/l-catterton-invests-japanese-vet-sector/" TargetMode="External" Id="rId330"/><Relationship Type="http://schemas.openxmlformats.org/officeDocument/2006/relationships/hyperlink" Target="https://withmal.co.jp/contact/" TargetMode="External" Id="rId331"/><Relationship Type="http://schemas.openxmlformats.org/officeDocument/2006/relationships/hyperlink" Target="https://and-vet-ah.com/" TargetMode="External" Id="rId332"/><Relationship Type="http://schemas.openxmlformats.org/officeDocument/2006/relationships/hyperlink" Target="https://compalyze.co.jp/company/1011501027422" TargetMode="External" Id="rId333"/><Relationship Type="http://schemas.openxmlformats.org/officeDocument/2006/relationships/hyperlink" Target="https://and-vet.com/blog/%E6%A0%AA%E5%BC%8F%E4%BC%9A%E7%A4%BE%E3%82%B8%E3%83%A5%E3%82%A6%E3%83%81%E3%82%AF%E3%81%AE%E4%B8%80%E9%83%A8%E6%A0%AA%E5%BC%8F%E5%8F%96%E5%BE%97%E3%81%8A%E3%82%88%E3%81%B3%E8%A3%BD%E8%96%AC%E5%8D%B8/" TargetMode="External" Id="rId334"/><Relationship Type="http://schemas.openxmlformats.org/officeDocument/2006/relationships/hyperlink" Target="https://fukuoka-ahg.jp/group/" TargetMode="External" Id="rId335"/><Relationship Type="http://schemas.openxmlformats.org/officeDocument/2006/relationships/hyperlink" Target="https://f-dic.com/" TargetMode="External" Id="rId336"/><Relationship Type="http://schemas.openxmlformats.org/officeDocument/2006/relationships/hyperlink" Target="https://www.nosai46.jp/kagoshima/" TargetMode="External" Id="rId337"/><Relationship Type="http://schemas.openxmlformats.org/officeDocument/2006/relationships/hyperlink" Target="http://www.nosai.or.jp/mt6/2022/01/post-6662.html" TargetMode="External" Id="rId338"/><Relationship Type="http://schemas.openxmlformats.org/officeDocument/2006/relationships/hyperlink" Target="https://www.nosai46.jp/kagoshima/honsho/" TargetMode="External" Id="rId339"/><Relationship Type="http://schemas.openxmlformats.org/officeDocument/2006/relationships/hyperlink" Target="https://www.nosai.or.jp/nosai_kasou/juuishi/kyusyu_okinawa.html" TargetMode="External" Id="rId340"/><Relationship Type="http://schemas.openxmlformats.org/officeDocument/2006/relationships/hyperlink" Target="https://nosai-kumamoto.or.jp/nosai/access/" TargetMode="External" Id="rId341"/><Relationship Type="http://schemas.openxmlformats.org/officeDocument/2006/relationships/hyperlink" Target="https://nosai-miyazakiken.jp/veterinarian/" TargetMode="External" Id="rId342"/><Relationship Type="http://schemas.openxmlformats.org/officeDocument/2006/relationships/hyperlink" Target="https://www.nosai-ngs.jp/list.html" TargetMode="External" Id="rId343"/><Relationship Type="http://schemas.openxmlformats.org/officeDocument/2006/relationships/hyperlink" Target="https://www.nosai-ngs.jp/" TargetMode="External" Id="rId344"/><Relationship Type="http://schemas.openxmlformats.org/officeDocument/2006/relationships/hyperlink" Target="https://www.nosai-oita.jp/kachikushinryojo" TargetMode="External" Id="rId345"/><Relationship Type="http://schemas.openxmlformats.org/officeDocument/2006/relationships/hyperlink" Target="https://www.nosai-oita.jp/" TargetMode="External" Id="rId346"/><Relationship Type="http://schemas.openxmlformats.org/officeDocument/2006/relationships/hyperlink" Target="https://nosai-okinawa.jp/clinic/" TargetMode="External" Id="rId347"/><Relationship Type="http://schemas.openxmlformats.org/officeDocument/2006/relationships/hyperlink" Target="https://www.halleluya-vet.net/aboutus" TargetMode="External" Id="rId348"/><Relationship Type="http://schemas.openxmlformats.org/officeDocument/2006/relationships/hyperlink" Target="https://midori-no-mori.jp/" TargetMode="External" Id="rId349"/><Relationship Type="http://schemas.openxmlformats.org/officeDocument/2006/relationships/hyperlink" Target="https://midori-no-mori.jp/kyokushin" TargetMode="External" Id="rId350"/><Relationship Type="http://schemas.openxmlformats.org/officeDocument/2006/relationships/hyperlink" Target="http://www.nosai-aomori.or.jp/wp-content/uploads/2025/08/4e705eaea4a622fbfd5c63b338189b7d.pdf" TargetMode="External" Id="rId351"/><Relationship Type="http://schemas.openxmlformats.org/officeDocument/2006/relationships/hyperlink" Target="http://www.nosai-aomori.or.jp/access/" TargetMode="External" Id="rId352"/><Relationship Type="http://schemas.openxmlformats.org/officeDocument/2006/relationships/hyperlink" Target="https://fukushima-nosainet.jp/outline/out-c/out-c-c" TargetMode="External" Id="rId353"/><Relationship Type="http://schemas.openxmlformats.org/officeDocument/2006/relationships/hyperlink" Target="http://www.nosai.or.jp/nosai_kasou/nosai_page11.html" TargetMode="External" Id="rId354"/><Relationship Type="http://schemas.openxmlformats.org/officeDocument/2006/relationships/hyperlink" Target="https://www.nosai-do.or.jp/about/overview/" TargetMode="External" Id="rId355"/><Relationship Type="http://schemas.openxmlformats.org/officeDocument/2006/relationships/hyperlink" Target="https://www.nosai-do.or.jp/contact/" TargetMode="External" Id="rId356"/><Relationship Type="http://schemas.openxmlformats.org/officeDocument/2006/relationships/hyperlink" Target="https://www.nosaimiyagi.or.jp/outline/" TargetMode="External" Id="rId357"/><Relationship Type="http://schemas.openxmlformats.org/officeDocument/2006/relationships/hyperlink" Target="https://www.nosaimiyagi.or.jp/contact/" TargetMode="External" Id="rId358"/><Relationship Type="http://schemas.openxmlformats.org/officeDocument/2006/relationships/hyperlink" Target="https://www.yynosai.or.jp/yamagata/branch" TargetMode="External" Id="rId359"/><Relationship Type="http://schemas.openxmlformats.org/officeDocument/2006/relationships/hyperlink" Target="https://www.yynosai.or.jp/contact" TargetMode="External" Id="rId360"/><Relationship Type="http://schemas.openxmlformats.org/officeDocument/2006/relationships/hyperlink" Target="https://www.thms.jp/service/juuika/breeding/hanshokukenshin/" TargetMode="External" Id="rId361"/><Relationship Type="http://schemas.openxmlformats.org/officeDocument/2006/relationships/hyperlink" Target="https://www.thms.jp/contact/" TargetMode="External" Id="rId362"/><Relationship Type="http://schemas.openxmlformats.org/officeDocument/2006/relationships/hyperlink" Target="https://animal-99.com/" TargetMode="External" Id="rId363"/><Relationship Type="http://schemas.openxmlformats.org/officeDocument/2006/relationships/hyperlink" Target="https://forbesjapan.com/articles/detail/82089" TargetMode="External" Id="rId364"/><Relationship Type="http://schemas.openxmlformats.org/officeDocument/2006/relationships/hyperlink" Target="https://animal-99.com/contact_form.html" TargetMode="External" Id="rId365"/></Relationships>
</file>

<file path=xl/worksheets/sheet1.xml><?xml version="1.0" encoding="utf-8"?>
<worksheet xmlns="http://schemas.openxmlformats.org/spreadsheetml/2006/main">
  <sheetPr>
    <outlinePr summaryBelow="1" summaryRight="1"/>
    <pageSetUpPr/>
  </sheetPr>
  <dimension ref="A1:AG26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18" customWidth="1" min="4" max="4"/>
    <col width="12" customWidth="1" min="5" max="5"/>
    <col width="18" customWidth="1" min="6" max="6"/>
    <col width="30" customWidth="1" min="7" max="7"/>
    <col width="40" customWidth="1" min="8" max="8"/>
    <col width="30" customWidth="1" min="9" max="9"/>
    <col width="14" customWidth="1" min="10" max="10"/>
    <col width="28" customWidth="1" min="11" max="11"/>
    <col width="18" customWidth="1" min="12" max="12"/>
    <col width="16" customWidth="1" min="13" max="13"/>
    <col width="14" customWidth="1" min="14" max="14"/>
    <col width="12" customWidth="1" min="15" max="15"/>
    <col width="26" customWidth="1" min="16" max="16"/>
    <col width="18" customWidth="1" min="17" max="17"/>
    <col width="12" customWidth="1" min="18" max="18"/>
    <col width="18" customWidth="1" min="19" max="19"/>
    <col width="9" customWidth="1" min="20" max="20"/>
    <col width="7" customWidth="1" min="21" max="21"/>
    <col width="60" customWidth="1" min="22" max="22"/>
    <col width="45" customWidth="1" min="23" max="23"/>
    <col width="18" customWidth="1" min="24" max="24"/>
    <col width="55"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14" customWidth="1" min="33" max="33"/>
  </cols>
  <sheetData>
    <row r="1">
      <c r="A1" s="1" t="inlineStr">
        <is>
          <t>Japan VET Lead List: Master List</t>
        </is>
      </c>
    </row>
    <row r="2" ht="60" customHeight="1">
      <c r="A2" s="2" t="inlineStr">
        <is>
          <t>CHISON veterinary ultrasound, Japan lead list v2 (AstraMed Healthcare). Built 10 Oct 2026 from web search results only: the session's network policy blocked direct page fetches, so contact pages were read through search results, not opened. Every row has at least one source link. Email column: a published company address where one exists (no personal address was guessed), otherwise the inquiry form URL or 'phone only'. Contact confidence: 'Verified' = published on the company's own site; 'Likely' = third party listing (association, chamber); 'Company inquiry only' = form or phone. Rows marked 'Qualify first' in the last column are human dealers whose animal hospital business is not yet confirmed. Fit score is the live SUM of the seven score columns on the right.</t>
        </is>
      </c>
    </row>
    <row r="4" ht="42" customHeight="1">
      <c r="A4" s="3" t="inlineStr">
        <is>
          <t>No.</t>
        </is>
      </c>
      <c r="B4" s="3" t="inlineStr">
        <is>
          <t>Company (English)</t>
        </is>
      </c>
      <c r="C4" s="3" t="inlineStr">
        <is>
          <t>Company (Japanese)</t>
        </is>
      </c>
      <c r="D4" s="3" t="inlineStr">
        <is>
          <t>法人番号</t>
        </is>
      </c>
      <c r="E4" s="3" t="inlineStr">
        <is>
          <t>HQ prefecture</t>
        </is>
      </c>
      <c r="F4" s="3" t="inlineStr">
        <is>
          <t>Region</t>
        </is>
      </c>
      <c r="G4" s="3" t="inlineStr">
        <is>
          <t>Website</t>
        </is>
      </c>
      <c r="H4" s="3" t="inlineStr">
        <is>
          <t>Licences held</t>
        </is>
      </c>
      <c r="I4" s="3" t="inlineStr">
        <is>
          <t>Brands carried</t>
        </is>
      </c>
      <c r="J4" s="3" t="inlineStr">
        <is>
          <t>Companion / Large animal / Both</t>
        </is>
      </c>
      <c r="K4" s="3" t="inlineStr">
        <is>
          <t>Coverage area</t>
        </is>
      </c>
      <c r="L4" s="3" t="inlineStr">
        <is>
          <t>Est. revenue or headcount</t>
        </is>
      </c>
      <c r="M4" s="3" t="inlineStr">
        <is>
          <t>Number of clinics (Tier V5 only)</t>
        </is>
      </c>
      <c r="N4" s="3" t="inlineStr">
        <is>
          <t>Key contact name</t>
        </is>
      </c>
      <c r="O4" s="3" t="inlineStr">
        <is>
          <t>Title</t>
        </is>
      </c>
      <c r="P4" s="3" t="inlineStr">
        <is>
          <t>Email</t>
        </is>
      </c>
      <c r="Q4" s="3" t="inlineStr">
        <is>
          <t>Phone</t>
        </is>
      </c>
      <c r="R4" s="3" t="inlineStr">
        <is>
          <t>LinkedIn</t>
        </is>
      </c>
      <c r="S4" s="3" t="inlineStr">
        <is>
          <t>Contact confidence</t>
        </is>
      </c>
      <c r="T4" s="3" t="inlineStr">
        <is>
          <t>Fit score /35</t>
        </is>
      </c>
      <c r="U4" s="3" t="inlineStr">
        <is>
          <t>Tier</t>
        </is>
      </c>
      <c r="V4" s="3" t="inlineStr">
        <is>
          <t>Why they fit</t>
        </is>
      </c>
      <c r="W4" s="3" t="inlineStr">
        <is>
          <t>Suggested opening angle</t>
        </is>
      </c>
      <c r="X4" s="3" t="inlineStr">
        <is>
          <t>Also in human list (Y/N)</t>
        </is>
      </c>
      <c r="Y4" s="3" t="inlineStr">
        <is>
          <t>Source links</t>
        </is>
      </c>
      <c r="Z4" s="3" t="inlineStr">
        <is>
          <t>Score: regulatory</t>
        </is>
      </c>
      <c r="AA4" s="3" t="inlineStr">
        <is>
          <t>Score: imaging and US</t>
        </is>
      </c>
      <c r="AB4" s="3" t="inlineStr">
        <is>
          <t>Score: brand conflict</t>
        </is>
      </c>
      <c r="AC4" s="3" t="inlineStr">
        <is>
          <t>Score: companion coverage</t>
        </is>
      </c>
      <c r="AD4" s="3" t="inlineStr">
        <is>
          <t>Score: large animal</t>
        </is>
      </c>
      <c r="AE4" s="3" t="inlineStr">
        <is>
          <t>Score: service engineers</t>
        </is>
      </c>
      <c r="AF4" s="3" t="inlineStr">
        <is>
          <t>Score: openness to CN/KR</t>
        </is>
      </c>
      <c r="AG4" s="3" t="inlineStr">
        <is>
          <t>Evidence status</t>
        </is>
      </c>
    </row>
    <row r="5" ht="75" customHeight="1">
      <c r="A5" s="4" t="n">
        <v>1</v>
      </c>
      <c r="B5" s="4" t="inlineStr">
        <is>
          <t>Central Scientific Commerce, Inc.</t>
        </is>
      </c>
      <c r="C5" s="4" t="inlineStr">
        <is>
          <t>セントラル科学貿易株式会社</t>
        </is>
      </c>
      <c r="D5" s="4" t="inlineStr">
        <is>
          <t>Not found (NTA lookup blocked; dedupe by Japanese name)</t>
        </is>
      </c>
      <c r="E5" s="4" t="inlineStr">
        <is>
          <t>Tokyo</t>
        </is>
      </c>
      <c r="F5" s="4" t="inlineStr">
        <is>
          <t>Kanto</t>
        </is>
      </c>
      <c r="G5" s="5" t="inlineStr">
        <is>
          <t>https://cscjp.co.jp/csc-medical/products/vet-videoscope.html</t>
        </is>
      </c>
      <c r="H5" s="4" t="inlineStr">
        <is>
          <t>Imports AOHUA vet videoscopes (vet device notification implied)</t>
        </is>
      </c>
      <c r="I5" s="4" t="inlineStr">
        <is>
          <t>AOHUA (China) vet endoscopes; no ultrasound</t>
        </is>
      </c>
      <c r="J5" s="4" t="inlineStr">
        <is>
          <t>Companion</t>
        </is>
      </c>
      <c r="K5" s="4" t="inlineStr">
        <is>
          <t>National</t>
        </is>
      </c>
      <c r="L5" s="4" t="inlineStr">
        <is>
          <t>Not found</t>
        </is>
      </c>
      <c r="M5" s="4" t="inlineStr">
        <is>
          <t>n/a</t>
        </is>
      </c>
      <c r="N5" s="4" t="inlineStr">
        <is>
          <t>Not identified</t>
        </is>
      </c>
      <c r="O5" s="4" t="inlineStr">
        <is>
          <t>Not identified</t>
        </is>
      </c>
      <c r="P5" s="4" t="inlineStr">
        <is>
          <t>cscsupport@cscjp.co.jp</t>
        </is>
      </c>
      <c r="Q5" s="4" t="inlineStr">
        <is>
          <t>03 5627 8150</t>
        </is>
      </c>
      <c r="R5" s="4" t="inlineStr">
        <is>
          <t>Not identified</t>
        </is>
      </c>
      <c r="S5" s="4" t="inlineStr">
        <is>
          <t>Likely (third party listing)</t>
        </is>
      </c>
      <c r="T5" s="6">
        <f>SUM(Z5:AF5)</f>
        <v>26</v>
      </c>
      <c r="U5" s="7" t="inlineStr">
        <is>
          <t>V1</t>
        </is>
      </c>
      <c r="V5" s="4" t="inlineStr">
        <is>
          <t>Already imports a Chinese vet imaging brand (AOHUA), which shows openness to Chinese manufacturers and a working NVAL route.</t>
        </is>
      </c>
      <c r="W5" s="4" t="inlineStr">
        <is>
          <t>Lead with CHISON credentials (FDA, OEM for global brands) as the ultrasound companion to AOHUA.</t>
        </is>
      </c>
      <c r="X5" s="4" t="inlineStr">
        <is>
          <t>Not checked (human list not in v17)</t>
        </is>
      </c>
      <c r="Y5" s="4" t="inlineStr">
        <is>
          <t>https://cscjp.co.jp/csc-medical/products/vet-videoscope.html ; https://sia-tokyo.gr.jp/co-list/748 ; https://cscjp.co.jp/contact/</t>
        </is>
      </c>
      <c r="Z5" s="4" t="n">
        <v>5</v>
      </c>
      <c r="AA5" s="4" t="n">
        <v>3</v>
      </c>
      <c r="AB5" s="4" t="n">
        <v>5</v>
      </c>
      <c r="AC5" s="4" t="n">
        <v>4</v>
      </c>
      <c r="AD5" s="4" t="n">
        <v>1</v>
      </c>
      <c r="AE5" s="4" t="n">
        <v>3</v>
      </c>
      <c r="AF5" s="4" t="n">
        <v>5</v>
      </c>
      <c r="AG5" s="4" t="inlineStr">
        <is>
          <t>Evidence backed</t>
        </is>
      </c>
    </row>
    <row r="6" ht="75" customHeight="1">
      <c r="A6" s="4" t="n">
        <v>2</v>
      </c>
      <c r="B6" s="4" t="inlineStr">
        <is>
          <t>ARKRAY, Inc. (Veterinary)</t>
        </is>
      </c>
      <c r="C6" s="4" t="inlineStr">
        <is>
          <t>アークレイ株式会社 (アークレイファクトリー)</t>
        </is>
      </c>
      <c r="D6" s="4" t="inlineStr">
        <is>
          <t>Not found (NTA lookup blocked; dedupe by Japanese name)</t>
        </is>
      </c>
      <c r="E6" s="4" t="inlineStr">
        <is>
          <t>Kyoto</t>
        </is>
      </c>
      <c r="F6" s="4" t="inlineStr">
        <is>
          <t>Kansai</t>
        </is>
      </c>
      <c r="G6" s="5" t="inlineStr">
        <is>
          <t>https://arkraythinkanimal.com</t>
        </is>
      </c>
      <c r="H6" s="4" t="inlineStr">
        <is>
          <t>Vet device MAH via ARKRAY Factory (NVAL: thinka CB1010)</t>
        </is>
      </c>
      <c r="I6" s="4" t="inlineStr">
        <is>
          <t>Vet analysers (Vcheck V200); no ultrasound</t>
        </is>
      </c>
      <c r="J6" s="4" t="inlineStr">
        <is>
          <t>Companion</t>
        </is>
      </c>
      <c r="K6" s="4" t="inlineStr">
        <is>
          <t>National vet sales force</t>
        </is>
      </c>
      <c r="L6" s="4" t="inlineStr">
        <is>
          <t>Large</t>
        </is>
      </c>
      <c r="M6" s="4" t="inlineStr">
        <is>
          <t>n/a</t>
        </is>
      </c>
      <c r="N6" s="4" t="inlineStr">
        <is>
          <t>Not identified</t>
        </is>
      </c>
      <c r="O6" s="4" t="inlineStr">
        <is>
          <t>Not identified</t>
        </is>
      </c>
      <c r="P6" s="4" t="inlineStr">
        <is>
          <t>thinka@arkray.co.jp</t>
        </is>
      </c>
      <c r="Q6" s="4" t="inlineStr">
        <is>
          <t>050 5527 7700</t>
        </is>
      </c>
      <c r="R6" s="4" t="inlineStr">
        <is>
          <t>Not identified</t>
        </is>
      </c>
      <c r="S6" s="4" t="inlineStr">
        <is>
          <t>Verified (published on own site, read via search)</t>
        </is>
      </c>
      <c r="T6" s="6">
        <f>SUM(Z6:AF6)</f>
        <v>25</v>
      </c>
      <c r="U6" s="7" t="inlineStr">
        <is>
          <t>V1</t>
        </is>
      </c>
      <c r="V6" s="4" t="inlineStr">
        <is>
          <t>Runs a dedicated vet brand (Think Animal) and exhibits at JBVP; national animal hospital coverage and service.</t>
        </is>
      </c>
      <c r="W6" s="4" t="inlineStr">
        <is>
          <t>In clinic diagnostics plus point of care ultrasound bundle.</t>
        </is>
      </c>
      <c r="X6" s="4" t="inlineStr">
        <is>
          <t>Not checked (human list not in v17)</t>
        </is>
      </c>
      <c r="Y6" s="4" t="inlineStr">
        <is>
          <t>https://www.vm.nval.go.jp/public/detail/16030 ; https://arkraythinkanimal.com/2025/09/03/information95/ ; https://arkraythinkanimal.com/company/ ; https://arkraythinkanimal.com/contact/</t>
        </is>
      </c>
      <c r="Z6" s="4" t="n">
        <v>5</v>
      </c>
      <c r="AA6" s="4" t="n">
        <v>2</v>
      </c>
      <c r="AB6" s="4" t="n">
        <v>5</v>
      </c>
      <c r="AC6" s="4" t="n">
        <v>5</v>
      </c>
      <c r="AD6" s="4" t="n">
        <v>1</v>
      </c>
      <c r="AE6" s="4" t="n">
        <v>4</v>
      </c>
      <c r="AF6" s="4" t="n">
        <v>3</v>
      </c>
      <c r="AG6" s="4" t="inlineStr">
        <is>
          <t>Evidence backed</t>
        </is>
      </c>
    </row>
    <row r="7" ht="75" customHeight="1">
      <c r="A7" s="4" t="n">
        <v>3</v>
      </c>
      <c r="B7" s="4" t="inlineStr">
        <is>
          <t>Nozawa Corporation</t>
        </is>
      </c>
      <c r="C7" s="4" t="inlineStr">
        <is>
          <t>株式会社野澤組</t>
        </is>
      </c>
      <c r="D7" s="4" t="inlineStr">
        <is>
          <t>Not found (NTA lookup blocked; dedupe by Japanese name)</t>
        </is>
      </c>
      <c r="E7" s="4" t="inlineStr">
        <is>
          <t>Tokyo</t>
        </is>
      </c>
      <c r="F7" s="4" t="inlineStr">
        <is>
          <t>Kanto</t>
        </is>
      </c>
      <c r="G7" s="5" t="inlineStr">
        <is>
          <t>https://www.nosawa.co.jp/</t>
        </is>
      </c>
      <c r="H7" s="4" t="inlineStr">
        <is>
          <t>Vet ultrasound MAH per NVAL listing (iScan2 and MyLab series)</t>
        </is>
      </c>
      <c r="I7" s="4" t="inlineStr">
        <is>
          <t>iScan2 (Draminski) and MyLab series listed</t>
        </is>
      </c>
      <c r="J7" s="4" t="inlineStr">
        <is>
          <t>Both</t>
        </is>
      </c>
      <c r="K7" s="4" t="inlineStr">
        <is>
          <t>National import trading house</t>
        </is>
      </c>
      <c r="L7" s="4" t="inlineStr">
        <is>
          <t>Not found</t>
        </is>
      </c>
      <c r="M7" s="4" t="inlineStr">
        <is>
          <t>n/a</t>
        </is>
      </c>
      <c r="N7" s="4" t="inlineStr">
        <is>
          <t>Not identified</t>
        </is>
      </c>
      <c r="O7" s="4" t="inlineStr">
        <is>
          <t>Not identified</t>
        </is>
      </c>
      <c r="P7" s="4" t="inlineStr">
        <is>
          <t>gg@nosawa.co.jp</t>
        </is>
      </c>
      <c r="Q7" s="4" t="inlineStr">
        <is>
          <t>03 3528 8101</t>
        </is>
      </c>
      <c r="R7" s="4" t="inlineStr">
        <is>
          <t>Not identified</t>
        </is>
      </c>
      <c r="S7" s="4" t="inlineStr">
        <is>
          <t>Verified (published on own site, read via search)</t>
        </is>
      </c>
      <c r="T7" s="6">
        <f>SUM(Z7:AF7)</f>
        <v>25</v>
      </c>
      <c r="U7" s="7" t="inlineStr">
        <is>
          <t>V1</t>
        </is>
      </c>
      <c r="V7" s="4" t="inlineStr">
        <is>
          <t>Trading house already holding vet ultrasound notifications, including large animal scanners; regulatory capability proven. FLAG: MyLab may indicate an Esaote relationship; confirm brand conflict.</t>
        </is>
      </c>
      <c r="W7" s="4" t="inlineStr">
        <is>
          <t>Mid tier companion portables to complement their large animal scanner, if their MyLab line is not exclusive.</t>
        </is>
      </c>
      <c r="X7" s="4" t="inlineStr">
        <is>
          <t>Not checked (human list not in v17)</t>
        </is>
      </c>
      <c r="Y7" s="4" t="inlineStr">
        <is>
          <t>https://vm.nval.go.jp/?mfg_dealer_name=&amp;sort=MANUFACTURING_DEALER&amp;submit=submit ; https://www.vm.nval.go.jp/public/detail/9148 ; https://www.totalapproach.co.jp/askme/askme.html ; https://www.nosawa.co.jp/inquiry/</t>
        </is>
      </c>
      <c r="Z7" s="4" t="n">
        <v>5</v>
      </c>
      <c r="AA7" s="4" t="n">
        <v>5</v>
      </c>
      <c r="AB7" s="4" t="n">
        <v>2</v>
      </c>
      <c r="AC7" s="4" t="n">
        <v>3</v>
      </c>
      <c r="AD7" s="4" t="n">
        <v>4</v>
      </c>
      <c r="AE7" s="4" t="n">
        <v>3</v>
      </c>
      <c r="AF7" s="4" t="n">
        <v>3</v>
      </c>
      <c r="AG7" s="4" t="inlineStr">
        <is>
          <t>Evidence backed</t>
        </is>
      </c>
    </row>
    <row r="8" ht="75" customHeight="1">
      <c r="A8" s="4" t="n">
        <v>4</v>
      </c>
      <c r="B8" s="4" t="inlineStr">
        <is>
          <t>Olympus Marketing, Inc. (Animal Medical)</t>
        </is>
      </c>
      <c r="C8" s="4" t="inlineStr">
        <is>
          <t>オリンパスマーケティング株式会社</t>
        </is>
      </c>
      <c r="D8" s="4" t="inlineStr">
        <is>
          <t>Not found (NTA lookup blocked; dedupe by Japanese name)</t>
        </is>
      </c>
      <c r="E8" s="4" t="inlineStr">
        <is>
          <t>Tokyo</t>
        </is>
      </c>
      <c r="F8" s="4" t="inlineStr">
        <is>
          <t>Kanto</t>
        </is>
      </c>
      <c r="G8" s="5" t="inlineStr">
        <is>
          <t>https://www.olympus-marketing.co.jp/business/animal/</t>
        </is>
      </c>
      <c r="H8" s="4" t="inlineStr">
        <is>
          <t>Vet endoscopy systems marketed (VES Be one); Olympus group MAH capability</t>
        </is>
      </c>
      <c r="I8" s="4" t="inlineStr">
        <is>
          <t>Own endoscopes; no ultrasound in vet range</t>
        </is>
      </c>
      <c r="J8" s="4" t="inlineStr">
        <is>
          <t>Companion</t>
        </is>
      </c>
      <c r="K8" s="4" t="inlineStr">
        <is>
          <t>National</t>
        </is>
      </c>
      <c r="L8" s="4" t="inlineStr">
        <is>
          <t>Large (Olympus group)</t>
        </is>
      </c>
      <c r="M8" s="4" t="inlineStr">
        <is>
          <t>n/a</t>
        </is>
      </c>
      <c r="N8" s="4" t="inlineStr">
        <is>
          <t>Not identified</t>
        </is>
      </c>
      <c r="O8" s="4" t="inlineStr">
        <is>
          <t>Not identified</t>
        </is>
      </c>
      <c r="P8" s="4" t="inlineStr">
        <is>
          <t>Not published; inquiry form: https://www.olympus-marketing.co.jp/contact/</t>
        </is>
      </c>
      <c r="Q8" s="4" t="inlineStr">
        <is>
          <t>042 642 4002</t>
        </is>
      </c>
      <c r="R8" s="4" t="inlineStr">
        <is>
          <t>Not identified</t>
        </is>
      </c>
      <c r="S8" s="4" t="inlineStr">
        <is>
          <t>Company inquiry only (form)</t>
        </is>
      </c>
      <c r="T8" s="6">
        <f>SUM(Z8:AF8)</f>
        <v>25</v>
      </c>
      <c r="U8" s="7" t="inlineStr">
        <is>
          <t>V1</t>
        </is>
      </c>
      <c r="V8" s="4" t="inlineStr">
        <is>
          <t>Runs a dedicated animal endoscopy business with national service engineers; imaging culture and hospital relationships.</t>
        </is>
      </c>
      <c r="W8" s="4" t="inlineStr">
        <is>
          <t>Endoscopy plus ultrasound GI work up; propose a co marketing pilot rather than distribution first.</t>
        </is>
      </c>
      <c r="X8" s="4" t="inlineStr">
        <is>
          <t>Not checked (human list not in v17)</t>
        </is>
      </c>
      <c r="Y8" s="4" t="inlineStr">
        <is>
          <t>https://www.olympus-marketing.co.jp/business/animal/ ; https://www.olympus-marketing.co.jp/contact/</t>
        </is>
      </c>
      <c r="Z8" s="4" t="n">
        <v>5</v>
      </c>
      <c r="AA8" s="4" t="n">
        <v>4</v>
      </c>
      <c r="AB8" s="4" t="n">
        <v>4</v>
      </c>
      <c r="AC8" s="4" t="n">
        <v>4</v>
      </c>
      <c r="AD8" s="4" t="n">
        <v>1</v>
      </c>
      <c r="AE8" s="4" t="n">
        <v>5</v>
      </c>
      <c r="AF8" s="4" t="n">
        <v>2</v>
      </c>
      <c r="AG8" s="4" t="inlineStr">
        <is>
          <t>Evidence backed</t>
        </is>
      </c>
    </row>
    <row r="9" ht="75" customHeight="1">
      <c r="A9" s="4" t="n">
        <v>5</v>
      </c>
      <c r="B9" s="4" t="inlineStr">
        <is>
          <t>Kyoritsu Shokai Co., Ltd.</t>
        </is>
      </c>
      <c r="C9" s="4" t="inlineStr">
        <is>
          <t>株式会社共立商会</t>
        </is>
      </c>
      <c r="D9" s="4" t="inlineStr">
        <is>
          <t>Not found (NTA lookup blocked; dedupe by Japanese name)</t>
        </is>
      </c>
      <c r="E9" s="4" t="inlineStr">
        <is>
          <t>Tokyo</t>
        </is>
      </c>
      <c r="F9" s="4" t="inlineStr">
        <is>
          <t>Kanto</t>
        </is>
      </c>
      <c r="G9" s="5" t="inlineStr">
        <is>
          <t>https://www.kyoritsu-shokai.com</t>
        </is>
      </c>
      <c r="H9" s="4" t="inlineStr">
        <is>
          <t>第二種動物用医療機器製造販売業許可 (licence page on own site); 動物用医薬品 import and sales</t>
        </is>
      </c>
      <c r="I9" s="4" t="inlineStr">
        <is>
          <t>Imported vet drugs and instruments; no ultrasound line identified</t>
        </is>
      </c>
      <c r="J9" s="4" t="inlineStr">
        <is>
          <t>Both</t>
        </is>
      </c>
      <c r="K9" s="4" t="inlineStr">
        <is>
          <t>Kanto base, national import channel</t>
        </is>
      </c>
      <c r="L9" s="4" t="inlineStr">
        <is>
          <t>Not found</t>
        </is>
      </c>
      <c r="M9" s="4" t="inlineStr">
        <is>
          <t>n/a</t>
        </is>
      </c>
      <c r="N9" s="4" t="inlineStr">
        <is>
          <t>Not identified</t>
        </is>
      </c>
      <c r="O9" s="4" t="inlineStr">
        <is>
          <t>Not identified</t>
        </is>
      </c>
      <c r="P9" s="4" t="inlineStr">
        <is>
          <t>pet@kyoritsu-shokai.com</t>
        </is>
      </c>
      <c r="Q9" s="4" t="inlineStr">
        <is>
          <t>03 3424 6201</t>
        </is>
      </c>
      <c r="R9" s="4" t="inlineStr">
        <is>
          <t>Not identified</t>
        </is>
      </c>
      <c r="S9" s="4" t="inlineStr">
        <is>
          <t>Verified (published on own site, read via search); page notes the address was changed, confirm</t>
        </is>
      </c>
      <c r="T9" s="6">
        <f>SUM(Z9:AF9)</f>
        <v>24</v>
      </c>
      <c r="U9" s="7" t="inlineStr">
        <is>
          <t>V1</t>
        </is>
      </c>
      <c r="V9" s="4" t="inlineStr">
        <is>
          <t>Imports and sells vet drugs and instruments and displays a second class vet device MAH licence, so it could hold the CHISON notification itself. Its executive chairs the JADIDA Kanto Koshinetsu block, giving reach into every regional wholesaler. FLAG: Licence page last indexed about 18 months ago; confirm the licence is current.</t>
        </is>
      </c>
      <c r="W9" s="4" t="inlineStr">
        <is>
          <t>Ask whether they would act as MAH and master importer for a portable vet ultrasound line, with regional JADIDA members as sub dealers.</t>
        </is>
      </c>
      <c r="X9" s="4" t="inlineStr">
        <is>
          <t>Not checked (human list not in v17)</t>
        </is>
      </c>
      <c r="Y9" s="4" t="inlineStr">
        <is>
          <t>https://www.kyoritsu-shokai.com/company/%E5%8C%BB%E8%96%AC%E5%93%81%E3%83%BB%E5%8B%95%E7%89%A9%E7%94%A8%E5%8C%BB%E8%96%AC%E5%93%81%E8%A8%B1%E5%8F%AF%E8%A8%BC%E9%96%A2%E9%80%A3/ ; https://jadida.or.jp/aboutus.html ; https://www.kyoritsu-shokai.com/%E7%89%B9%E5%AE%9A%E5%95%86%E5%8F%96%E5%BC%95%E6%B3%95%E3%81%AB%E5%9F%BA%E3%81%A5%E3%81%8F%E8%A1%A8%E8%A8%98/ ; https://www.kyoritsu-shokai.com/%E3%81%8A%E5%95%8F%E3%81%84%E5%90%88%E3%82%8F%E3%81%9B/</t>
        </is>
      </c>
      <c r="Z9" s="4" t="n">
        <v>5</v>
      </c>
      <c r="AA9" s="4" t="n">
        <v>1</v>
      </c>
      <c r="AB9" s="4" t="n">
        <v>5</v>
      </c>
      <c r="AC9" s="4" t="n">
        <v>4</v>
      </c>
      <c r="AD9" s="4" t="n">
        <v>4</v>
      </c>
      <c r="AE9" s="4" t="n">
        <v>2</v>
      </c>
      <c r="AF9" s="4" t="n">
        <v>3</v>
      </c>
      <c r="AG9" s="4" t="inlineStr">
        <is>
          <t>Evidence backed</t>
        </is>
      </c>
    </row>
    <row r="10" ht="75" customHeight="1">
      <c r="A10" s="4" t="n">
        <v>6</v>
      </c>
      <c r="B10" s="4" t="inlineStr">
        <is>
          <t>T&amp;S Co., Ltd.</t>
        </is>
      </c>
      <c r="C10" s="4" t="inlineStr">
        <is>
          <t>株式会社ティーアンドエス</t>
        </is>
      </c>
      <c r="D10" s="4" t="inlineStr">
        <is>
          <t>Not found (NTA lookup blocked; dedupe by Japanese name)</t>
        </is>
      </c>
      <c r="E10" s="4" t="inlineStr">
        <is>
          <t>Chiba</t>
        </is>
      </c>
      <c r="F10" s="4" t="inlineStr">
        <is>
          <t>Kanto</t>
        </is>
      </c>
      <c r="G10" s="5" t="inlineStr">
        <is>
          <t>https://ts-xray.com</t>
        </is>
      </c>
      <c r="H10" s="4" t="inlineStr">
        <is>
          <t>Animal device manufacturing licence (2003); NVAL approval VPX200 vet X ray (2004)</t>
        </is>
      </c>
      <c r="I10" s="4" t="inlineStr">
        <is>
          <t>Own X ray; no ultrasound</t>
        </is>
      </c>
      <c r="J10" s="4" t="inlineStr">
        <is>
          <t>Both</t>
        </is>
      </c>
      <c r="K10" s="4" t="inlineStr">
        <is>
          <t>Noda, Chiba; national</t>
        </is>
      </c>
      <c r="L10" s="4" t="inlineStr">
        <is>
          <t>Not found</t>
        </is>
      </c>
      <c r="M10" s="4" t="inlineStr">
        <is>
          <t>n/a</t>
        </is>
      </c>
      <c r="N10" s="4" t="inlineStr">
        <is>
          <t>Not identified</t>
        </is>
      </c>
      <c r="O10" s="4" t="inlineStr">
        <is>
          <t>Not identified</t>
        </is>
      </c>
      <c r="P10" s="4" t="inlineStr">
        <is>
          <t>contact@ts-xray.com</t>
        </is>
      </c>
      <c r="Q10" s="4" t="inlineStr">
        <is>
          <t>04 7127 7323</t>
        </is>
      </c>
      <c r="R10" s="4" t="inlineStr">
        <is>
          <t>Not identified</t>
        </is>
      </c>
      <c r="S10" s="4" t="inlineStr">
        <is>
          <t>Verified (published on own site, read via search); listed on recruiting page</t>
        </is>
      </c>
      <c r="T10" s="6">
        <f>SUM(Z10:AF10)</f>
        <v>24</v>
      </c>
      <c r="U10" s="7" t="inlineStr">
        <is>
          <t>V1</t>
        </is>
      </c>
      <c r="V10" s="4" t="inlineStr">
        <is>
          <t>Domestic X ray maker with a vet approval; imaging focused and unconflicted on ultrasound.</t>
        </is>
      </c>
      <c r="W10" s="4" t="inlineStr">
        <is>
          <t>Pair portable ultrasound with their vet X ray for clinic openings.</t>
        </is>
      </c>
      <c r="X10" s="4" t="inlineStr">
        <is>
          <t>Not checked (human list not in v17)</t>
        </is>
      </c>
      <c r="Y10" s="4" t="inlineStr">
        <is>
          <t>https://www.pref.saitama.lg.jp/documents/236933/0343_tands.pdf ; https://www.vm.nval.go.jp/public/detail/6769 ; https://ts-xray.com/recruit/ ; https://ts-xray.com/inquiry/</t>
        </is>
      </c>
      <c r="Z10" s="4" t="n">
        <v>5</v>
      </c>
      <c r="AA10" s="4" t="n">
        <v>3</v>
      </c>
      <c r="AB10" s="4" t="n">
        <v>5</v>
      </c>
      <c r="AC10" s="4" t="n">
        <v>3</v>
      </c>
      <c r="AD10" s="4" t="n">
        <v>2</v>
      </c>
      <c r="AE10" s="4" t="n">
        <v>3</v>
      </c>
      <c r="AF10" s="4" t="n">
        <v>3</v>
      </c>
      <c r="AG10" s="4" t="inlineStr">
        <is>
          <t>Evidence backed</t>
        </is>
      </c>
    </row>
    <row r="11" ht="75" customHeight="1">
      <c r="A11" s="4" t="n">
        <v>7</v>
      </c>
      <c r="B11" s="4" t="inlineStr">
        <is>
          <t>Nipro Corporation (Veterinary)</t>
        </is>
      </c>
      <c r="C11" s="4" t="inlineStr">
        <is>
          <t>ニプロ株式会社</t>
        </is>
      </c>
      <c r="D11" s="4" t="inlineStr">
        <is>
          <t>Not found (NTA lookup blocked; dedupe by Japanese name)</t>
        </is>
      </c>
      <c r="E11" s="4" t="inlineStr">
        <is>
          <t>Osaka</t>
        </is>
      </c>
      <c r="F11" s="4" t="inlineStr">
        <is>
          <t>Kansai</t>
        </is>
      </c>
      <c r="G11" s="4" t="inlineStr">
        <is>
          <t>Not found</t>
        </is>
      </c>
      <c r="H11" s="4" t="inlineStr">
        <is>
          <t>Vet device MAH (NVAL: vet syringe 2018, infusion set)</t>
        </is>
      </c>
      <c r="I11" s="4" t="inlineStr">
        <is>
          <t>Disposables; no vet ultrasound</t>
        </is>
      </c>
      <c r="J11" s="4" t="inlineStr">
        <is>
          <t>Both</t>
        </is>
      </c>
      <c r="K11" s="4" t="inlineStr">
        <is>
          <t>National and Asia</t>
        </is>
      </c>
      <c r="L11" s="4" t="inlineStr">
        <is>
          <t>Large</t>
        </is>
      </c>
      <c r="M11" s="4" t="inlineStr">
        <is>
          <t>n/a</t>
        </is>
      </c>
      <c r="N11" s="4" t="inlineStr">
        <is>
          <t>Not identified</t>
        </is>
      </c>
      <c r="O11" s="4" t="inlineStr">
        <is>
          <t>Not identified</t>
        </is>
      </c>
      <c r="P11" s="4" t="inlineStr">
        <is>
          <t>Not published; inquiry form: https://www.nipro.co.jp/contact/device/</t>
        </is>
      </c>
      <c r="Q11" s="4" t="inlineStr">
        <is>
          <t>0120 226 410 (device info desk)</t>
        </is>
      </c>
      <c r="R11" s="4" t="inlineStr">
        <is>
          <t>Not identified</t>
        </is>
      </c>
      <c r="S11" s="4" t="inlineStr">
        <is>
          <t>Company inquiry only (form)</t>
        </is>
      </c>
      <c r="T11" s="6">
        <f>SUM(Z11:AF11)</f>
        <v>23</v>
      </c>
      <c r="U11" s="7" t="inlineStr">
        <is>
          <t>V1</t>
        </is>
      </c>
      <c r="V11" s="4" t="inlineStr">
        <is>
          <t>Major human device group with vet MAH registrations; dealer network reaches animal hospitals.</t>
        </is>
      </c>
      <c r="W11" s="4" t="inlineStr">
        <is>
          <t>Long shot; explore OEM or MAH service.</t>
        </is>
      </c>
      <c r="X11" s="4" t="inlineStr">
        <is>
          <t>Not checked (human list not in v17)</t>
        </is>
      </c>
      <c r="Y11" s="4" t="inlineStr">
        <is>
          <t>https://www.vm.nval.go.jp/public/detail/17793 ; https://www.vm.nval.go.jp/public/detail/6784 ; https://www.nipro.co.jp/contact/device/</t>
        </is>
      </c>
      <c r="Z11" s="4" t="n">
        <v>5</v>
      </c>
      <c r="AA11" s="4" t="n">
        <v>1</v>
      </c>
      <c r="AB11" s="4" t="n">
        <v>5</v>
      </c>
      <c r="AC11" s="4" t="n">
        <v>3</v>
      </c>
      <c r="AD11" s="4" t="n">
        <v>2</v>
      </c>
      <c r="AE11" s="4" t="n">
        <v>5</v>
      </c>
      <c r="AF11" s="4" t="n">
        <v>2</v>
      </c>
      <c r="AG11" s="4" t="inlineStr">
        <is>
          <t>Evidence backed</t>
        </is>
      </c>
    </row>
    <row r="12" ht="75" customHeight="1">
      <c r="A12" s="4" t="n">
        <v>8</v>
      </c>
      <c r="B12" s="4" t="inlineStr">
        <is>
          <t>Aison Co., Ltd.</t>
        </is>
      </c>
      <c r="C12" s="4" t="inlineStr">
        <is>
          <t>アイソン株式会社</t>
        </is>
      </c>
      <c r="D12" s="4" t="inlineStr">
        <is>
          <t>Not found (NTA lookup blocked; dedupe by Japanese name)</t>
        </is>
      </c>
      <c r="E12" s="4" t="inlineStr">
        <is>
          <t>Saitama</t>
        </is>
      </c>
      <c r="F12" s="4" t="inlineStr">
        <is>
          <t>Kanto</t>
        </is>
      </c>
      <c r="G12" s="5" t="inlineStr">
        <is>
          <t>https://aison.jp/</t>
        </is>
      </c>
      <c r="H12" s="4" t="inlineStr">
        <is>
          <t>Vet ultrasound MAH: NVAL notification 超音波画像診断装置 Vシリーズ (9 Jul 2024)</t>
        </is>
      </c>
      <c r="I12" s="4" t="inlineStr">
        <is>
          <t>Holds a vet ultrasound line (V series; origin brand not confirmed)</t>
        </is>
      </c>
      <c r="J12" s="4" t="inlineStr">
        <is>
          <t>Companion</t>
        </is>
      </c>
      <c r="K12" s="4" t="inlineStr">
        <is>
          <t>Kawaguchi, Saitama</t>
        </is>
      </c>
      <c r="L12" s="4" t="inlineStr">
        <is>
          <t>Not found</t>
        </is>
      </c>
      <c r="M12" s="4" t="inlineStr">
        <is>
          <t>n/a</t>
        </is>
      </c>
      <c r="N12" s="4" t="inlineStr">
        <is>
          <t>Not identified</t>
        </is>
      </c>
      <c r="O12" s="4" t="inlineStr">
        <is>
          <t>Not identified</t>
        </is>
      </c>
      <c r="P12" s="4" t="inlineStr">
        <is>
          <t>saito@aison.jp</t>
        </is>
      </c>
      <c r="Q12" s="4" t="inlineStr">
        <is>
          <t>048 299 3597</t>
        </is>
      </c>
      <c r="R12" s="4" t="inlineStr">
        <is>
          <t>Not identified</t>
        </is>
      </c>
      <c r="S12" s="4" t="inlineStr">
        <is>
          <t>Likely (third party listing); named staff address, may be old</t>
        </is>
      </c>
      <c r="T12" s="6">
        <f>SUM(Z12:AF12)</f>
        <v>23</v>
      </c>
      <c r="U12" s="7" t="inlineStr">
        <is>
          <t>V1</t>
        </is>
      </c>
      <c r="V12" s="4" t="inlineStr">
        <is>
          <t>One of the few MAHs that notified a vet ultrasound in 2024, so it knows the exact NVAL route CHISON needs. FLAG: Brand behind the V series not confirmed; check it is not SonoScape or Mindray exclusive.</t>
        </is>
      </c>
      <c r="W12" s="4" t="inlineStr">
        <is>
          <t>Ask whether they would add a second OEM source or act as MAH for CHISON vet SKUs.</t>
        </is>
      </c>
      <c r="X12" s="4" t="inlineStr">
        <is>
          <t>Not checked (human list not in v17)</t>
        </is>
      </c>
      <c r="Y12" s="4" t="inlineStr">
        <is>
          <t>https://www.vm.nval.go.jp/public/detail/19613 ; https://www.pmda.go.jp/PmdaSearch/kikiDetail/ResultDataSetPDF/112161_306ADBZX00058000_V_01_01 ; http://www.kawaguchicci.or.jp/plat/pl_disp_company_detail.cgi?company=2209</t>
        </is>
      </c>
      <c r="Z12" s="4" t="n">
        <v>5</v>
      </c>
      <c r="AA12" s="4" t="n">
        <v>5</v>
      </c>
      <c r="AB12" s="4" t="n">
        <v>2</v>
      </c>
      <c r="AC12" s="4" t="n">
        <v>3</v>
      </c>
      <c r="AD12" s="4" t="n">
        <v>1</v>
      </c>
      <c r="AE12" s="4" t="n">
        <v>3</v>
      </c>
      <c r="AF12" s="4" t="n">
        <v>4</v>
      </c>
      <c r="AG12" s="4" t="inlineStr">
        <is>
          <t>Evidence backed</t>
        </is>
      </c>
    </row>
    <row r="13" ht="75" customHeight="1">
      <c r="A13" s="4" t="n">
        <v>9</v>
      </c>
      <c r="B13" s="4" t="inlineStr">
        <is>
          <t>IDEXX Laboratories K.K.</t>
        </is>
      </c>
      <c r="C13" s="4" t="inlineStr">
        <is>
          <t>アイデックス ラボラトリーズ株式会社</t>
        </is>
      </c>
      <c r="D13" s="4" t="inlineStr">
        <is>
          <t>Not found (NTA lookup blocked; dedupe by Japanese name)</t>
        </is>
      </c>
      <c r="E13" s="4" t="inlineStr">
        <is>
          <t>Tokyo</t>
        </is>
      </c>
      <c r="F13" s="4" t="inlineStr">
        <is>
          <t>Kanto</t>
        </is>
      </c>
      <c r="G13" s="4" t="inlineStr">
        <is>
          <t>Not found</t>
        </is>
      </c>
      <c r="H13" s="4" t="inlineStr">
        <is>
          <t>Vet device MAH (NVAL: Catalyst Dx)</t>
        </is>
      </c>
      <c r="I13" s="4" t="inlineStr">
        <is>
          <t>Lab analysers; no ultrasound</t>
        </is>
      </c>
      <c r="J13" s="4" t="inlineStr">
        <is>
          <t>Companion</t>
        </is>
      </c>
      <c r="K13" s="4" t="inlineStr">
        <is>
          <t>National</t>
        </is>
      </c>
      <c r="L13" s="4" t="inlineStr">
        <is>
          <t>Large (IDEXX group)</t>
        </is>
      </c>
      <c r="M13" s="4" t="inlineStr">
        <is>
          <t>n/a</t>
        </is>
      </c>
      <c r="N13" s="4" t="inlineStr">
        <is>
          <t>Not identified</t>
        </is>
      </c>
      <c r="O13" s="4" t="inlineStr">
        <is>
          <t>Not identified</t>
        </is>
      </c>
      <c r="P13" s="4" t="inlineStr">
        <is>
          <t>Not published; inquiry form: https://www.idexx.co.jp/ja/about-idexx/contact-idexx/</t>
        </is>
      </c>
      <c r="Q13" s="4" t="inlineStr">
        <is>
          <t>0120 71 4921</t>
        </is>
      </c>
      <c r="R13" s="4" t="inlineStr">
        <is>
          <t>Not identified</t>
        </is>
      </c>
      <c r="S13" s="4" t="inlineStr">
        <is>
          <t>Company inquiry only (form)</t>
        </is>
      </c>
      <c r="T13" s="6">
        <f>SUM(Z13:AF13)</f>
        <v>23</v>
      </c>
      <c r="U13" s="7" t="inlineStr">
        <is>
          <t>V1</t>
        </is>
      </c>
      <c r="V13" s="4" t="inlineStr">
        <is>
          <t>Largest in clinic diagnostics vendor with direct hospital coverage; MAH capability. FLAG: Global corporate; partnering unlikely, keep as awareness.</t>
        </is>
      </c>
      <c r="W13" s="4" t="inlineStr">
        <is>
          <t>Long shot; useful for co promotion.</t>
        </is>
      </c>
      <c r="X13" s="4" t="inlineStr">
        <is>
          <t>Not checked (human list not in v17)</t>
        </is>
      </c>
      <c r="Y13" s="4" t="inlineStr">
        <is>
          <t>https://www.vm.nval.go.jp/public/detail/12549 ; https://www.idexx.co.jp/ja/about-idexx/contact-idexx/</t>
        </is>
      </c>
      <c r="Z13" s="4" t="n">
        <v>5</v>
      </c>
      <c r="AA13" s="4" t="n">
        <v>1</v>
      </c>
      <c r="AB13" s="4" t="n">
        <v>5</v>
      </c>
      <c r="AC13" s="4" t="n">
        <v>5</v>
      </c>
      <c r="AD13" s="4" t="n">
        <v>1</v>
      </c>
      <c r="AE13" s="4" t="n">
        <v>5</v>
      </c>
      <c r="AF13" s="4" t="n">
        <v>1</v>
      </c>
      <c r="AG13" s="4" t="inlineStr">
        <is>
          <t>Evidence backed</t>
        </is>
      </c>
    </row>
    <row r="14" ht="75" customHeight="1">
      <c r="A14" s="4" t="n">
        <v>10</v>
      </c>
      <c r="B14" s="4" t="inlineStr">
        <is>
          <t>Karl Storz Endoscopy Japan K.K.</t>
        </is>
      </c>
      <c r="C14" s="4" t="inlineStr">
        <is>
          <t>カールストルツ・エンドスコピー・ジャパン株式会社</t>
        </is>
      </c>
      <c r="D14" s="4" t="inlineStr">
        <is>
          <t>Not found (NTA lookup blocked; dedupe by Japanese name)</t>
        </is>
      </c>
      <c r="E14" s="4" t="inlineStr">
        <is>
          <t>Tokyo</t>
        </is>
      </c>
      <c r="F14" s="4" t="inlineStr">
        <is>
          <t>Kanto</t>
        </is>
      </c>
      <c r="G14" s="4" t="inlineStr">
        <is>
          <t>Not found</t>
        </is>
      </c>
      <c r="H14" s="4" t="inlineStr">
        <is>
          <t>Vet device MAH (NVAL listing)</t>
        </is>
      </c>
      <c r="I14" s="4" t="inlineStr">
        <is>
          <t>Endoscopy; no ultrasound in vet range</t>
        </is>
      </c>
      <c r="J14" s="4" t="inlineStr">
        <is>
          <t>Companion</t>
        </is>
      </c>
      <c r="K14" s="4" t="inlineStr">
        <is>
          <t>National</t>
        </is>
      </c>
      <c r="L14" s="4" t="inlineStr">
        <is>
          <t>Large (Karl Storz group)</t>
        </is>
      </c>
      <c r="M14" s="4" t="inlineStr">
        <is>
          <t>n/a</t>
        </is>
      </c>
      <c r="N14" s="4" t="inlineStr">
        <is>
          <t>Not identified</t>
        </is>
      </c>
      <c r="O14" s="4" t="inlineStr">
        <is>
          <t>Not identified</t>
        </is>
      </c>
      <c r="P14" s="4" t="inlineStr">
        <is>
          <t>Not published; phone only</t>
        </is>
      </c>
      <c r="Q14" s="4" t="inlineStr">
        <is>
          <t>Not found</t>
        </is>
      </c>
      <c r="R14" s="4" t="inlineStr">
        <is>
          <t>Not identified</t>
        </is>
      </c>
      <c r="S14" s="4" t="inlineStr">
        <is>
          <t>Unverified (no contact found in search)</t>
        </is>
      </c>
      <c r="T14" s="6">
        <f>SUM(Z14:AF14)</f>
        <v>23</v>
      </c>
      <c r="U14" s="7" t="inlineStr">
        <is>
          <t>V1</t>
        </is>
      </c>
      <c r="V14" s="4" t="inlineStr">
        <is>
          <t>Holds vet device notifications and serves referral hospitals with endoscopy; imaging service engineers.</t>
        </is>
      </c>
      <c r="W14" s="4" t="inlineStr">
        <is>
          <t>Referral centre co marketing; low probability of distribution but useful KOL access.</t>
        </is>
      </c>
      <c r="X14" s="4" t="inlineStr">
        <is>
          <t>Not checked (human list not in v17)</t>
        </is>
      </c>
      <c r="Y14" s="4" t="inlineStr">
        <is>
          <t>https://www.vm.nval.go.jp/public/detail/6770</t>
        </is>
      </c>
      <c r="Z14" s="4" t="n">
        <v>5</v>
      </c>
      <c r="AA14" s="4" t="n">
        <v>3</v>
      </c>
      <c r="AB14" s="4" t="n">
        <v>4</v>
      </c>
      <c r="AC14" s="4" t="n">
        <v>3</v>
      </c>
      <c r="AD14" s="4" t="n">
        <v>1</v>
      </c>
      <c r="AE14" s="4" t="n">
        <v>5</v>
      </c>
      <c r="AF14" s="4" t="n">
        <v>2</v>
      </c>
      <c r="AG14" s="4" t="inlineStr">
        <is>
          <t>Evidence backed</t>
        </is>
      </c>
    </row>
    <row r="15" ht="75" customHeight="1">
      <c r="A15" s="4" t="n">
        <v>11</v>
      </c>
      <c r="B15" s="4" t="inlineStr">
        <is>
          <t>Metran Co., Ltd.</t>
        </is>
      </c>
      <c r="C15" s="4" t="inlineStr">
        <is>
          <t>株式会社メトラン</t>
        </is>
      </c>
      <c r="D15" s="4" t="inlineStr">
        <is>
          <t>Not found (NTA lookup blocked; dedupe by Japanese name)</t>
        </is>
      </c>
      <c r="E15" s="4" t="inlineStr">
        <is>
          <t>Saitama</t>
        </is>
      </c>
      <c r="F15" s="4" t="inlineStr">
        <is>
          <t>Kanto</t>
        </is>
      </c>
      <c r="G15" s="5" t="inlineStr">
        <is>
          <t>https://www.metran.co.jp/</t>
        </is>
      </c>
      <c r="H15" s="4" t="inlineStr">
        <is>
          <t>Vet device MAH (NVAL: BM7Vet Pro monitor, 2020)</t>
        </is>
      </c>
      <c r="I15" s="4" t="inlineStr">
        <is>
          <t>Own ventilators and monitors; no ultrasound</t>
        </is>
      </c>
      <c r="J15" s="4" t="inlineStr">
        <is>
          <t>Companion</t>
        </is>
      </c>
      <c r="K15" s="4" t="inlineStr">
        <is>
          <t>National via vet dealers</t>
        </is>
      </c>
      <c r="L15" s="4" t="inlineStr">
        <is>
          <t>Not found</t>
        </is>
      </c>
      <c r="M15" s="4" t="inlineStr">
        <is>
          <t>n/a</t>
        </is>
      </c>
      <c r="N15" s="4" t="inlineStr">
        <is>
          <t>Not identified</t>
        </is>
      </c>
      <c r="O15" s="4" t="inlineStr">
        <is>
          <t>Not identified</t>
        </is>
      </c>
      <c r="P15" s="4" t="inlineStr">
        <is>
          <t>support@metran.co.jp</t>
        </is>
      </c>
      <c r="Q15" s="4" t="inlineStr">
        <is>
          <t>048 242 0333</t>
        </is>
      </c>
      <c r="R15" s="4" t="inlineStr">
        <is>
          <t>Not identified</t>
        </is>
      </c>
      <c r="S15" s="4" t="inlineStr">
        <is>
          <t>Verified (published on own site, read via search)</t>
        </is>
      </c>
      <c r="T15" s="6">
        <f>SUM(Z15:AF15)</f>
        <v>23</v>
      </c>
      <c r="U15" s="7" t="inlineStr">
        <is>
          <t>V1</t>
        </is>
      </c>
      <c r="V15" s="4" t="inlineStr">
        <is>
          <t>Vet ventilator pioneer (since 1984) that already notifies vet devices with NVAL and imports monitors; natural MAH partner for ICU and anaesthesia adjacent imaging.</t>
        </is>
      </c>
      <c r="W15" s="4" t="inlineStr">
        <is>
          <t>Propose a peri operative point of care ultrasound bundle with their Compos X ventilator.</t>
        </is>
      </c>
      <c r="X15" s="4" t="inlineStr">
        <is>
          <t>Not checked (human list not in v17)</t>
        </is>
      </c>
      <c r="Y15" s="4" t="inlineStr">
        <is>
          <t>https://www.vm.nval.go.jp/public/detail/18306 ; https://medical-space.co.jp/products/3096/ ; https://www.metran.co.jp/links</t>
        </is>
      </c>
      <c r="Z15" s="4" t="n">
        <v>5</v>
      </c>
      <c r="AA15" s="4" t="n">
        <v>1</v>
      </c>
      <c r="AB15" s="4" t="n">
        <v>5</v>
      </c>
      <c r="AC15" s="4" t="n">
        <v>4</v>
      </c>
      <c r="AD15" s="4" t="n">
        <v>1</v>
      </c>
      <c r="AE15" s="4" t="n">
        <v>4</v>
      </c>
      <c r="AF15" s="4" t="n">
        <v>3</v>
      </c>
      <c r="AG15" s="4" t="inlineStr">
        <is>
          <t>Evidence backed</t>
        </is>
      </c>
    </row>
    <row r="16" ht="75" customHeight="1">
      <c r="A16" s="4" t="n">
        <v>12</v>
      </c>
      <c r="B16" s="4" t="inlineStr">
        <is>
          <t>RayVision Co., Ltd.</t>
        </is>
      </c>
      <c r="C16" s="4" t="inlineStr">
        <is>
          <t>株式会社RayVision</t>
        </is>
      </c>
      <c r="D16" s="4" t="inlineStr">
        <is>
          <t>Not found (NTA lookup blocked; dedupe by Japanese name)</t>
        </is>
      </c>
      <c r="E16" s="4" t="inlineStr">
        <is>
          <t>Saitama</t>
        </is>
      </c>
      <c r="F16" s="4" t="inlineStr">
        <is>
          <t>Kanto</t>
        </is>
      </c>
      <c r="G16" s="5" t="inlineStr">
        <is>
          <t>https://rayvision.co.jp/</t>
        </is>
      </c>
      <c r="H16" s="4" t="inlineStr">
        <is>
          <t>Vet flat panel detector maker and seller (vet device notification implied)</t>
        </is>
      </c>
      <c r="I16" s="4" t="inlineStr">
        <is>
          <t>Own vet DR; no ultrasound</t>
        </is>
      </c>
      <c r="J16" s="4" t="inlineStr">
        <is>
          <t>Companion</t>
        </is>
      </c>
      <c r="K16" s="4" t="inlineStr">
        <is>
          <t>Saitama; national via Medical Space and others</t>
        </is>
      </c>
      <c r="L16" s="4" t="inlineStr">
        <is>
          <t>Not found</t>
        </is>
      </c>
      <c r="M16" s="4" t="inlineStr">
        <is>
          <t>n/a</t>
        </is>
      </c>
      <c r="N16" s="4" t="inlineStr">
        <is>
          <t>Not identified</t>
        </is>
      </c>
      <c r="O16" s="4" t="inlineStr">
        <is>
          <t>Not identified</t>
        </is>
      </c>
      <c r="P16" s="4" t="inlineStr">
        <is>
          <t>Not published; inquiry form: https://rayvision.co.jp/contact/</t>
        </is>
      </c>
      <c r="Q16" s="4" t="inlineStr">
        <is>
          <t>048 657 2601</t>
        </is>
      </c>
      <c r="R16" s="4" t="inlineStr">
        <is>
          <t>Not identified</t>
        </is>
      </c>
      <c r="S16" s="4" t="inlineStr">
        <is>
          <t>Company inquiry only (form)</t>
        </is>
      </c>
      <c r="T16" s="6">
        <f>SUM(Z16:AF16)</f>
        <v>23</v>
      </c>
      <c r="U16" s="7" t="inlineStr">
        <is>
          <t>V1</t>
        </is>
      </c>
      <c r="V16" s="4" t="inlineStr">
        <is>
          <t>Vet specific DR maker with maintenance support; imaging buyers are the same clinics.</t>
        </is>
      </c>
      <c r="W16" s="4" t="inlineStr">
        <is>
          <t>Cross sell: DR plus ultrasound package for new clinics.</t>
        </is>
      </c>
      <c r="X16" s="4" t="inlineStr">
        <is>
          <t>Not checked (human list not in v17)</t>
        </is>
      </c>
      <c r="Y16" s="4" t="inlineStr">
        <is>
          <t>https://rayvision.co.jp/ ; https://medical-space.co.jp/products/9109/ ; https://rayvision.co.jp/contact/</t>
        </is>
      </c>
      <c r="Z16" s="4" t="n">
        <v>4</v>
      </c>
      <c r="AA16" s="4" t="n">
        <v>3</v>
      </c>
      <c r="AB16" s="4" t="n">
        <v>5</v>
      </c>
      <c r="AC16" s="4" t="n">
        <v>4</v>
      </c>
      <c r="AD16" s="4" t="n">
        <v>1</v>
      </c>
      <c r="AE16" s="4" t="n">
        <v>3</v>
      </c>
      <c r="AF16" s="4" t="n">
        <v>3</v>
      </c>
      <c r="AG16" s="4" t="inlineStr">
        <is>
          <t>Evidence backed</t>
        </is>
      </c>
    </row>
    <row r="17" ht="75" customHeight="1">
      <c r="A17" s="4" t="n">
        <v>13</v>
      </c>
      <c r="B17" s="4" t="inlineStr">
        <is>
          <t>TOP Corporation (Veterinary Division)</t>
        </is>
      </c>
      <c r="C17" s="4" t="inlineStr">
        <is>
          <t>株式会社トップ</t>
        </is>
      </c>
      <c r="D17" s="4" t="inlineStr">
        <is>
          <t>Not found (NTA lookup blocked; dedupe by Japanese name)</t>
        </is>
      </c>
      <c r="E17" s="4" t="inlineStr">
        <is>
          <t>Tokyo</t>
        </is>
      </c>
      <c r="F17" s="4" t="inlineStr">
        <is>
          <t>Kanto</t>
        </is>
      </c>
      <c r="G17" s="5" t="inlineStr">
        <is>
          <t>https://www.top-tokyo.co.jp/products/veterinary/</t>
        </is>
      </c>
      <c r="H17" s="4" t="inlineStr">
        <is>
          <t>Vet device MAH: NVAL lists TOP vet infusion and syringe pumps (TOP250V, TOP230V, TOP551V, TOPS50V)</t>
        </is>
      </c>
      <c r="I17" s="4" t="inlineStr">
        <is>
          <t>Own pumps and disposables; no ultrasound</t>
        </is>
      </c>
      <c r="J17" s="4" t="inlineStr">
        <is>
          <t>Both</t>
        </is>
      </c>
      <c r="K17" s="4" t="inlineStr">
        <is>
          <t>National; sales offices incl. Nagoya, Osaka, Fukuoka</t>
        </is>
      </c>
      <c r="L17" s="4" t="inlineStr">
        <is>
          <t>Not found</t>
        </is>
      </c>
      <c r="M17" s="4" t="inlineStr">
        <is>
          <t>n/a</t>
        </is>
      </c>
      <c r="N17" s="4" t="inlineStr">
        <is>
          <t>Not identified</t>
        </is>
      </c>
      <c r="O17" s="4" t="inlineStr">
        <is>
          <t>Not identified</t>
        </is>
      </c>
      <c r="P17" s="4" t="inlineStr">
        <is>
          <t>Not published; inquiry form: https://www.top-tokyo.co.jp/contact/</t>
        </is>
      </c>
      <c r="Q17" s="4" t="inlineStr">
        <is>
          <t>03 3811 8231 (vet dept, Broadcare division)</t>
        </is>
      </c>
      <c r="R17" s="4" t="inlineStr">
        <is>
          <t>Not identified</t>
        </is>
      </c>
      <c r="S17" s="4" t="inlineStr">
        <is>
          <t>Company inquiry only (form)</t>
        </is>
      </c>
      <c r="T17" s="6">
        <f>SUM(Z17:AF17)</f>
        <v>23</v>
      </c>
      <c r="U17" s="7" t="inlineStr">
        <is>
          <t>V1</t>
        </is>
      </c>
      <c r="V17" s="4" t="inlineStr">
        <is>
          <t>Human device maker with a dedicated vet division since 2002 and several MAFF approved vet pumps; national sales footprint into animal hospitals.</t>
        </is>
      </c>
      <c r="W17" s="4" t="inlineStr">
        <is>
          <t>Offer a point of care ultrasound to sit beside their infusion pumps in ICU and surgery.</t>
        </is>
      </c>
      <c r="X17" s="4" t="inlineStr">
        <is>
          <t>Not checked (human list not in v17)</t>
        </is>
      </c>
      <c r="Y17" s="4" t="inlineStr">
        <is>
          <t>https://www.top-tokyo.co.jp/products/veterinary/ ; https://www.vm.nval.go.jp/public/detail/19372 ; https://news.jprpet.com/company/list/175/ ; https://www.top-tokyo.co.jp/contact/</t>
        </is>
      </c>
      <c r="Z17" s="4" t="n">
        <v>5</v>
      </c>
      <c r="AA17" s="4" t="n">
        <v>1</v>
      </c>
      <c r="AB17" s="4" t="n">
        <v>5</v>
      </c>
      <c r="AC17" s="4" t="n">
        <v>4</v>
      </c>
      <c r="AD17" s="4" t="n">
        <v>2</v>
      </c>
      <c r="AE17" s="4" t="n">
        <v>4</v>
      </c>
      <c r="AF17" s="4" t="n">
        <v>2</v>
      </c>
      <c r="AG17" s="4" t="inlineStr">
        <is>
          <t>Evidence backed</t>
        </is>
      </c>
    </row>
    <row r="18" ht="75" customHeight="1">
      <c r="A18" s="4" t="n">
        <v>14</v>
      </c>
      <c r="B18" s="4" t="inlineStr">
        <is>
          <t>Asahi Intecc Co., Ltd. (Companion Animal Devices)</t>
        </is>
      </c>
      <c r="C18" s="4" t="inlineStr">
        <is>
          <t>朝日インテック株式会社 (伴侶動物医療機器事業)</t>
        </is>
      </c>
      <c r="D18" s="4" t="inlineStr">
        <is>
          <t>Not found (NTA lookup blocked; dedupe by Japanese name)</t>
        </is>
      </c>
      <c r="E18" s="4" t="inlineStr">
        <is>
          <t>Aichi</t>
        </is>
      </c>
      <c r="F18" s="4" t="inlineStr">
        <is>
          <t>Chubu</t>
        </is>
      </c>
      <c r="G18" s="5" t="inlineStr">
        <is>
          <t>https://www.asahi-intecc-vet.com/</t>
        </is>
      </c>
      <c r="H18" s="4" t="inlineStr">
        <is>
          <t>Human device MAH; runs a companion animal device business (job ad, Shinagawa)</t>
        </is>
      </c>
      <c r="I18" s="4" t="inlineStr">
        <is>
          <t>Catheters and guidewires; no ultrasound</t>
        </is>
      </c>
      <c r="J18" s="4" t="inlineStr">
        <is>
          <t>Companion</t>
        </is>
      </c>
      <c r="K18" s="4" t="inlineStr">
        <is>
          <t>National</t>
        </is>
      </c>
      <c r="L18" s="4" t="inlineStr">
        <is>
          <t>Listed company</t>
        </is>
      </c>
      <c r="M18" s="4" t="inlineStr">
        <is>
          <t>n/a</t>
        </is>
      </c>
      <c r="N18" s="4" t="inlineStr">
        <is>
          <t>Not identified</t>
        </is>
      </c>
      <c r="O18" s="4" t="inlineStr">
        <is>
          <t>Not identified</t>
        </is>
      </c>
      <c r="P18" s="4" t="inlineStr">
        <is>
          <t>Not published; inquiry form: https://www.asahi-intecc.co.jp/contact/vet</t>
        </is>
      </c>
      <c r="Q18" s="4" t="inlineStr">
        <is>
          <t>+81 561 48 5551</t>
        </is>
      </c>
      <c r="R18" s="4" t="inlineStr">
        <is>
          <t>Not identified</t>
        </is>
      </c>
      <c r="S18" s="4" t="inlineStr">
        <is>
          <t>Company inquiry only (form); dedicated vet inquiry form</t>
        </is>
      </c>
      <c r="T18" s="6">
        <f>SUM(Z18:AF18)</f>
        <v>22</v>
      </c>
      <c r="U18" s="7" t="inlineStr">
        <is>
          <t>V1</t>
        </is>
      </c>
      <c r="V18" s="4" t="inlineStr">
        <is>
          <t>Interventional device major building a companion animal business; interventional work needs ultrasound guidance. FLAG: Vet business evidence from a job ad only.</t>
        </is>
      </c>
      <c r="W18" s="4" t="inlineStr">
        <is>
          <t>Ultrasound guided intervention demo with their vet catheters.</t>
        </is>
      </c>
      <c r="X18" s="4" t="inlineStr">
        <is>
          <t>Not checked (human list not in v17)</t>
        </is>
      </c>
      <c r="Y18" s="4" t="inlineStr">
        <is>
          <t>https://www.rdsupport-tenshoku.jp/search/JOB40843 ; https://www.asahi-intecc.co.jp/contact/vet</t>
        </is>
      </c>
      <c r="Z18" s="4" t="n">
        <v>5</v>
      </c>
      <c r="AA18" s="4" t="n">
        <v>2</v>
      </c>
      <c r="AB18" s="4" t="n">
        <v>5</v>
      </c>
      <c r="AC18" s="4" t="n">
        <v>3</v>
      </c>
      <c r="AD18" s="4" t="n">
        <v>1</v>
      </c>
      <c r="AE18" s="4" t="n">
        <v>4</v>
      </c>
      <c r="AF18" s="4" t="n">
        <v>2</v>
      </c>
      <c r="AG18" s="4" t="inlineStr">
        <is>
          <t>Evidence backed</t>
        </is>
      </c>
    </row>
    <row r="19" ht="75" customHeight="1">
      <c r="A19" s="4" t="n">
        <v>15</v>
      </c>
      <c r="B19" s="4" t="inlineStr">
        <is>
          <t>HORIBA, Ltd. (Veterinary)</t>
        </is>
      </c>
      <c r="C19" s="4" t="inlineStr">
        <is>
          <t>株式会社堀場製作所</t>
        </is>
      </c>
      <c r="D19" s="4" t="inlineStr">
        <is>
          <t>Not found (NTA lookup blocked; dedupe by Japanese name)</t>
        </is>
      </c>
      <c r="E19" s="4" t="inlineStr">
        <is>
          <t>Kyoto</t>
        </is>
      </c>
      <c r="F19" s="4" t="inlineStr">
        <is>
          <t>Kansai</t>
        </is>
      </c>
      <c r="G19" s="5" t="inlineStr">
        <is>
          <t>https://www.horiba.com/jpn/medical/</t>
        </is>
      </c>
      <c r="H19" s="4" t="inlineStr">
        <is>
          <t>Vet device MAH (NVAL: Microsemi LC712 notification 23 Oct 2024)</t>
        </is>
      </c>
      <c r="I19" s="4" t="inlineStr">
        <is>
          <t>Vet haematology; no ultrasound</t>
        </is>
      </c>
      <c r="J19" s="4" t="inlineStr">
        <is>
          <t>Companion</t>
        </is>
      </c>
      <c r="K19" s="4" t="inlineStr">
        <is>
          <t>National</t>
        </is>
      </c>
      <c r="L19" s="4" t="inlineStr">
        <is>
          <t>Large</t>
        </is>
      </c>
      <c r="M19" s="4" t="inlineStr">
        <is>
          <t>n/a</t>
        </is>
      </c>
      <c r="N19" s="4" t="inlineStr">
        <is>
          <t>Not identified</t>
        </is>
      </c>
      <c r="O19" s="4" t="inlineStr">
        <is>
          <t>Not identified</t>
        </is>
      </c>
      <c r="P19" s="4" t="inlineStr">
        <is>
          <t>Not published; inquiry form: https://www.horiba.com/jpn/company/news/detail/news/1/2024/microsemi-lc-712-release/</t>
        </is>
      </c>
      <c r="Q19" s="4" t="inlineStr">
        <is>
          <t>Not found (use site)</t>
        </is>
      </c>
      <c r="R19" s="4" t="inlineStr">
        <is>
          <t>Not identified</t>
        </is>
      </c>
      <c r="S19" s="4" t="inlineStr">
        <is>
          <t>Company inquiry only (form on HORIBA site)</t>
        </is>
      </c>
      <c r="T19" s="6">
        <f>SUM(Z19:AF19)</f>
        <v>22</v>
      </c>
      <c r="U19" s="7" t="inlineStr">
        <is>
          <t>V1</t>
        </is>
      </c>
      <c r="V19" s="4" t="inlineStr">
        <is>
          <t>Freshly notified a vet haematology analyser and exhibits at JBVP; growing vet channel.</t>
        </is>
      </c>
      <c r="W19" s="4" t="inlineStr">
        <is>
          <t>Diagnostics bundle partner; ask who their vet dealers are.</t>
        </is>
      </c>
      <c r="X19" s="4" t="inlineStr">
        <is>
          <t>Not checked (human list not in v17)</t>
        </is>
      </c>
      <c r="Y19" s="4" t="inlineStr">
        <is>
          <t>https://www.vm.nval.go.jp/public/detail/19457 ; https://www.horiba.com/jpn/medical/news/events/detail/news/9/2025/%E6%97%A5%E6%9C%AC%E8%87%A8%E5%BA%8A%E7%8D%A3%E5%8C%BB%E5%AD%A6%E3%83%95%E3%82%A9%E3%83%BC%E3%83%A9%E3%83%A0jbvp%E5%B9%B4%E6%AC%A1%E5%A4%A7%E4%BC%9A/ ; https://www.horiba.com/jpn/company/news/detail/news/1/2024/microsemi-lc-712-release/</t>
        </is>
      </c>
      <c r="Z19" s="4" t="n">
        <v>5</v>
      </c>
      <c r="AA19" s="4" t="n">
        <v>1</v>
      </c>
      <c r="AB19" s="4" t="n">
        <v>5</v>
      </c>
      <c r="AC19" s="4" t="n">
        <v>4</v>
      </c>
      <c r="AD19" s="4" t="n">
        <v>1</v>
      </c>
      <c r="AE19" s="4" t="n">
        <v>4</v>
      </c>
      <c r="AF19" s="4" t="n">
        <v>2</v>
      </c>
      <c r="AG19" s="4" t="inlineStr">
        <is>
          <t>Evidence backed</t>
        </is>
      </c>
    </row>
    <row r="20" ht="75" customHeight="1">
      <c r="A20" s="4" t="n">
        <v>16</v>
      </c>
      <c r="B20" s="4" t="inlineStr">
        <is>
          <t>Shimadzu Corporation (Veterinary X ray)</t>
        </is>
      </c>
      <c r="C20" s="4" t="inlineStr">
        <is>
          <t>株式会社島津製作所</t>
        </is>
      </c>
      <c r="D20" s="4" t="inlineStr">
        <is>
          <t>Not found (NTA lookup blocked; dedupe by Japanese name)</t>
        </is>
      </c>
      <c r="E20" s="4" t="inlineStr">
        <is>
          <t>Kyoto</t>
        </is>
      </c>
      <c r="F20" s="4" t="inlineStr">
        <is>
          <t>Kansai</t>
        </is>
      </c>
      <c r="G20" s="4" t="inlineStr">
        <is>
          <t>Not found</t>
        </is>
      </c>
      <c r="H20" s="4" t="inlineStr">
        <is>
          <t>Small animal X ray system on market (via Medical Space)</t>
        </is>
      </c>
      <c r="I20" s="4" t="inlineStr">
        <is>
          <t>X ray; no vet ultrasound</t>
        </is>
      </c>
      <c r="J20" s="4" t="inlineStr">
        <is>
          <t>Companion</t>
        </is>
      </c>
      <c r="K20" s="4" t="inlineStr">
        <is>
          <t>National</t>
        </is>
      </c>
      <c r="L20" s="4" t="inlineStr">
        <is>
          <t>Large</t>
        </is>
      </c>
      <c r="M20" s="4" t="inlineStr">
        <is>
          <t>n/a</t>
        </is>
      </c>
      <c r="N20" s="4" t="inlineStr">
        <is>
          <t>Not identified</t>
        </is>
      </c>
      <c r="O20" s="4" t="inlineStr">
        <is>
          <t>Not identified</t>
        </is>
      </c>
      <c r="P20" s="4" t="inlineStr">
        <is>
          <t>Not published; phone only</t>
        </is>
      </c>
      <c r="Q20" s="4" t="inlineStr">
        <is>
          <t>0120 524 333 (Shimadzu Medical Systems support)</t>
        </is>
      </c>
      <c r="R20" s="4" t="inlineStr">
        <is>
          <t>Not identified</t>
        </is>
      </c>
      <c r="S20" s="4" t="inlineStr">
        <is>
          <t>Company inquiry only (phone)</t>
        </is>
      </c>
      <c r="T20" s="6">
        <f>SUM(Z20:AF20)</f>
        <v>22</v>
      </c>
      <c r="U20" s="7" t="inlineStr">
        <is>
          <t>V1</t>
        </is>
      </c>
      <c r="V20" s="4" t="inlineStr">
        <is>
          <t>Imaging major with a small animal X ray system and national service.</t>
        </is>
      </c>
      <c r="W20" s="4" t="inlineStr">
        <is>
          <t>Imaging suite partnership; low probability.</t>
        </is>
      </c>
      <c r="X20" s="4" t="inlineStr">
        <is>
          <t>Not checked (human list not in v17)</t>
        </is>
      </c>
      <c r="Y20" s="4" t="inlineStr">
        <is>
          <t>https://medical-space.co.jp/products/manufacturer/%E5%B3%B6%E6%B4%A5%E8%A3%BD%E4%BD%9C%E6%89%80/ ; https://www.med.shimadzu.co.jp/network/</t>
        </is>
      </c>
      <c r="Z20" s="4" t="n">
        <v>4</v>
      </c>
      <c r="AA20" s="4" t="n">
        <v>3</v>
      </c>
      <c r="AB20" s="4" t="n">
        <v>5</v>
      </c>
      <c r="AC20" s="4" t="n">
        <v>3</v>
      </c>
      <c r="AD20" s="4" t="n">
        <v>1</v>
      </c>
      <c r="AE20" s="4" t="n">
        <v>5</v>
      </c>
      <c r="AF20" s="4" t="n">
        <v>1</v>
      </c>
      <c r="AG20" s="4" t="inlineStr">
        <is>
          <t>Evidence backed</t>
        </is>
      </c>
    </row>
    <row r="21" ht="75" customHeight="1">
      <c r="A21" s="4" t="n">
        <v>17</v>
      </c>
      <c r="B21" s="4" t="inlineStr">
        <is>
          <t>Meiji Animal Health Co., Ltd.</t>
        </is>
      </c>
      <c r="C21" s="4" t="inlineStr">
        <is>
          <t>明治アニマルヘルス株式会社</t>
        </is>
      </c>
      <c r="D21" s="4" t="inlineStr">
        <is>
          <t>Not found (NTA lookup blocked; dedupe by Japanese name)</t>
        </is>
      </c>
      <c r="E21" s="4" t="inlineStr">
        <is>
          <t>Kumamoto</t>
        </is>
      </c>
      <c r="F21" s="4" t="inlineStr">
        <is>
          <t>Kyushu and Okinawa</t>
        </is>
      </c>
      <c r="G21" s="5" t="inlineStr">
        <is>
          <t>https://www.vet.meiji.com</t>
        </is>
      </c>
      <c r="H21" s="4" t="inlineStr">
        <is>
          <t>第三種動物用医療機器製造販売業許可 plus vet drug MAH (listed on company outline)</t>
        </is>
      </c>
      <c r="I21" s="4" t="inlineStr">
        <is>
          <t>Vet vaccines and drugs; no ultrasound line identified</t>
        </is>
      </c>
      <c r="J21" s="4" t="inlineStr">
        <is>
          <t>Both</t>
        </is>
      </c>
      <c r="K21" s="4" t="inlineStr">
        <is>
          <t>National; HQ Kumamoto</t>
        </is>
      </c>
      <c r="L21" s="4" t="inlineStr">
        <is>
          <t>Founded 2022 (Meiji group vet arm); headcount on site</t>
        </is>
      </c>
      <c r="M21" s="4" t="inlineStr">
        <is>
          <t>n/a</t>
        </is>
      </c>
      <c r="N21" s="4" t="inlineStr">
        <is>
          <t>Not identified</t>
        </is>
      </c>
      <c r="O21" s="4" t="inlineStr">
        <is>
          <t>Not identified</t>
        </is>
      </c>
      <c r="P21" s="4" t="inlineStr">
        <is>
          <t>Not published; inquiry form: https://www.vet.meiji.com</t>
        </is>
      </c>
      <c r="Q21" s="4" t="inlineStr">
        <is>
          <t>096 344 8127; sales 03 4332 1620</t>
        </is>
      </c>
      <c r="R21" s="4" t="inlineStr">
        <is>
          <t>Not identified</t>
        </is>
      </c>
      <c r="S21" s="4" t="inlineStr">
        <is>
          <t>Company inquiry only (form); only privacy@vet.meiji.com published, not a sales address</t>
        </is>
      </c>
      <c r="T21" s="6">
        <f>SUM(Z21:AF21)</f>
        <v>22</v>
      </c>
      <c r="U21" s="7" t="inlineStr">
        <is>
          <t>V1</t>
        </is>
      </c>
      <c r="V21" s="4" t="inlineStr">
        <is>
          <t>Kyushu based animal health maker with a device MAH licence and a national livestock and companion sales force; strong bovine and swine relationships in Kyushu.</t>
        </is>
      </c>
      <c r="W21" s="4" t="inlineStr">
        <is>
          <t>Position a livestock repro portable (EBit series) as a device add on to their bovine vaccine calls.</t>
        </is>
      </c>
      <c r="X21" s="4" t="inlineStr">
        <is>
          <t>Not checked (human list not in v17)</t>
        </is>
      </c>
      <c r="Y21" s="4" t="inlineStr">
        <is>
          <t>https://www.vet.meiji.com/corporate/outline.html ; https://www.vet.meiji.com</t>
        </is>
      </c>
      <c r="Z21" s="4" t="n">
        <v>4</v>
      </c>
      <c r="AA21" s="4" t="n">
        <v>1</v>
      </c>
      <c r="AB21" s="4" t="n">
        <v>5</v>
      </c>
      <c r="AC21" s="4" t="n">
        <v>3</v>
      </c>
      <c r="AD21" s="4" t="n">
        <v>5</v>
      </c>
      <c r="AE21" s="4" t="n">
        <v>2</v>
      </c>
      <c r="AF21" s="4" t="n">
        <v>2</v>
      </c>
      <c r="AG21" s="4" t="inlineStr">
        <is>
          <t>Evidence backed</t>
        </is>
      </c>
    </row>
    <row r="22" ht="75" customHeight="1">
      <c r="A22" s="4" t="n">
        <v>18</v>
      </c>
      <c r="B22" s="4" t="inlineStr">
        <is>
          <t>Yasui Co., Ltd.</t>
        </is>
      </c>
      <c r="C22" s="4" t="inlineStr">
        <is>
          <t>安井株式会社</t>
        </is>
      </c>
      <c r="D22" s="4" t="inlineStr">
        <is>
          <t>Not found (NTA lookup blocked; dedupe by Japanese name)</t>
        </is>
      </c>
      <c r="E22" s="4" t="inlineStr">
        <is>
          <t>Miyazaki</t>
        </is>
      </c>
      <c r="F22" s="4" t="inlineStr">
        <is>
          <t>Kyushu and Okinawa</t>
        </is>
      </c>
      <c r="G22" s="5" t="inlineStr">
        <is>
          <t>https://www.yasui-kk.co.jp</t>
        </is>
      </c>
      <c r="H22" s="4" t="inlineStr">
        <is>
          <t>第二種動物用医療機器製造販売業許可 (obtained 16 Apr 2020); 第二種医療機器製造販売業</t>
        </is>
      </c>
      <c r="I22" s="4" t="inlineStr">
        <is>
          <t>Own medical disposables; no ultrasound line</t>
        </is>
      </c>
      <c r="J22" s="4" t="inlineStr">
        <is>
          <t>Both</t>
        </is>
      </c>
      <c r="K22" s="4" t="inlineStr">
        <is>
          <t>HQ Kadogawa, Miyazaki; offices Tokyo, Fukuoka, Kagoshima, Nichinan</t>
        </is>
      </c>
      <c r="L22" s="4" t="inlineStr">
        <is>
          <t>Not found</t>
        </is>
      </c>
      <c r="M22" s="4" t="inlineStr">
        <is>
          <t>n/a</t>
        </is>
      </c>
      <c r="N22" s="4" t="inlineStr">
        <is>
          <t>Not identified</t>
        </is>
      </c>
      <c r="O22" s="4" t="inlineStr">
        <is>
          <t>Not identified</t>
        </is>
      </c>
      <c r="P22" s="4" t="inlineStr">
        <is>
          <t>yasui@yasui-kk.co.jp</t>
        </is>
      </c>
      <c r="Q22" s="4" t="inlineStr">
        <is>
          <t>0982 63 7111</t>
        </is>
      </c>
      <c r="R22" s="4" t="inlineStr">
        <is>
          <t>Not identified</t>
        </is>
      </c>
      <c r="S22" s="4" t="inlineStr">
        <is>
          <t>Likely (third party listing)</t>
        </is>
      </c>
      <c r="T22" s="6">
        <f>SUM(Z22:AF22)</f>
        <v>22</v>
      </c>
      <c r="U22" s="7" t="inlineStr">
        <is>
          <t>V1</t>
        </is>
      </c>
      <c r="V22" s="4" t="inlineStr">
        <is>
          <t>Kyushu manufacturer that went out of its way to obtain a vet device MAH licence in 2020, so it already understands the NVAL notification route.</t>
        </is>
      </c>
      <c r="W22" s="4" t="inlineStr">
        <is>
          <t>Explore MAH service for CHISON vet notifications, using their Kyushu offices for livestock territory.</t>
        </is>
      </c>
      <c r="X22" s="4" t="inlineStr">
        <is>
          <t>Not checked (human list not in v17)</t>
        </is>
      </c>
      <c r="Y22" s="4" t="inlineStr">
        <is>
          <t>https://www.yasui-kk.co.jp/medical-news/2721/ ; https://www.pref.miyazaki.lg.jp/documents/57538/57538_20230421133605-1.pdf ; https://hamiq.koic.or.jp/introduction/detail.php?num=2359 ; https://www.yasui-kk.co.jp/medical/</t>
        </is>
      </c>
      <c r="Z22" s="4" t="n">
        <v>5</v>
      </c>
      <c r="AA22" s="4" t="n">
        <v>1</v>
      </c>
      <c r="AB22" s="4" t="n">
        <v>5</v>
      </c>
      <c r="AC22" s="4" t="n">
        <v>2</v>
      </c>
      <c r="AD22" s="4" t="n">
        <v>3</v>
      </c>
      <c r="AE22" s="4" t="n">
        <v>3</v>
      </c>
      <c r="AF22" s="4" t="n">
        <v>3</v>
      </c>
      <c r="AG22" s="4" t="inlineStr">
        <is>
          <t>Evidence backed</t>
        </is>
      </c>
    </row>
    <row r="23" ht="75" customHeight="1">
      <c r="A23" s="4" t="n">
        <v>19</v>
      </c>
      <c r="B23" s="4" t="inlineStr">
        <is>
          <t>A&amp;D Company, Limited</t>
        </is>
      </c>
      <c r="C23" s="4" t="inlineStr">
        <is>
          <t>株式会社エー・アンド・デイ</t>
        </is>
      </c>
      <c r="D23" s="4" t="inlineStr">
        <is>
          <t>Not found (NTA lookup blocked; dedupe by Japanese name)</t>
        </is>
      </c>
      <c r="E23" s="4" t="inlineStr">
        <is>
          <t>Tokyo</t>
        </is>
      </c>
      <c r="F23" s="4" t="inlineStr">
        <is>
          <t>Kanto</t>
        </is>
      </c>
      <c r="G23" s="4" t="inlineStr">
        <is>
          <t>Not found</t>
        </is>
      </c>
      <c r="H23" s="4" t="inlineStr">
        <is>
          <t>Device MAH; ranked third among device suppliers to animal hospitals (AHHD)</t>
        </is>
      </c>
      <c r="I23" s="4" t="inlineStr">
        <is>
          <t>BP monitors and scales; no ultrasound</t>
        </is>
      </c>
      <c r="J23" s="4" t="inlineStr">
        <is>
          <t>Companion</t>
        </is>
      </c>
      <c r="K23" s="4" t="inlineStr">
        <is>
          <t>National via vet dealers</t>
        </is>
      </c>
      <c r="L23" s="4" t="inlineStr">
        <is>
          <t>Not found</t>
        </is>
      </c>
      <c r="M23" s="4" t="inlineStr">
        <is>
          <t>n/a</t>
        </is>
      </c>
      <c r="N23" s="4" t="inlineStr">
        <is>
          <t>Not identified</t>
        </is>
      </c>
      <c r="O23" s="4" t="inlineStr">
        <is>
          <t>Not identified</t>
        </is>
      </c>
      <c r="P23" s="4" t="inlineStr">
        <is>
          <t>Not published; inquiry form: https://www.aandd.co.jp/products/medical/</t>
        </is>
      </c>
      <c r="Q23" s="4" t="inlineStr">
        <is>
          <t>Not found</t>
        </is>
      </c>
      <c r="R23" s="4" t="inlineStr">
        <is>
          <t>Not identified</t>
        </is>
      </c>
      <c r="S23" s="4" t="inlineStr">
        <is>
          <t>Company inquiry only (form on product pages)</t>
        </is>
      </c>
      <c r="T23" s="6">
        <f>SUM(Z23:AF23)</f>
        <v>21</v>
      </c>
      <c r="U23" s="7" t="inlineStr">
        <is>
          <t>V1</t>
        </is>
      </c>
      <c r="V23" s="4" t="inlineStr">
        <is>
          <t>Third ranked device supplier to animal hospitals; measurement devices sold through vet dealers.</t>
        </is>
      </c>
      <c r="W23" s="4" t="inlineStr">
        <is>
          <t>Ask whether they would carry or act as MAH for a complementary vet ultrasound line in their existing vet catalogue.</t>
        </is>
      </c>
      <c r="X23" s="4" t="inlineStr">
        <is>
          <t>Not checked (human list not in v17)</t>
        </is>
      </c>
      <c r="Y23" s="4" t="inlineStr">
        <is>
          <t>https://ahhd.jp/I0000004 ; https://www.aandd.co.jp/support/agency/ ; https://www.aandd.co.jp/products/medical/</t>
        </is>
      </c>
      <c r="Z23" s="4" t="n">
        <v>5</v>
      </c>
      <c r="AA23" s="4" t="n">
        <v>1</v>
      </c>
      <c r="AB23" s="4" t="n">
        <v>5</v>
      </c>
      <c r="AC23" s="4" t="n">
        <v>3</v>
      </c>
      <c r="AD23" s="4" t="n">
        <v>1</v>
      </c>
      <c r="AE23" s="4" t="n">
        <v>3</v>
      </c>
      <c r="AF23" s="4" t="n">
        <v>3</v>
      </c>
      <c r="AG23" s="4" t="inlineStr">
        <is>
          <t>Evidence backed</t>
        </is>
      </c>
    </row>
    <row r="24" ht="75" customHeight="1">
      <c r="A24" s="4" t="n">
        <v>20</v>
      </c>
      <c r="B24" s="4" t="inlineStr">
        <is>
          <t>AMCO Inc.</t>
        </is>
      </c>
      <c r="C24" s="4" t="inlineStr">
        <is>
          <t>株式会社アムコ</t>
        </is>
      </c>
      <c r="D24" s="4" t="inlineStr">
        <is>
          <t>Not found (NTA lookup blocked; dedupe by Japanese name)</t>
        </is>
      </c>
      <c r="E24" s="4" t="inlineStr">
        <is>
          <t>Tokyo</t>
        </is>
      </c>
      <c r="F24" s="4" t="inlineStr">
        <is>
          <t>Kanto</t>
        </is>
      </c>
      <c r="G24" s="5" t="inlineStr">
        <is>
          <t>https://amco.co.jp</t>
        </is>
      </c>
      <c r="H24" s="4" t="inlineStr">
        <is>
          <t>Vet LED surgical light supplied to vet dealers</t>
        </is>
      </c>
      <c r="I24" s="4" t="inlineStr">
        <is>
          <t>Surgical lights; no ultrasound</t>
        </is>
      </c>
      <c r="J24" s="4" t="inlineStr">
        <is>
          <t>Companion</t>
        </is>
      </c>
      <c r="K24" s="4" t="inlineStr">
        <is>
          <t>National via vet dealers</t>
        </is>
      </c>
      <c r="L24" s="4" t="inlineStr">
        <is>
          <t>Not found</t>
        </is>
      </c>
      <c r="M24" s="4" t="inlineStr">
        <is>
          <t>n/a</t>
        </is>
      </c>
      <c r="N24" s="4" t="inlineStr">
        <is>
          <t>Not identified</t>
        </is>
      </c>
      <c r="O24" s="4" t="inlineStr">
        <is>
          <t>Not identified</t>
        </is>
      </c>
      <c r="P24" s="4" t="inlineStr">
        <is>
          <t>qa@amco-inc.net</t>
        </is>
      </c>
      <c r="Q24" s="4" t="inlineStr">
        <is>
          <t>03 3265 4261</t>
        </is>
      </c>
      <c r="R24" s="4" t="inlineStr">
        <is>
          <t>Not identified</t>
        </is>
      </c>
      <c r="S24" s="4" t="inlineStr">
        <is>
          <t>Verified (published on own site, read via search); quality assurance dept for used devices, ask to forward</t>
        </is>
      </c>
      <c r="T24" s="6">
        <f>SUM(Z24:AF24)</f>
        <v>21</v>
      </c>
      <c r="U24" s="7" t="inlineStr">
        <is>
          <t>V1</t>
        </is>
      </c>
      <c r="V24" s="4" t="inlineStr">
        <is>
          <t>Supplies vet surgical lights listed by Miyano Medix alongside Tokyo Menix tables. FLAG: HQ prefecture assumed Tokyo; confirm.</t>
        </is>
      </c>
      <c r="W24" s="4" t="inlineStr">
        <is>
          <t>Ask whether they would carry or act as MAH for a complementary vet ultrasound line in their existing vet catalogue.</t>
        </is>
      </c>
      <c r="X24" s="4" t="inlineStr">
        <is>
          <t>Not checked (human list not in v17)</t>
        </is>
      </c>
      <c r="Y24" s="4" t="inlineStr">
        <is>
          <t>http://www.miyano-medix.com/service7.html ; https://go.amco-inc.net/l/943023/2021-10-29/2kgyq</t>
        </is>
      </c>
      <c r="Z24" s="4" t="n">
        <v>5</v>
      </c>
      <c r="AA24" s="4" t="n">
        <v>1</v>
      </c>
      <c r="AB24" s="4" t="n">
        <v>5</v>
      </c>
      <c r="AC24" s="4" t="n">
        <v>3</v>
      </c>
      <c r="AD24" s="4" t="n">
        <v>1</v>
      </c>
      <c r="AE24" s="4" t="n">
        <v>3</v>
      </c>
      <c r="AF24" s="4" t="n">
        <v>3</v>
      </c>
      <c r="AG24" s="4" t="inlineStr">
        <is>
          <t>Evidence backed</t>
        </is>
      </c>
    </row>
    <row r="25" ht="75" customHeight="1">
      <c r="A25" s="4" t="n">
        <v>21</v>
      </c>
      <c r="B25" s="4" t="inlineStr">
        <is>
          <t>Akiyama Seisakusho Co., Ltd.</t>
        </is>
      </c>
      <c r="C25" s="4" t="inlineStr">
        <is>
          <t>株式会社秋山製作所</t>
        </is>
      </c>
      <c r="D25" s="4" t="inlineStr">
        <is>
          <t>Not found (NTA lookup blocked; dedupe by Japanese name)</t>
        </is>
      </c>
      <c r="E25" s="4" t="inlineStr">
        <is>
          <t>Tokyo</t>
        </is>
      </c>
      <c r="F25" s="4" t="inlineStr">
        <is>
          <t>Kanto</t>
        </is>
      </c>
      <c r="G25" s="5" t="inlineStr">
        <is>
          <t>http://akiyama-elp.com/gaiyou.html</t>
        </is>
      </c>
      <c r="H25" s="4" t="inlineStr">
        <is>
          <t>Vet device MAH (NVAL: vet sutures and needles, ELP series)</t>
        </is>
      </c>
      <c r="I25" s="4" t="inlineStr">
        <is>
          <t>Sutures; no ultrasound</t>
        </is>
      </c>
      <c r="J25" s="4" t="inlineStr">
        <is>
          <t>Companion</t>
        </is>
      </c>
      <c r="K25" s="4" t="inlineStr">
        <is>
          <t>National via vet dealers</t>
        </is>
      </c>
      <c r="L25" s="4" t="inlineStr">
        <is>
          <t>Not found</t>
        </is>
      </c>
      <c r="M25" s="4" t="inlineStr">
        <is>
          <t>n/a</t>
        </is>
      </c>
      <c r="N25" s="4" t="inlineStr">
        <is>
          <t>Not identified</t>
        </is>
      </c>
      <c r="O25" s="4" t="inlineStr">
        <is>
          <t>Not identified</t>
        </is>
      </c>
      <c r="P25" s="4" t="inlineStr">
        <is>
          <t>Not published; phone only</t>
        </is>
      </c>
      <c r="Q25" s="4" t="inlineStr">
        <is>
          <t>03 3811 0802</t>
        </is>
      </c>
      <c r="R25" s="4" t="inlineStr">
        <is>
          <t>Not identified</t>
        </is>
      </c>
      <c r="S25" s="4" t="inlineStr">
        <is>
          <t>Company inquiry only (form)</t>
        </is>
      </c>
      <c r="T25" s="6">
        <f>SUM(Z25:AF25)</f>
        <v>21</v>
      </c>
      <c r="U25" s="7" t="inlineStr">
        <is>
          <t>V1</t>
        </is>
      </c>
      <c r="V25" s="4" t="inlineStr">
        <is>
          <t>Holds a family of vet suture notifications and has an Osaka office. FLAG: HQ prefecture assumed Tokyo (Osaka office confirmed); confirm.</t>
        </is>
      </c>
      <c r="W25" s="4" t="inlineStr">
        <is>
          <t>Ask whether they would carry or act as MAH for a complementary vet ultrasound line in their existing vet catalogue.</t>
        </is>
      </c>
      <c r="X25" s="4" t="inlineStr">
        <is>
          <t>Not checked (human list not in v17)</t>
        </is>
      </c>
      <c r="Y25" s="4" t="inlineStr">
        <is>
          <t>https://vm.nval.go.jp/?page=115&amp;submit=submit ; https://www.osaka-iryokiki-kyokai.com/member_list/</t>
        </is>
      </c>
      <c r="Z25" s="4" t="n">
        <v>5</v>
      </c>
      <c r="AA25" s="4" t="n">
        <v>1</v>
      </c>
      <c r="AB25" s="4" t="n">
        <v>5</v>
      </c>
      <c r="AC25" s="4" t="n">
        <v>3</v>
      </c>
      <c r="AD25" s="4" t="n">
        <v>1</v>
      </c>
      <c r="AE25" s="4" t="n">
        <v>3</v>
      </c>
      <c r="AF25" s="4" t="n">
        <v>3</v>
      </c>
      <c r="AG25" s="4" t="inlineStr">
        <is>
          <t>Evidence backed</t>
        </is>
      </c>
    </row>
    <row r="26" ht="75" customHeight="1">
      <c r="A26" s="4" t="n">
        <v>22</v>
      </c>
      <c r="B26" s="4" t="inlineStr">
        <is>
          <t>Astec Co., Ltd.</t>
        </is>
      </c>
      <c r="C26" s="4" t="inlineStr">
        <is>
          <t>株式会社アステック</t>
        </is>
      </c>
      <c r="D26" s="4" t="inlineStr">
        <is>
          <t>Not found (NTA lookup blocked; dedupe by Japanese name)</t>
        </is>
      </c>
      <c r="E26" s="4" t="inlineStr">
        <is>
          <t>Ibaraki</t>
        </is>
      </c>
      <c r="F26" s="4" t="inlineStr">
        <is>
          <t>Kanto</t>
        </is>
      </c>
      <c r="G26" s="5" t="inlineStr">
        <is>
          <t>https://astec-medical.co.jp/</t>
        </is>
      </c>
      <c r="H26" s="4" t="inlineStr">
        <is>
          <t>Vet device MAH (NVAL: ThermoVision2 rectal thermometer); imports and wholesales devices</t>
        </is>
      </c>
      <c r="I26" s="4" t="inlineStr">
        <is>
          <t>No ultrasound identified</t>
        </is>
      </c>
      <c r="J26" s="4" t="inlineStr">
        <is>
          <t>Companion</t>
        </is>
      </c>
      <c r="K26" s="4" t="inlineStr">
        <is>
          <t>National via vet dealers</t>
        </is>
      </c>
      <c r="L26" s="4" t="inlineStr">
        <is>
          <t>Not found</t>
        </is>
      </c>
      <c r="M26" s="4" t="inlineStr">
        <is>
          <t>n/a</t>
        </is>
      </c>
      <c r="N26" s="4" t="inlineStr">
        <is>
          <t>Not identified</t>
        </is>
      </c>
      <c r="O26" s="4" t="inlineStr">
        <is>
          <t>Not identified</t>
        </is>
      </c>
      <c r="P26" s="4" t="inlineStr">
        <is>
          <t>Not published; phone only</t>
        </is>
      </c>
      <c r="Q26" s="4" t="inlineStr">
        <is>
          <t>029 855 2866</t>
        </is>
      </c>
      <c r="R26" s="4" t="inlineStr">
        <is>
          <t>Not identified</t>
        </is>
      </c>
      <c r="S26" s="4" t="inlineStr">
        <is>
          <t>Company inquiry only (form)</t>
        </is>
      </c>
      <c r="T26" s="6">
        <f>SUM(Z26:AF26)</f>
        <v>21</v>
      </c>
      <c r="U26" s="7" t="inlineStr">
        <is>
          <t>V1</t>
        </is>
      </c>
      <c r="V26" s="4" t="inlineStr">
        <is>
          <t>Tsukuba importer and wholesaler that recently notified a vet device.</t>
        </is>
      </c>
      <c r="W26" s="4" t="inlineStr">
        <is>
          <t>Ask whether they would carry or act as MAH for a complementary vet ultrasound line in their existing vet catalogue.</t>
        </is>
      </c>
      <c r="X26" s="4" t="inlineStr">
        <is>
          <t>Not checked (human list not in v17)</t>
        </is>
      </c>
      <c r="Y26" s="4" t="inlineStr">
        <is>
          <t>https://www.vm.nval.go.jp/public/detail/19578 ; https://baseconnect.in/companies/prefecture/d8203dea-91e2-41c3-a785-b80aa997273c/category/b2358a1c-c4c6-46f4-a0b1-dee3a1b30a0b</t>
        </is>
      </c>
      <c r="Z26" s="4" t="n">
        <v>5</v>
      </c>
      <c r="AA26" s="4" t="n">
        <v>1</v>
      </c>
      <c r="AB26" s="4" t="n">
        <v>5</v>
      </c>
      <c r="AC26" s="4" t="n">
        <v>3</v>
      </c>
      <c r="AD26" s="4" t="n">
        <v>1</v>
      </c>
      <c r="AE26" s="4" t="n">
        <v>3</v>
      </c>
      <c r="AF26" s="4" t="n">
        <v>3</v>
      </c>
      <c r="AG26" s="4" t="inlineStr">
        <is>
          <t>Evidence backed</t>
        </is>
      </c>
    </row>
    <row r="27" ht="75" customHeight="1">
      <c r="A27" s="4" t="n">
        <v>23</v>
      </c>
      <c r="B27" s="4" t="inlineStr">
        <is>
          <t>Create Medic Co., Ltd.</t>
        </is>
      </c>
      <c r="C27" s="4" t="inlineStr">
        <is>
          <t>クリエートメディック株式会社</t>
        </is>
      </c>
      <c r="D27" s="4" t="inlineStr">
        <is>
          <t>Not found (NTA lookup blocked; dedupe by Japanese name)</t>
        </is>
      </c>
      <c r="E27" s="4" t="inlineStr">
        <is>
          <t>Kanagawa</t>
        </is>
      </c>
      <c r="F27" s="4" t="inlineStr">
        <is>
          <t>Kanto</t>
        </is>
      </c>
      <c r="G27" s="5" t="inlineStr">
        <is>
          <t>http://www.createmedic.co.jp/products/animal_2/</t>
        </is>
      </c>
      <c r="H27" s="4" t="inlineStr">
        <is>
          <t>Vet device MAH (NVAL: Tierrett vet IV catheters 2021, large animal catheters 2022)</t>
        </is>
      </c>
      <c r="I27" s="4" t="inlineStr">
        <is>
          <t>Tierrett vet catheters; no ultrasound</t>
        </is>
      </c>
      <c r="J27" s="4" t="inlineStr">
        <is>
          <t>Both</t>
        </is>
      </c>
      <c r="K27" s="4" t="inlineStr">
        <is>
          <t>National via vet dealers</t>
        </is>
      </c>
      <c r="L27" s="4" t="inlineStr">
        <is>
          <t>Not found</t>
        </is>
      </c>
      <c r="M27" s="4" t="inlineStr">
        <is>
          <t>n/a</t>
        </is>
      </c>
      <c r="N27" s="4" t="inlineStr">
        <is>
          <t>Not identified</t>
        </is>
      </c>
      <c r="O27" s="4" t="inlineStr">
        <is>
          <t>Not identified</t>
        </is>
      </c>
      <c r="P27" s="4" t="inlineStr">
        <is>
          <t>k-kadoya@createmedic.co.jp</t>
        </is>
      </c>
      <c r="Q27" s="4" t="inlineStr">
        <is>
          <t>029 243 9411 (animal business office)</t>
        </is>
      </c>
      <c r="R27" s="4" t="inlineStr">
        <is>
          <t>Not identified</t>
        </is>
      </c>
      <c r="S27" s="4" t="inlineStr">
        <is>
          <t>Likely (third party listing); named staff, not confirmed as vet desk</t>
        </is>
      </c>
      <c r="T27" s="6">
        <f>SUM(Z27:AF27)</f>
        <v>21</v>
      </c>
      <c r="U27" s="7" t="inlineStr">
        <is>
          <t>V1</t>
        </is>
      </c>
      <c r="V27" s="4" t="inlineStr">
        <is>
          <t>Built a dedicated vet catheter brand (Tierrett) with recent NVAL notifications for small and large animals.</t>
        </is>
      </c>
      <c r="W27" s="4" t="inlineStr">
        <is>
          <t>Ask whether they would carry or act as MAH for a complementary vet ultrasound line in their existing vet catalogue.</t>
        </is>
      </c>
      <c r="X27" s="4" t="inlineStr">
        <is>
          <t>Not checked (human list not in v17)</t>
        </is>
      </c>
      <c r="Y27" s="4" t="inlineStr">
        <is>
          <t>https://www.vm.nval.go.jp/public/detail/17513 ; https://www.vm.nval.go.jp/public/detail/19240 ; https://tonomachi-ksf.kawasaki-net.ne.jp/institution/%E3%82%AF%E3%83%AA%E3%82%A8%E3%83%BC%E3%83%88%E3%83%A1%E3%83%87%E3%82%A3%E3%83%83%E3%82%AF%E6%A0%AA%E5%BC%8F%E4%BC%9A%E7%A4%BE_j/ ; https://www.createmedic.co.jp/contact/form/</t>
        </is>
      </c>
      <c r="Z27" s="4" t="n">
        <v>5</v>
      </c>
      <c r="AA27" s="4" t="n">
        <v>1</v>
      </c>
      <c r="AB27" s="4" t="n">
        <v>5</v>
      </c>
      <c r="AC27" s="4" t="n">
        <v>3</v>
      </c>
      <c r="AD27" s="4" t="n">
        <v>1</v>
      </c>
      <c r="AE27" s="4" t="n">
        <v>3</v>
      </c>
      <c r="AF27" s="4" t="n">
        <v>3</v>
      </c>
      <c r="AG27" s="4" t="inlineStr">
        <is>
          <t>Evidence backed</t>
        </is>
      </c>
    </row>
    <row r="28" ht="75" customHeight="1">
      <c r="A28" s="4" t="n">
        <v>24</v>
      </c>
      <c r="B28" s="4" t="inlineStr">
        <is>
          <t>Erma Sales Co., Ltd.</t>
        </is>
      </c>
      <c r="C28" s="4" t="inlineStr">
        <is>
          <t>ヱルマ販売株式会社</t>
        </is>
      </c>
      <c r="D28" s="4" t="inlineStr">
        <is>
          <t>Not found (NTA lookup blocked; dedupe by Japanese name)</t>
        </is>
      </c>
      <c r="E28" s="4" t="inlineStr">
        <is>
          <t>Saitama</t>
        </is>
      </c>
      <c r="F28" s="4" t="inlineStr">
        <is>
          <t>Kanto</t>
        </is>
      </c>
      <c r="G28" s="5" t="inlineStr">
        <is>
          <t>https://erma.co.jp/</t>
        </is>
      </c>
      <c r="H28" s="4" t="inlineStr">
        <is>
          <t>Vet device MAH (NVAL: EYM230 haematology)</t>
        </is>
      </c>
      <c r="I28" s="4" t="inlineStr">
        <is>
          <t>Haematology; no ultrasound</t>
        </is>
      </c>
      <c r="J28" s="4" t="inlineStr">
        <is>
          <t>Companion</t>
        </is>
      </c>
      <c r="K28" s="4" t="inlineStr">
        <is>
          <t>National</t>
        </is>
      </c>
      <c r="L28" s="4" t="inlineStr">
        <is>
          <t>Not found</t>
        </is>
      </c>
      <c r="M28" s="4" t="inlineStr">
        <is>
          <t>n/a</t>
        </is>
      </c>
      <c r="N28" s="4" t="inlineStr">
        <is>
          <t>Not identified</t>
        </is>
      </c>
      <c r="O28" s="4" t="inlineStr">
        <is>
          <t>Not identified</t>
        </is>
      </c>
      <c r="P28" s="4" t="inlineStr">
        <is>
          <t>Not published; phone only</t>
        </is>
      </c>
      <c r="Q28" s="4" t="inlineStr">
        <is>
          <t>048 984 3138 (sales)</t>
        </is>
      </c>
      <c r="R28" s="4" t="inlineStr">
        <is>
          <t>Not identified</t>
        </is>
      </c>
      <c r="S28" s="4" t="inlineStr">
        <is>
          <t>Company inquiry only (form)</t>
        </is>
      </c>
      <c r="T28" s="6">
        <f>SUM(Z28:AF28)</f>
        <v>21</v>
      </c>
      <c r="U28" s="7" t="inlineStr">
        <is>
          <t>V1</t>
        </is>
      </c>
      <c r="V28" s="4" t="inlineStr">
        <is>
          <t>Holds a vet analyser notification; small MAH that may welcome an extra vet line.</t>
        </is>
      </c>
      <c r="W28" s="4" t="inlineStr">
        <is>
          <t>Ask about MAH services and their dealer list.</t>
        </is>
      </c>
      <c r="X28" s="4" t="inlineStr">
        <is>
          <t>Not checked (human list not in v17)</t>
        </is>
      </c>
      <c r="Y28" s="4" t="inlineStr">
        <is>
          <t>https://www.vm.nval.go.jp/public/detail/18103</t>
        </is>
      </c>
      <c r="Z28" s="4" t="n">
        <v>5</v>
      </c>
      <c r="AA28" s="4" t="n">
        <v>1</v>
      </c>
      <c r="AB28" s="4" t="n">
        <v>5</v>
      </c>
      <c r="AC28" s="4" t="n">
        <v>3</v>
      </c>
      <c r="AD28" s="4" t="n">
        <v>1</v>
      </c>
      <c r="AE28" s="4" t="n">
        <v>3</v>
      </c>
      <c r="AF28" s="4" t="n">
        <v>3</v>
      </c>
      <c r="AG28" s="4" t="inlineStr">
        <is>
          <t>Evidence backed</t>
        </is>
      </c>
    </row>
    <row r="29" ht="75" customHeight="1">
      <c r="A29" s="4" t="n">
        <v>25</v>
      </c>
      <c r="B29" s="4" t="inlineStr">
        <is>
          <t>Nakanishi Inc. (Veterinary)</t>
        </is>
      </c>
      <c r="C29" s="4" t="inlineStr">
        <is>
          <t>株式会社ナカニシ</t>
        </is>
      </c>
      <c r="D29" s="4" t="inlineStr">
        <is>
          <t>Not found (NTA lookup blocked; dedupe by Japanese name)</t>
        </is>
      </c>
      <c r="E29" s="4" t="inlineStr">
        <is>
          <t>Tochigi</t>
        </is>
      </c>
      <c r="F29" s="4" t="inlineStr">
        <is>
          <t>Kanto</t>
        </is>
      </c>
      <c r="G29" s="4" t="inlineStr">
        <is>
          <t>Not found</t>
        </is>
      </c>
      <c r="H29" s="4" t="inlineStr">
        <is>
          <t>Dental devices maker; vet scaler line sold to animal hospitals</t>
        </is>
      </c>
      <c r="I29" s="4" t="inlineStr">
        <is>
          <t>Dental; no ultrasound imaging</t>
        </is>
      </c>
      <c r="J29" s="4" t="inlineStr">
        <is>
          <t>Companion</t>
        </is>
      </c>
      <c r="K29" s="4" t="inlineStr">
        <is>
          <t>National</t>
        </is>
      </c>
      <c r="L29" s="4" t="inlineStr">
        <is>
          <t>Listed company</t>
        </is>
      </c>
      <c r="M29" s="4" t="inlineStr">
        <is>
          <t>n/a</t>
        </is>
      </c>
      <c r="N29" s="4" t="inlineStr">
        <is>
          <t>Not identified</t>
        </is>
      </c>
      <c r="O29" s="4" t="inlineStr">
        <is>
          <t>Not identified</t>
        </is>
      </c>
      <c r="P29" s="4" t="inlineStr">
        <is>
          <t>Not published; phone only</t>
        </is>
      </c>
      <c r="Q29" s="4" t="inlineStr">
        <is>
          <t>Not found</t>
        </is>
      </c>
      <c r="R29" s="4" t="inlineStr">
        <is>
          <t>Not identified</t>
        </is>
      </c>
      <c r="S29" s="4" t="inlineStr">
        <is>
          <t>Unverified (no contact found in search)</t>
        </is>
      </c>
      <c r="T29" s="6">
        <f>SUM(Z29:AF29)</f>
        <v>21</v>
      </c>
      <c r="U29" s="7" t="inlineStr">
        <is>
          <t>V1</t>
        </is>
      </c>
      <c r="V29" s="4" t="inlineStr">
        <is>
          <t>Ranks among the top vet hospital device suppliers by AHHD; strong vet dental channel.</t>
        </is>
      </c>
      <c r="W29" s="4" t="inlineStr">
        <is>
          <t>Low probability distribution; channel intelligence.</t>
        </is>
      </c>
      <c r="X29" s="4" t="inlineStr">
        <is>
          <t>Not checked (human list not in v17)</t>
        </is>
      </c>
      <c r="Y29" s="4" t="inlineStr">
        <is>
          <t>https://ahhd.jp/I0000004 ; https://medical-space.co.jp/products/9158/</t>
        </is>
      </c>
      <c r="Z29" s="4" t="n">
        <v>4</v>
      </c>
      <c r="AA29" s="4" t="n">
        <v>1</v>
      </c>
      <c r="AB29" s="4" t="n">
        <v>5</v>
      </c>
      <c r="AC29" s="4" t="n">
        <v>4</v>
      </c>
      <c r="AD29" s="4" t="n">
        <v>1</v>
      </c>
      <c r="AE29" s="4" t="n">
        <v>4</v>
      </c>
      <c r="AF29" s="4" t="n">
        <v>2</v>
      </c>
      <c r="AG29" s="4" t="inlineStr">
        <is>
          <t>Evidence backed</t>
        </is>
      </c>
    </row>
    <row r="30" ht="75" customHeight="1">
      <c r="A30" s="4" t="n">
        <v>26</v>
      </c>
      <c r="B30" s="4" t="inlineStr">
        <is>
          <t>Surge Miyawaki Co., Ltd.</t>
        </is>
      </c>
      <c r="C30" s="4" t="inlineStr">
        <is>
          <t>サージミヤワキ株式会社</t>
        </is>
      </c>
      <c r="D30" s="4" t="inlineStr">
        <is>
          <t>Not found (NTA lookup blocked; dedupe by Japanese name)</t>
        </is>
      </c>
      <c r="E30" s="4" t="inlineStr">
        <is>
          <t>Tokyo</t>
        </is>
      </c>
      <c r="F30" s="4" t="inlineStr">
        <is>
          <t>Kanto</t>
        </is>
      </c>
      <c r="G30" s="5" t="inlineStr">
        <is>
          <t>https://surge-m.co.jp</t>
        </is>
      </c>
      <c r="H30" s="4" t="inlineStr">
        <is>
          <t>Vet device MAH (NVAL: vet thermometer)</t>
        </is>
      </c>
      <c r="I30" s="4" t="inlineStr">
        <is>
          <t>Thermometers, livestock tools, electric fences; no ultrasound</t>
        </is>
      </c>
      <c r="J30" s="4" t="inlineStr">
        <is>
          <t>Both</t>
        </is>
      </c>
      <c r="K30" s="4" t="inlineStr">
        <is>
          <t>National via vet dealers</t>
        </is>
      </c>
      <c r="L30" s="4" t="inlineStr">
        <is>
          <t>Not found</t>
        </is>
      </c>
      <c r="M30" s="4" t="inlineStr">
        <is>
          <t>n/a</t>
        </is>
      </c>
      <c r="N30" s="4" t="inlineStr">
        <is>
          <t>Not identified</t>
        </is>
      </c>
      <c r="O30" s="4" t="inlineStr">
        <is>
          <t>Not identified</t>
        </is>
      </c>
      <c r="P30" s="4" t="inlineStr">
        <is>
          <t>Not published; inquiry form: https://surge-m.co.jp/home/inquiry/inquiry/</t>
        </is>
      </c>
      <c r="Q30" s="4" t="inlineStr">
        <is>
          <t>03 3449 3711</t>
        </is>
      </c>
      <c r="R30" s="4" t="inlineStr">
        <is>
          <t>Not identified</t>
        </is>
      </c>
      <c r="S30" s="4" t="inlineStr">
        <is>
          <t>Company inquiry only (form)</t>
        </is>
      </c>
      <c r="T30" s="6">
        <f>SUM(Z30:AF30)</f>
        <v>21</v>
      </c>
      <c r="U30" s="7" t="inlineStr">
        <is>
          <t>V1</t>
        </is>
      </c>
      <c r="V30" s="4" t="inlineStr">
        <is>
          <t>Listed as a Tokyo animal device wholesaler and holds a vet thermometer notification; livestock customer base.</t>
        </is>
      </c>
      <c r="W30" s="4" t="inlineStr">
        <is>
          <t>Ask whether they would carry or act as MAH for a complementary vet ultrasound line in their existing vet catalogue.</t>
        </is>
      </c>
      <c r="X30" s="4" t="inlineStr">
        <is>
          <t>Not checked (human list not in v17)</t>
        </is>
      </c>
      <c r="Y30" s="4" t="inlineStr">
        <is>
          <t>https://www.vm.nval.go.jp/public/detail/6752 ; https://baseconnect.in/companies/prefecture/a30ebdff-361b-42be-8372-1b0d350f48a0/keyword/c53ff370-90f7-45dc-a0ee-e22bda2cde5e ; https://surge-m.co.jp/home/inquiry/inquiry/</t>
        </is>
      </c>
      <c r="Z30" s="4" t="n">
        <v>5</v>
      </c>
      <c r="AA30" s="4" t="n">
        <v>1</v>
      </c>
      <c r="AB30" s="4" t="n">
        <v>5</v>
      </c>
      <c r="AC30" s="4" t="n">
        <v>3</v>
      </c>
      <c r="AD30" s="4" t="n">
        <v>1</v>
      </c>
      <c r="AE30" s="4" t="n">
        <v>3</v>
      </c>
      <c r="AF30" s="4" t="n">
        <v>3</v>
      </c>
      <c r="AG30" s="4" t="inlineStr">
        <is>
          <t>Evidence backed</t>
        </is>
      </c>
    </row>
    <row r="31" ht="75" customHeight="1">
      <c r="A31" s="4" t="n">
        <v>27</v>
      </c>
      <c r="B31" s="4" t="inlineStr">
        <is>
          <t>Terumo Corporation (Animal Health)</t>
        </is>
      </c>
      <c r="C31" s="4" t="inlineStr">
        <is>
          <t>テルモ株式会社</t>
        </is>
      </c>
      <c r="D31" s="4" t="inlineStr">
        <is>
          <t>Not found (NTA lookup blocked; dedupe by Japanese name)</t>
        </is>
      </c>
      <c r="E31" s="4" t="inlineStr">
        <is>
          <t>Tokyo</t>
        </is>
      </c>
      <c r="F31" s="4" t="inlineStr">
        <is>
          <t>Kanto</t>
        </is>
      </c>
      <c r="G31" s="4" t="inlineStr">
        <is>
          <t>Not found</t>
        </is>
      </c>
      <c r="H31" s="4" t="inlineStr">
        <is>
          <t>Human and vet device MAH; ranked first among device suppliers to animal hospitals (AHHD)</t>
        </is>
      </c>
      <c r="I31" s="4" t="inlineStr">
        <is>
          <t>Disposables; no vet ultrasound</t>
        </is>
      </c>
      <c r="J31" s="4" t="inlineStr">
        <is>
          <t>Companion</t>
        </is>
      </c>
      <c r="K31" s="4" t="inlineStr">
        <is>
          <t>National via vet dealers</t>
        </is>
      </c>
      <c r="L31" s="4" t="inlineStr">
        <is>
          <t>Not found</t>
        </is>
      </c>
      <c r="M31" s="4" t="inlineStr">
        <is>
          <t>n/a</t>
        </is>
      </c>
      <c r="N31" s="4" t="inlineStr">
        <is>
          <t>Not identified</t>
        </is>
      </c>
      <c r="O31" s="4" t="inlineStr">
        <is>
          <t>Not identified</t>
        </is>
      </c>
      <c r="P31" s="4" t="inlineStr">
        <is>
          <t>Not published; inquiry form: https://www.terumo.co.jp/inquiry</t>
        </is>
      </c>
      <c r="Q31" s="4" t="inlineStr">
        <is>
          <t>Not found</t>
        </is>
      </c>
      <c r="R31" s="4" t="inlineStr">
        <is>
          <t>Not identified</t>
        </is>
      </c>
      <c r="S31" s="4" t="inlineStr">
        <is>
          <t>Company inquiry only (form)</t>
        </is>
      </c>
      <c r="T31" s="6">
        <f>SUM(Z31:AF31)</f>
        <v>21</v>
      </c>
      <c r="U31" s="7" t="inlineStr">
        <is>
          <t>V1</t>
        </is>
      </c>
      <c r="V31" s="4" t="inlineStr">
        <is>
          <t>Largest supplier of devices to animal hospitals by AHHD ranking. FLAG: Very large; co marketing only.</t>
        </is>
      </c>
      <c r="W31" s="4" t="inlineStr">
        <is>
          <t>Ask whether they would carry or act as MAH for a complementary vet ultrasound line in their existing vet catalogue.</t>
        </is>
      </c>
      <c r="X31" s="4" t="inlineStr">
        <is>
          <t>Not checked (human list not in v17)</t>
        </is>
      </c>
      <c r="Y31" s="4" t="inlineStr">
        <is>
          <t>https://ahhd.jp/I0000004 ; https://www.terumo.co.jp/inquiry</t>
        </is>
      </c>
      <c r="Z31" s="4" t="n">
        <v>5</v>
      </c>
      <c r="AA31" s="4" t="n">
        <v>1</v>
      </c>
      <c r="AB31" s="4" t="n">
        <v>5</v>
      </c>
      <c r="AC31" s="4" t="n">
        <v>3</v>
      </c>
      <c r="AD31" s="4" t="n">
        <v>1</v>
      </c>
      <c r="AE31" s="4" t="n">
        <v>3</v>
      </c>
      <c r="AF31" s="4" t="n">
        <v>3</v>
      </c>
      <c r="AG31" s="4" t="inlineStr">
        <is>
          <t>Evidence backed</t>
        </is>
      </c>
    </row>
    <row r="32" ht="75" customHeight="1">
      <c r="A32" s="4" t="n">
        <v>28</v>
      </c>
      <c r="B32" s="4" t="inlineStr">
        <is>
          <t>Tokyo Iken Co., Ltd.</t>
        </is>
      </c>
      <c r="C32" s="4" t="inlineStr">
        <is>
          <t>東京医研株式会社</t>
        </is>
      </c>
      <c r="D32" s="4" t="inlineStr">
        <is>
          <t>Not found (NTA lookup blocked; dedupe by Japanese name)</t>
        </is>
      </c>
      <c r="E32" s="4" t="inlineStr">
        <is>
          <t>Tokyo</t>
        </is>
      </c>
      <c r="F32" s="4" t="inlineStr">
        <is>
          <t>Kanto</t>
        </is>
      </c>
      <c r="G32" s="5" t="inlineStr">
        <is>
          <t>https://www.tokyoiken.co.jp/</t>
        </is>
      </c>
      <c r="H32" s="4" t="inlineStr">
        <is>
          <t>Device maker; ranked seventh among device suppliers to animal hospitals (AHHD)</t>
        </is>
      </c>
      <c r="I32" s="4" t="inlineStr">
        <is>
          <t>Physiotherapy and laser; no ultrasound imaging</t>
        </is>
      </c>
      <c r="J32" s="4" t="inlineStr">
        <is>
          <t>Companion</t>
        </is>
      </c>
      <c r="K32" s="4" t="inlineStr">
        <is>
          <t>National via vet dealers</t>
        </is>
      </c>
      <c r="L32" s="4" t="inlineStr">
        <is>
          <t>Not found</t>
        </is>
      </c>
      <c r="M32" s="4" t="inlineStr">
        <is>
          <t>n/a</t>
        </is>
      </c>
      <c r="N32" s="4" t="inlineStr">
        <is>
          <t>Not identified</t>
        </is>
      </c>
      <c r="O32" s="4" t="inlineStr">
        <is>
          <t>Not identified</t>
        </is>
      </c>
      <c r="P32" s="4" t="inlineStr">
        <is>
          <t>Not published; inquiry form: https://www.tokyoiken.co.jp/contact/</t>
        </is>
      </c>
      <c r="Q32" s="4" t="inlineStr">
        <is>
          <t>042 318 8324 (sales)</t>
        </is>
      </c>
      <c r="R32" s="4" t="inlineStr">
        <is>
          <t>Not identified</t>
        </is>
      </c>
      <c r="S32" s="4" t="inlineStr">
        <is>
          <t>Company inquiry only (form); holds 第二種動物用医療機器製造販売業許可</t>
        </is>
      </c>
      <c r="T32" s="6">
        <f>SUM(Z32:AF32)</f>
        <v>21</v>
      </c>
      <c r="U32" s="7" t="inlineStr">
        <is>
          <t>V1</t>
        </is>
      </c>
      <c r="V32" s="4" t="inlineStr">
        <is>
          <t>Seventh ranked supplier to animal hospitals; carried by Munatex and Bond Japan.</t>
        </is>
      </c>
      <c r="W32" s="4" t="inlineStr">
        <is>
          <t>Ask whether they would carry or act as MAH for a complementary vet ultrasound line in their existing vet catalogue.</t>
        </is>
      </c>
      <c r="X32" s="4" t="inlineStr">
        <is>
          <t>Not checked (human list not in v17)</t>
        </is>
      </c>
      <c r="Y32" s="4" t="inlineStr">
        <is>
          <t>https://ahhd.jp/I0000004 ; https://www.munatex.co.jp/businessguide/ ; https://www.tokyoiken.co.jp/contact/</t>
        </is>
      </c>
      <c r="Z32" s="4" t="n">
        <v>5</v>
      </c>
      <c r="AA32" s="4" t="n">
        <v>1</v>
      </c>
      <c r="AB32" s="4" t="n">
        <v>5</v>
      </c>
      <c r="AC32" s="4" t="n">
        <v>3</v>
      </c>
      <c r="AD32" s="4" t="n">
        <v>1</v>
      </c>
      <c r="AE32" s="4" t="n">
        <v>3</v>
      </c>
      <c r="AF32" s="4" t="n">
        <v>3</v>
      </c>
      <c r="AG32" s="4" t="inlineStr">
        <is>
          <t>Evidence backed</t>
        </is>
      </c>
    </row>
    <row r="33" ht="75" customHeight="1">
      <c r="A33" s="4" t="n">
        <v>29</v>
      </c>
      <c r="B33" s="4" t="inlineStr">
        <is>
          <t>Yamada Medical Lighting Co., Ltd.</t>
        </is>
      </c>
      <c r="C33" s="4" t="inlineStr">
        <is>
          <t>山田医療照明株式会社</t>
        </is>
      </c>
      <c r="D33" s="4" t="inlineStr">
        <is>
          <t>Not found (NTA lookup blocked; dedupe by Japanese name)</t>
        </is>
      </c>
      <c r="E33" s="4" t="inlineStr">
        <is>
          <t>Tokyo</t>
        </is>
      </c>
      <c r="F33" s="4" t="inlineStr">
        <is>
          <t>Kanto</t>
        </is>
      </c>
      <c r="G33" s="5" t="inlineStr">
        <is>
          <t>https://www.skylux.co.jp/product/</t>
        </is>
      </c>
      <c r="H33" s="4" t="inlineStr">
        <is>
          <t>Surgical lights sold to animal hospitals via vet dealers</t>
        </is>
      </c>
      <c r="I33" s="4" t="inlineStr">
        <is>
          <t>Surgical lights; no ultrasound</t>
        </is>
      </c>
      <c r="J33" s="4" t="inlineStr">
        <is>
          <t>Companion</t>
        </is>
      </c>
      <c r="K33" s="4" t="inlineStr">
        <is>
          <t>National via vet dealers</t>
        </is>
      </c>
      <c r="L33" s="4" t="inlineStr">
        <is>
          <t>Not found</t>
        </is>
      </c>
      <c r="M33" s="4" t="inlineStr">
        <is>
          <t>n/a</t>
        </is>
      </c>
      <c r="N33" s="4" t="inlineStr">
        <is>
          <t>Not identified</t>
        </is>
      </c>
      <c r="O33" s="4" t="inlineStr">
        <is>
          <t>Not identified</t>
        </is>
      </c>
      <c r="P33" s="4" t="inlineStr">
        <is>
          <t>Not published; inquiry form: https://www.skylux.co.jp/contact/</t>
        </is>
      </c>
      <c r="Q33" s="4" t="inlineStr">
        <is>
          <t>03 5212 6021</t>
        </is>
      </c>
      <c r="R33" s="4" t="inlineStr">
        <is>
          <t>Not identified</t>
        </is>
      </c>
      <c r="S33" s="4" t="inlineStr">
        <is>
          <t>Company inquiry only (form)</t>
        </is>
      </c>
      <c r="T33" s="6">
        <f>SUM(Z33:AF33)</f>
        <v>21</v>
      </c>
      <c r="U33" s="7" t="inlineStr">
        <is>
          <t>V1</t>
        </is>
      </c>
      <c r="V33" s="4" t="inlineStr">
        <is>
          <t>Surgical light maker present in vet dealer catalogues. FLAG: Vet MAH status not confirmed.</t>
        </is>
      </c>
      <c r="W33" s="4" t="inlineStr">
        <is>
          <t>Ask whether they would carry or act as MAH for a complementary vet ultrasound line in their existing vet catalogue.</t>
        </is>
      </c>
      <c r="X33" s="4" t="inlineStr">
        <is>
          <t>Not checked (human list not in v17)</t>
        </is>
      </c>
      <c r="Y33" s="4" t="inlineStr">
        <is>
          <t>https://www.skylux.co.jp/product/ ; https://medical-space.co.jp/products/product/%E2%96%A0%E6%89%8B%E8%A1%93%E9%96%A2%E9%80%A3/%E6%89%8B%E8%A1%93%E7%84%A1%E5%BD%B1%E7%81%AF/ ; https://www.skylux.co.jp/contact/</t>
        </is>
      </c>
      <c r="Z33" s="4" t="n">
        <v>5</v>
      </c>
      <c r="AA33" s="4" t="n">
        <v>1</v>
      </c>
      <c r="AB33" s="4" t="n">
        <v>5</v>
      </c>
      <c r="AC33" s="4" t="n">
        <v>3</v>
      </c>
      <c r="AD33" s="4" t="n">
        <v>1</v>
      </c>
      <c r="AE33" s="4" t="n">
        <v>3</v>
      </c>
      <c r="AF33" s="4" t="n">
        <v>3</v>
      </c>
      <c r="AG33" s="4" t="inlineStr">
        <is>
          <t>Evidence backed</t>
        </is>
      </c>
    </row>
    <row r="34" ht="75" customHeight="1">
      <c r="A34" s="4" t="n">
        <v>30</v>
      </c>
      <c r="B34" s="4" t="inlineStr">
        <is>
          <t>Acoma Medical Industry Co., Ltd.</t>
        </is>
      </c>
      <c r="C34" s="4" t="inlineStr">
        <is>
          <t>アコマ医科工業株式会社</t>
        </is>
      </c>
      <c r="D34" s="4" t="inlineStr">
        <is>
          <t>Not found (NTA lookup blocked; dedupe by Japanese name)</t>
        </is>
      </c>
      <c r="E34" s="4" t="inlineStr">
        <is>
          <t>Tokyo</t>
        </is>
      </c>
      <c r="F34" s="4" t="inlineStr">
        <is>
          <t>Kanto</t>
        </is>
      </c>
      <c r="G34" s="5" t="inlineStr">
        <is>
          <t>https://www.acoma.com/</t>
        </is>
      </c>
      <c r="H34" s="4" t="inlineStr">
        <is>
          <t>Vet anaesthesia devices on market (Vetac 5); MAH status to confirm</t>
        </is>
      </c>
      <c r="I34" s="4" t="inlineStr">
        <is>
          <t>Own anaesthesia machines; no ultrasound</t>
        </is>
      </c>
      <c r="J34" s="4" t="inlineStr">
        <is>
          <t>Companion</t>
        </is>
      </c>
      <c r="K34" s="4" t="inlineStr">
        <is>
          <t>National via vet dealers</t>
        </is>
      </c>
      <c r="L34" s="4" t="inlineStr">
        <is>
          <t>Not found</t>
        </is>
      </c>
      <c r="M34" s="4" t="inlineStr">
        <is>
          <t>n/a</t>
        </is>
      </c>
      <c r="N34" s="4" t="inlineStr">
        <is>
          <t>Not identified</t>
        </is>
      </c>
      <c r="O34" s="4" t="inlineStr">
        <is>
          <t>Not identified</t>
        </is>
      </c>
      <c r="P34" s="4" t="inlineStr">
        <is>
          <t>Not published; inquiry form: https://www.acoma.com/support/support-list/</t>
        </is>
      </c>
      <c r="Q34" s="4" t="inlineStr">
        <is>
          <t>03 3811 4151</t>
        </is>
      </c>
      <c r="R34" s="4" t="inlineStr">
        <is>
          <t>Not identified</t>
        </is>
      </c>
      <c r="S34" s="4" t="inlineStr">
        <is>
          <t>Company inquiry only (form)</t>
        </is>
      </c>
      <c r="T34" s="6">
        <f>SUM(Z34:AF34)</f>
        <v>20</v>
      </c>
      <c r="U34" s="7" t="inlineStr">
        <is>
          <t>V1</t>
        </is>
      </c>
      <c r="V34" s="4" t="inlineStr">
        <is>
          <t>Domestic anaesthesia maker with a vet model sold through Munatex and Medical Space; complementary, unconflicted.</t>
        </is>
      </c>
      <c r="W34" s="4" t="inlineStr">
        <is>
          <t>Peri operative ultrasound for nerve blocks and vascular access alongside their anaesthesia line.</t>
        </is>
      </c>
      <c r="X34" s="4" t="inlineStr">
        <is>
          <t>Not checked (human list not in v17)</t>
        </is>
      </c>
      <c r="Y34" s="4" t="inlineStr">
        <is>
          <t>https://munatex.com/products/5863/ ; https://medical-space.co.jp/products-manufacturer/ ; https://www.acoma.com/support/support-list/</t>
        </is>
      </c>
      <c r="Z34" s="4" t="n">
        <v>4</v>
      </c>
      <c r="AA34" s="4" t="n">
        <v>1</v>
      </c>
      <c r="AB34" s="4" t="n">
        <v>5</v>
      </c>
      <c r="AC34" s="4" t="n">
        <v>4</v>
      </c>
      <c r="AD34" s="4" t="n">
        <v>1</v>
      </c>
      <c r="AE34" s="4" t="n">
        <v>3</v>
      </c>
      <c r="AF34" s="4" t="n">
        <v>2</v>
      </c>
      <c r="AG34" s="4" t="inlineStr">
        <is>
          <t>Evidence backed</t>
        </is>
      </c>
    </row>
    <row r="35" ht="75" customHeight="1">
      <c r="A35" s="4" t="n">
        <v>31</v>
      </c>
      <c r="B35" s="4" t="inlineStr">
        <is>
          <t>Setagaya Seiki Co., Ltd.</t>
        </is>
      </c>
      <c r="C35" s="4" t="inlineStr">
        <is>
          <t>世田谷精機株式会社</t>
        </is>
      </c>
      <c r="D35" s="4" t="inlineStr">
        <is>
          <t>Not found (NTA lookup blocked; dedupe by Japanese name)</t>
        </is>
      </c>
      <c r="E35" s="4" t="inlineStr">
        <is>
          <t>Tokyo</t>
        </is>
      </c>
      <c r="F35" s="4" t="inlineStr">
        <is>
          <t>Kanto</t>
        </is>
      </c>
      <c r="G35" s="4" t="inlineStr">
        <is>
          <t>Not found</t>
        </is>
      </c>
      <c r="H35" s="4" t="inlineStr">
        <is>
          <t>Vet device MAH (NVAL: Butterfly hip plate system, succession 2014)</t>
        </is>
      </c>
      <c r="I35" s="4" t="inlineStr">
        <is>
          <t>Orthopaedic implants; no ultrasound</t>
        </is>
      </c>
      <c r="J35" s="4" t="inlineStr">
        <is>
          <t>Companion</t>
        </is>
      </c>
      <c r="K35" s="4" t="inlineStr">
        <is>
          <t>National</t>
        </is>
      </c>
      <c r="L35" s="4" t="inlineStr">
        <is>
          <t>Not found</t>
        </is>
      </c>
      <c r="M35" s="4" t="inlineStr">
        <is>
          <t>n/a</t>
        </is>
      </c>
      <c r="N35" s="4" t="inlineStr">
        <is>
          <t>Not identified</t>
        </is>
      </c>
      <c r="O35" s="4" t="inlineStr">
        <is>
          <t>Not identified</t>
        </is>
      </c>
      <c r="P35" s="4" t="inlineStr">
        <is>
          <t>Not published; phone only</t>
        </is>
      </c>
      <c r="Q35" s="4" t="inlineStr">
        <is>
          <t>Not found</t>
        </is>
      </c>
      <c r="R35" s="4" t="inlineStr">
        <is>
          <t>Not identified</t>
        </is>
      </c>
      <c r="S35" s="4" t="inlineStr">
        <is>
          <t>Unverified (no contact found in search)</t>
        </is>
      </c>
      <c r="T35" s="6">
        <f>SUM(Z35:AF35)</f>
        <v>20</v>
      </c>
      <c r="U35" s="7" t="inlineStr">
        <is>
          <t>V1</t>
        </is>
      </c>
      <c r="V35" s="4" t="inlineStr">
        <is>
          <t>Vet orthopaedic implant MAH with surgeon relationships; peri operative ultrasound fits.</t>
        </is>
      </c>
      <c r="W35" s="4" t="inlineStr">
        <is>
          <t>Musculoskeletal and peri operative linear probe demo.</t>
        </is>
      </c>
      <c r="X35" s="4" t="inlineStr">
        <is>
          <t>Not checked (human list not in v17)</t>
        </is>
      </c>
      <c r="Y35" s="4" t="inlineStr">
        <is>
          <t>https://www.vm.nval.go.jp/public/detail/11016</t>
        </is>
      </c>
      <c r="Z35" s="4" t="n">
        <v>5</v>
      </c>
      <c r="AA35" s="4" t="n">
        <v>1</v>
      </c>
      <c r="AB35" s="4" t="n">
        <v>5</v>
      </c>
      <c r="AC35" s="4" t="n">
        <v>3</v>
      </c>
      <c r="AD35" s="4" t="n">
        <v>1</v>
      </c>
      <c r="AE35" s="4" t="n">
        <v>2</v>
      </c>
      <c r="AF35" s="4" t="n">
        <v>3</v>
      </c>
      <c r="AG35" s="4" t="inlineStr">
        <is>
          <t>Evidence backed</t>
        </is>
      </c>
    </row>
    <row r="36" ht="75" customHeight="1">
      <c r="A36" s="4" t="n">
        <v>32</v>
      </c>
      <c r="B36" s="4" t="inlineStr">
        <is>
          <t>Taiyo Denshi Co., Ltd.</t>
        </is>
      </c>
      <c r="C36" s="4" t="inlineStr">
        <is>
          <t>太陽電子株式会社</t>
        </is>
      </c>
      <c r="D36" s="4" t="inlineStr">
        <is>
          <t>Not found (NTA lookup blocked; dedupe by Japanese name)</t>
        </is>
      </c>
      <c r="E36" s="4" t="inlineStr">
        <is>
          <t>Tokyo</t>
        </is>
      </c>
      <c r="F36" s="4" t="inlineStr">
        <is>
          <t>Kanto</t>
        </is>
      </c>
      <c r="G36" s="5" t="inlineStr">
        <is>
          <t>https://www.taiyo-denshi.com/</t>
        </is>
      </c>
      <c r="H36" s="4" t="inlineStr">
        <is>
          <t>Vet ICU maker (Altus series); JAMO member</t>
        </is>
      </c>
      <c r="I36" s="4" t="inlineStr">
        <is>
          <t>Own ICU; no ultrasound</t>
        </is>
      </c>
      <c r="J36" s="4" t="inlineStr">
        <is>
          <t>Companion</t>
        </is>
      </c>
      <c r="K36" s="4" t="inlineStr">
        <is>
          <t>Suginami, Tokyo; national</t>
        </is>
      </c>
      <c r="L36" s="4" t="inlineStr">
        <is>
          <t>Not found</t>
        </is>
      </c>
      <c r="M36" s="4" t="inlineStr">
        <is>
          <t>n/a</t>
        </is>
      </c>
      <c r="N36" s="4" t="inlineStr">
        <is>
          <t>Not identified</t>
        </is>
      </c>
      <c r="O36" s="4" t="inlineStr">
        <is>
          <t>Not identified</t>
        </is>
      </c>
      <c r="P36" s="4" t="inlineStr">
        <is>
          <t>Not published; inquiry form: https://www.taiyo-denshi.com/contents/category/contact/</t>
        </is>
      </c>
      <c r="Q36" s="4" t="inlineStr">
        <is>
          <t>03 3316 1848</t>
        </is>
      </c>
      <c r="R36" s="4" t="inlineStr">
        <is>
          <t>Not identified</t>
        </is>
      </c>
      <c r="S36" s="4" t="inlineStr">
        <is>
          <t>Company inquiry only (form); FLAG company registration closed (liquidation completed 4 Nov 2025 per gBizINFO)</t>
        </is>
      </c>
      <c r="T36" s="6">
        <f>SUM(Z36:AF36)</f>
        <v>20</v>
      </c>
      <c r="U36" s="7" t="inlineStr">
        <is>
          <t>V1</t>
        </is>
      </c>
      <c r="V36" s="4" t="inlineStr">
        <is>
          <t>Domestic vet ICU maker in the JAMO association; existing hospital relationships. FLAG: Some ICU models discontinued; confirm current activity.</t>
        </is>
      </c>
      <c r="W36" s="4" t="inlineStr">
        <is>
          <t>ICU bedside point of care ultrasound.</t>
        </is>
      </c>
      <c r="X36" s="4" t="inlineStr">
        <is>
          <t>Not checked (human list not in v17)</t>
        </is>
      </c>
      <c r="Y36" s="4" t="inlineStr">
        <is>
          <t>https://www.jamo.or.jp/member/ ; https://www.nashinoki-vet.com/column/2016/4017/ ; https://www.taiyo-denshi.com/contents/category/contact/</t>
        </is>
      </c>
      <c r="Z36" s="4" t="n">
        <v>4</v>
      </c>
      <c r="AA36" s="4" t="n">
        <v>1</v>
      </c>
      <c r="AB36" s="4" t="n">
        <v>5</v>
      </c>
      <c r="AC36" s="4" t="n">
        <v>3</v>
      </c>
      <c r="AD36" s="4" t="n">
        <v>1</v>
      </c>
      <c r="AE36" s="4" t="n">
        <v>3</v>
      </c>
      <c r="AF36" s="4" t="n">
        <v>3</v>
      </c>
      <c r="AG36" s="4" t="inlineStr">
        <is>
          <t>Evidence backed</t>
        </is>
      </c>
    </row>
    <row r="37" ht="75" customHeight="1">
      <c r="A37" s="4" t="n">
        <v>33</v>
      </c>
      <c r="B37" s="4" t="inlineStr">
        <is>
          <t>Kimura Med Co., Ltd.</t>
        </is>
      </c>
      <c r="C37" s="4" t="inlineStr">
        <is>
          <t>株式会社キムラメド</t>
        </is>
      </c>
      <c r="D37" s="4" t="inlineStr">
        <is>
          <t>Not found (NTA lookup blocked; dedupe by Japanese name)</t>
        </is>
      </c>
      <c r="E37" s="4" t="inlineStr">
        <is>
          <t>Tokyo</t>
        </is>
      </c>
      <c r="F37" s="4" t="inlineStr">
        <is>
          <t>Kanto</t>
        </is>
      </c>
      <c r="G37" s="5" t="inlineStr">
        <is>
          <t>https://www.kimuramed.jp/</t>
        </is>
      </c>
      <c r="H37" s="4" t="inlineStr">
        <is>
          <t>Vet devices on market (VentStar ventilator, now discontinued; O2 concentrators)</t>
        </is>
      </c>
      <c r="I37" s="4" t="inlineStr">
        <is>
          <t>Own; no ultrasound</t>
        </is>
      </c>
      <c r="J37" s="4" t="inlineStr">
        <is>
          <t>Companion</t>
        </is>
      </c>
      <c r="K37" s="4" t="inlineStr">
        <is>
          <t>National via vet dealers</t>
        </is>
      </c>
      <c r="L37" s="4" t="inlineStr">
        <is>
          <t>Not found</t>
        </is>
      </c>
      <c r="M37" s="4" t="inlineStr">
        <is>
          <t>n/a</t>
        </is>
      </c>
      <c r="N37" s="4" t="inlineStr">
        <is>
          <t>Not identified</t>
        </is>
      </c>
      <c r="O37" s="4" t="inlineStr">
        <is>
          <t>Not identified</t>
        </is>
      </c>
      <c r="P37" s="4" t="inlineStr">
        <is>
          <t>Not published; inquiry form: https://www.kimuramed.jp/contact/</t>
        </is>
      </c>
      <c r="Q37" s="4" t="inlineStr">
        <is>
          <t>03 5849 3192</t>
        </is>
      </c>
      <c r="R37" s="4" t="inlineStr">
        <is>
          <t>Not identified</t>
        </is>
      </c>
      <c r="S37" s="4" t="inlineStr">
        <is>
          <t>Company inquiry only (form)</t>
        </is>
      </c>
      <c r="T37" s="6">
        <f>SUM(Z37:AF37)</f>
        <v>19</v>
      </c>
      <c r="U37" s="7" t="inlineStr">
        <is>
          <t>V1</t>
        </is>
      </c>
      <c r="V37" s="4" t="inlineStr">
        <is>
          <t>Vet ICU and oxygen equipment supplier with an existing vet channel. FLAG: VentStar ventilator discontinued; confirm current vet activity.</t>
        </is>
      </c>
      <c r="W37" s="4" t="inlineStr">
        <is>
          <t>Complementary ICU line; ask about their dealer network.</t>
        </is>
      </c>
      <c r="X37" s="4" t="inlineStr">
        <is>
          <t>Not checked (human list not in v17)</t>
        </is>
      </c>
      <c r="Y37" s="4" t="inlineStr">
        <is>
          <t>https://medical-space.co.jp/products/2309/ ; https://www.kimuramed.jp/contact/</t>
        </is>
      </c>
      <c r="Z37" s="4" t="n">
        <v>4</v>
      </c>
      <c r="AA37" s="4" t="n">
        <v>1</v>
      </c>
      <c r="AB37" s="4" t="n">
        <v>5</v>
      </c>
      <c r="AC37" s="4" t="n">
        <v>3</v>
      </c>
      <c r="AD37" s="4" t="n">
        <v>1</v>
      </c>
      <c r="AE37" s="4" t="n">
        <v>3</v>
      </c>
      <c r="AF37" s="4" t="n">
        <v>2</v>
      </c>
      <c r="AG37" s="4" t="inlineStr">
        <is>
          <t>Evidence backed</t>
        </is>
      </c>
    </row>
    <row r="38" ht="75" customHeight="1">
      <c r="A38" s="4" t="n">
        <v>34</v>
      </c>
      <c r="B38" s="4" t="inlineStr">
        <is>
          <t>Marubun Corporation (Medical Device)</t>
        </is>
      </c>
      <c r="C38" s="4" t="inlineStr">
        <is>
          <t>丸文株式会社</t>
        </is>
      </c>
      <c r="D38" s="4" t="inlineStr">
        <is>
          <t>Not found (NTA lookup blocked; dedupe by Japanese name)</t>
        </is>
      </c>
      <c r="E38" s="4" t="inlineStr">
        <is>
          <t>Tokyo</t>
        </is>
      </c>
      <c r="F38" s="4" t="inlineStr">
        <is>
          <t>Kanto</t>
        </is>
      </c>
      <c r="G38" s="5" t="inlineStr">
        <is>
          <t>https://www.marubun.co.jp</t>
        </is>
      </c>
      <c r="H38" s="4" t="inlineStr">
        <is>
          <t>Sole Japan distributor for Clarius handheld ultrasound (human; foreign special approval)</t>
        </is>
      </c>
      <c r="I38" s="4" t="inlineStr">
        <is>
          <t>Clarius handheld (competing handheld)</t>
        </is>
      </c>
      <c r="J38" s="4" t="inlineStr">
        <is>
          <t>Companion</t>
        </is>
      </c>
      <c r="K38" s="4" t="inlineStr">
        <is>
          <t>National</t>
        </is>
      </c>
      <c r="L38" s="4" t="inlineStr">
        <is>
          <t>Listed electronics trading house</t>
        </is>
      </c>
      <c r="M38" s="4" t="inlineStr">
        <is>
          <t>n/a</t>
        </is>
      </c>
      <c r="N38" s="4" t="inlineStr">
        <is>
          <t>Not identified</t>
        </is>
      </c>
      <c r="O38" s="4" t="inlineStr">
        <is>
          <t>Not identified</t>
        </is>
      </c>
      <c r="P38" s="4" t="inlineStr">
        <is>
          <t>Not published; inquiry form: https://www.marubun.co.jp/products/51908/</t>
        </is>
      </c>
      <c r="Q38" s="4" t="inlineStr">
        <is>
          <t>Not found</t>
        </is>
      </c>
      <c r="R38" s="4" t="inlineStr">
        <is>
          <t>Not identified</t>
        </is>
      </c>
      <c r="S38" s="4" t="inlineStr">
        <is>
          <t>Company inquiry only (form)</t>
        </is>
      </c>
      <c r="T38" s="6">
        <f>SUM(Z38:AF38)</f>
        <v>19</v>
      </c>
      <c r="U38" s="7" t="inlineStr">
        <is>
          <t>V1</t>
        </is>
      </c>
      <c r="V38" s="4" t="inlineStr">
        <is>
          <t>Electronics trader that built an ultrasound business in 2024; Clarius has a vet range not yet launched in Japan via them. FLAG: Carries a competing handheld brand.</t>
        </is>
      </c>
      <c r="W38" s="4" t="inlineStr">
        <is>
          <t>Conflicted on handhelds; pitch carts or portables where Clarius has no product.</t>
        </is>
      </c>
      <c r="X38" s="4" t="inlineStr">
        <is>
          <t>Not checked (human list not in v17)</t>
        </is>
      </c>
      <c r="Y38" s="4" t="inlineStr">
        <is>
          <t>https://www.marubun.co.jp/info/2024/50370 ; https://clarius.com/?p=125094 ; https://www.marubun.co.jp/products/51908/</t>
        </is>
      </c>
      <c r="Z38" s="4" t="n">
        <v>4</v>
      </c>
      <c r="AA38" s="4" t="n">
        <v>4</v>
      </c>
      <c r="AB38" s="4" t="n">
        <v>2</v>
      </c>
      <c r="AC38" s="4" t="n">
        <v>2</v>
      </c>
      <c r="AD38" s="4" t="n">
        <v>1</v>
      </c>
      <c r="AE38" s="4" t="n">
        <v>3</v>
      </c>
      <c r="AF38" s="4" t="n">
        <v>3</v>
      </c>
      <c r="AG38" s="4" t="inlineStr">
        <is>
          <t>Evidence backed</t>
        </is>
      </c>
    </row>
    <row r="39" ht="75" customHeight="1">
      <c r="A39" s="4" t="n">
        <v>35</v>
      </c>
      <c r="B39" s="4" t="inlineStr">
        <is>
          <t>Sophiatech Co., Ltd.</t>
        </is>
      </c>
      <c r="C39" s="4" t="inlineStr">
        <is>
          <t>株式会社ソフィアテック</t>
        </is>
      </c>
      <c r="D39" s="4" t="inlineStr">
        <is>
          <t>Not found (NTA lookup blocked; dedupe by Japanese name)</t>
        </is>
      </c>
      <c r="E39" s="4" t="inlineStr">
        <is>
          <t>Tokyo</t>
        </is>
      </c>
      <c r="F39" s="4" t="inlineStr">
        <is>
          <t>Kanto</t>
        </is>
      </c>
      <c r="G39" s="5" t="inlineStr">
        <is>
          <t>https://www.sophiatech.co.jp</t>
        </is>
      </c>
      <c r="H39" s="4" t="inlineStr">
        <is>
          <t>Vet titanium screw and plate approvals shown on site</t>
        </is>
      </c>
      <c r="I39" s="4" t="inlineStr">
        <is>
          <t>Orthopaedic implants; no ultrasound</t>
        </is>
      </c>
      <c r="J39" s="4" t="inlineStr">
        <is>
          <t>Companion</t>
        </is>
      </c>
      <c r="K39" s="4" t="inlineStr">
        <is>
          <t>National</t>
        </is>
      </c>
      <c r="L39" s="4" t="inlineStr">
        <is>
          <t>Not found</t>
        </is>
      </c>
      <c r="M39" s="4" t="inlineStr">
        <is>
          <t>n/a</t>
        </is>
      </c>
      <c r="N39" s="4" t="inlineStr">
        <is>
          <t>Not identified</t>
        </is>
      </c>
      <c r="O39" s="4" t="inlineStr">
        <is>
          <t>Not identified</t>
        </is>
      </c>
      <c r="P39" s="4" t="inlineStr">
        <is>
          <t>Not published; inquiry form: https://www.sophiatech.co.jp/</t>
        </is>
      </c>
      <c r="Q39" s="4" t="inlineStr">
        <is>
          <t>042 736 3903</t>
        </is>
      </c>
      <c r="R39" s="4" t="inlineStr">
        <is>
          <t>Not identified</t>
        </is>
      </c>
      <c r="S39" s="4" t="inlineStr">
        <is>
          <t>Company inquiry only (form); operated by 株式会社プラトンジャパン ソフィアテック事業部 (Machida, Tokyo)</t>
        </is>
      </c>
      <c r="T39" s="6">
        <f>SUM(Z39:AF39)</f>
        <v>19</v>
      </c>
      <c r="U39" s="7" t="inlineStr">
        <is>
          <t>V1</t>
        </is>
      </c>
      <c r="V39" s="4" t="inlineStr">
        <is>
          <t>Holds vet orthopaedic approvals, so understands MAFF filings; orthopaedic surgeons are ultrasound buyers for MSK work. FLAG: HQ prefecture not confirmed.</t>
        </is>
      </c>
      <c r="W39" s="4" t="inlineStr">
        <is>
          <t>SonoEye P5 high frequency linear for MSK and peri operative use.</t>
        </is>
      </c>
      <c r="X39" s="4" t="inlineStr">
        <is>
          <t>Not checked (human list not in v17)</t>
        </is>
      </c>
      <c r="Y39" s="4" t="inlineStr">
        <is>
          <t>https://www.sophiatech.co.jp/orthppedic-implants?lightbox=image9xt ; https://www.sophiatech.co.jp/</t>
        </is>
      </c>
      <c r="Z39" s="4" t="n">
        <v>4</v>
      </c>
      <c r="AA39" s="4" t="n">
        <v>1</v>
      </c>
      <c r="AB39" s="4" t="n">
        <v>5</v>
      </c>
      <c r="AC39" s="4" t="n">
        <v>3</v>
      </c>
      <c r="AD39" s="4" t="n">
        <v>1</v>
      </c>
      <c r="AE39" s="4" t="n">
        <v>2</v>
      </c>
      <c r="AF39" s="4" t="n">
        <v>3</v>
      </c>
      <c r="AG39" s="4" t="inlineStr">
        <is>
          <t>Evidence backed</t>
        </is>
      </c>
    </row>
    <row r="40" ht="75" customHeight="1">
      <c r="A40" s="4" t="n">
        <v>36</v>
      </c>
      <c r="B40" s="4" t="inlineStr">
        <is>
          <t>Kruz Medical</t>
        </is>
      </c>
      <c r="C40" s="4" t="inlineStr">
        <is>
          <t>クルーズメディカル</t>
        </is>
      </c>
      <c r="D40" s="4" t="inlineStr">
        <is>
          <t>Not found (NTA lookup blocked; dedupe by Japanese name)</t>
        </is>
      </c>
      <c r="E40" s="4" t="inlineStr">
        <is>
          <t>Osaka</t>
        </is>
      </c>
      <c r="F40" s="4" t="inlineStr">
        <is>
          <t>Kansai</t>
        </is>
      </c>
      <c r="G40" s="5" t="inlineStr">
        <is>
          <t>https://kruz-medical.co.jp/</t>
        </is>
      </c>
      <c r="H40" s="4" t="inlineStr">
        <is>
          <t>Vet device sales with clinic opening, relocation and renewal support</t>
        </is>
      </c>
      <c r="I40" s="4" t="inlineStr">
        <is>
          <t>Sells CT and ultrasound among other devices (brands not confirmed)</t>
        </is>
      </c>
      <c r="J40" s="4" t="inlineStr">
        <is>
          <t>Companion</t>
        </is>
      </c>
      <c r="K40" s="4" t="inlineStr">
        <is>
          <t>Osaka base; national openings</t>
        </is>
      </c>
      <c r="L40" s="4" t="inlineStr">
        <is>
          <t>Not found</t>
        </is>
      </c>
      <c r="M40" s="4" t="inlineStr">
        <is>
          <t>n/a</t>
        </is>
      </c>
      <c r="N40" s="4" t="inlineStr">
        <is>
          <t>Not identified</t>
        </is>
      </c>
      <c r="O40" s="4" t="inlineStr">
        <is>
          <t>Not identified</t>
        </is>
      </c>
      <c r="P40" s="4" t="inlineStr">
        <is>
          <t>info@kruz.co.jp</t>
        </is>
      </c>
      <c r="Q40" s="4" t="inlineStr">
        <is>
          <t>06 6190 2500</t>
        </is>
      </c>
      <c r="R40" s="4" t="inlineStr">
        <is>
          <t>Not identified</t>
        </is>
      </c>
      <c r="S40" s="4" t="inlineStr">
        <is>
          <t>Verified (published on own site, read via search); from older company site</t>
        </is>
      </c>
      <c r="T40" s="6">
        <f>SUM(Z40:AF40)</f>
        <v>22</v>
      </c>
      <c r="U40" s="8" t="inlineStr">
        <is>
          <t>V2</t>
        </is>
      </c>
      <c r="V40" s="4" t="inlineStr">
        <is>
          <t>Osaka company running vet clinic openings end to end and selling equipment from CT and ultrasound to consumables. FLAG: Legal name and current ultrasound brand not confirmed.</t>
        </is>
      </c>
      <c r="W40" s="4" t="inlineStr">
        <is>
          <t>Opening package partner: portable plus cart ultrasound in their standard equipment list.</t>
        </is>
      </c>
      <c r="X40" s="4" t="inlineStr">
        <is>
          <t>Not checked (human list not in v17)</t>
        </is>
      </c>
      <c r="Y40" s="4" t="inlineStr">
        <is>
          <t>https://kruz-medical.co.jp/business/ ; https://kruz.co.jp/ ; http://kruz.co.jp/profile.html</t>
        </is>
      </c>
      <c r="Z40" s="4" t="n">
        <v>3</v>
      </c>
      <c r="AA40" s="4" t="n">
        <v>4</v>
      </c>
      <c r="AB40" s="4" t="n">
        <v>3</v>
      </c>
      <c r="AC40" s="4" t="n">
        <v>5</v>
      </c>
      <c r="AD40" s="4" t="n">
        <v>1</v>
      </c>
      <c r="AE40" s="4" t="n">
        <v>3</v>
      </c>
      <c r="AF40" s="4" t="n">
        <v>3</v>
      </c>
      <c r="AG40" s="4" t="inlineStr">
        <is>
          <t>Evidence backed</t>
        </is>
      </c>
    </row>
    <row r="41" ht="75" customHeight="1">
      <c r="A41" s="4" t="n">
        <v>37</v>
      </c>
      <c r="B41" s="4" t="inlineStr">
        <is>
          <t>AVS Co., Ltd.</t>
        </is>
      </c>
      <c r="C41" s="4" t="inlineStr">
        <is>
          <t>株式会社AVS</t>
        </is>
      </c>
      <c r="D41" s="4" t="inlineStr">
        <is>
          <t>Not found (NTA lookup blocked; dedupe by Japanese name)</t>
        </is>
      </c>
      <c r="E41" s="4" t="inlineStr">
        <is>
          <t>Tokyo</t>
        </is>
      </c>
      <c r="F41" s="4" t="inlineStr">
        <is>
          <t>Kanto</t>
        </is>
      </c>
      <c r="G41" s="4" t="inlineStr">
        <is>
          <t>Not found</t>
        </is>
      </c>
      <c r="H41" s="4" t="inlineStr">
        <is>
          <t>Vet endoscopy systems (JAMO member)</t>
        </is>
      </c>
      <c r="I41" s="4" t="inlineStr">
        <is>
          <t>Vet endoscopes; no ultrasound</t>
        </is>
      </c>
      <c r="J41" s="4" t="inlineStr">
        <is>
          <t>Companion</t>
        </is>
      </c>
      <c r="K41" s="4" t="inlineStr">
        <is>
          <t>Shibuya, Tokyo; national</t>
        </is>
      </c>
      <c r="L41" s="4" t="inlineStr">
        <is>
          <t>Not found</t>
        </is>
      </c>
      <c r="M41" s="4" t="inlineStr">
        <is>
          <t>n/a</t>
        </is>
      </c>
      <c r="N41" s="4" t="inlineStr">
        <is>
          <t>Not identified</t>
        </is>
      </c>
      <c r="O41" s="4" t="inlineStr">
        <is>
          <t>Not identified</t>
        </is>
      </c>
      <c r="P41" s="4" t="inlineStr">
        <is>
          <t>Not published; phone only</t>
        </is>
      </c>
      <c r="Q41" s="4" t="inlineStr">
        <is>
          <t>0120 044 071 (per 2021 notice)</t>
        </is>
      </c>
      <c r="R41" s="4" t="inlineStr">
        <is>
          <t>Not identified</t>
        </is>
      </c>
      <c r="S41" s="4" t="inlineStr">
        <is>
          <t>Unverified; FLAG company dissolved end of March 2022, vet aftersales moved to Olympus Marketing</t>
        </is>
      </c>
      <c r="T41" s="6">
        <f>SUM(Z41:AF41)</f>
        <v>22</v>
      </c>
      <c r="U41" s="8" t="inlineStr">
        <is>
          <t>V2</t>
        </is>
      </c>
      <c r="V41" s="4" t="inlineStr">
        <is>
          <t>Vet endoscopy specialist in JAMO; imaging minded sales team.</t>
        </is>
      </c>
      <c r="W41" s="4" t="inlineStr">
        <is>
          <t>GI imaging bundle: endoscopy plus abdominal ultrasound.</t>
        </is>
      </c>
      <c r="X41" s="4" t="inlineStr">
        <is>
          <t>Not checked (human list not in v17)</t>
        </is>
      </c>
      <c r="Y41" s="4" t="inlineStr">
        <is>
          <t>https://www.jamo.or.jp/member/ ; https://www.avs.co.jp/contact/</t>
        </is>
      </c>
      <c r="Z41" s="4" t="n">
        <v>3</v>
      </c>
      <c r="AA41" s="4" t="n">
        <v>3</v>
      </c>
      <c r="AB41" s="4" t="n">
        <v>5</v>
      </c>
      <c r="AC41" s="4" t="n">
        <v>4</v>
      </c>
      <c r="AD41" s="4" t="n">
        <v>1</v>
      </c>
      <c r="AE41" s="4" t="n">
        <v>3</v>
      </c>
      <c r="AF41" s="4" t="n">
        <v>3</v>
      </c>
      <c r="AG41" s="4" t="inlineStr">
        <is>
          <t>Evidence backed</t>
        </is>
      </c>
    </row>
    <row r="42" ht="75" customHeight="1">
      <c r="A42" s="4" t="n">
        <v>38</v>
      </c>
      <c r="B42" s="4" t="inlineStr">
        <is>
          <t>Frontier International Co., Ltd.</t>
        </is>
      </c>
      <c r="C42" s="4" t="inlineStr">
        <is>
          <t>株式会社フロンティアインターナショナル</t>
        </is>
      </c>
      <c r="D42" s="4" t="inlineStr">
        <is>
          <t>Not found (NTA lookup blocked; dedupe by Japanese name)</t>
        </is>
      </c>
      <c r="E42" s="4" t="inlineStr">
        <is>
          <t>Kanagawa</t>
        </is>
      </c>
      <c r="F42" s="4" t="inlineStr">
        <is>
          <t>Kanto</t>
        </is>
      </c>
      <c r="G42" s="5" t="inlineStr">
        <is>
          <t>https://frontier-intl.co.jp</t>
        </is>
      </c>
      <c r="H42" s="4" t="inlineStr">
        <is>
          <t>Livestock supplies; sells vet ultrasound to vets and zoos</t>
        </is>
      </c>
      <c r="I42" s="4" t="inlineStr">
        <is>
          <t>IMV imaging (Easi Scan Go, EXAPAD mini, EXAGO)</t>
        </is>
      </c>
      <c r="J42" s="4" t="inlineStr">
        <is>
          <t>Large animal</t>
        </is>
      </c>
      <c r="K42" s="4" t="inlineStr">
        <is>
          <t>National swine and cattle</t>
        </is>
      </c>
      <c r="L42" s="4" t="inlineStr">
        <is>
          <t>Not found</t>
        </is>
      </c>
      <c r="M42" s="4" t="inlineStr">
        <is>
          <t>n/a</t>
        </is>
      </c>
      <c r="N42" s="4" t="inlineStr">
        <is>
          <t>Not identified</t>
        </is>
      </c>
      <c r="O42" s="4" t="inlineStr">
        <is>
          <t>Not identified</t>
        </is>
      </c>
      <c r="P42" s="4" t="inlineStr">
        <is>
          <t>Not published; phone only</t>
        </is>
      </c>
      <c r="Q42" s="4" t="inlineStr">
        <is>
          <t>Not found (use site)</t>
        </is>
      </c>
      <c r="R42" s="4" t="inlineStr">
        <is>
          <t>Not identified</t>
        </is>
      </c>
      <c r="S42" s="4" t="inlineStr">
        <is>
          <t>Company inquiry only (form); HQ Kawasaki (Asao), Kanagawa</t>
        </is>
      </c>
      <c r="T42" s="6">
        <f>SUM(Z42:AF42)</f>
        <v>21</v>
      </c>
      <c r="U42" s="8" t="inlineStr">
        <is>
          <t>V2</t>
        </is>
      </c>
      <c r="V42" s="4" t="inlineStr">
        <is>
          <t>Sells bovine and swine ultrasound to vets; experienced in large animal imaging. FLAG: Carries IMV imaging ultrasound (brand conflict). HQ not confirmed; a same name Tokyo promotion firm is a different company.</t>
        </is>
      </c>
      <c r="W42" s="4" t="inlineStr">
        <is>
          <t>Second source for affordable livestock portables (EBit 50).</t>
        </is>
      </c>
      <c r="X42" s="4" t="inlineStr">
        <is>
          <t>Not checked (human list not in v17)</t>
        </is>
      </c>
      <c r="Y42" s="4" t="inlineStr">
        <is>
          <t>https://frontier-intl.co.jp/product/tyouonpasindankilist/</t>
        </is>
      </c>
      <c r="Z42" s="4" t="n">
        <v>3</v>
      </c>
      <c r="AA42" s="4" t="n">
        <v>5</v>
      </c>
      <c r="AB42" s="4" t="n">
        <v>2</v>
      </c>
      <c r="AC42" s="4" t="n">
        <v>1</v>
      </c>
      <c r="AD42" s="4" t="n">
        <v>5</v>
      </c>
      <c r="AE42" s="4" t="n">
        <v>2</v>
      </c>
      <c r="AF42" s="4" t="n">
        <v>3</v>
      </c>
      <c r="AG42" s="4" t="inlineStr">
        <is>
          <t>Evidence backed</t>
        </is>
      </c>
    </row>
    <row r="43" ht="75" customHeight="1">
      <c r="A43" s="4" t="n">
        <v>39</v>
      </c>
      <c r="B43" s="4" t="inlineStr">
        <is>
          <t>Osada Medical Co., Ltd.</t>
        </is>
      </c>
      <c r="C43" s="4" t="inlineStr">
        <is>
          <t>株式会社オサダメディカル</t>
        </is>
      </c>
      <c r="D43" s="4" t="inlineStr">
        <is>
          <t>Not found (NTA lookup blocked; dedupe by Japanese name)</t>
        </is>
      </c>
      <c r="E43" s="4" t="inlineStr">
        <is>
          <t>Tokyo</t>
        </is>
      </c>
      <c r="F43" s="4" t="inlineStr">
        <is>
          <t>Kanto</t>
        </is>
      </c>
      <c r="G43" s="4" t="inlineStr">
        <is>
          <t>Not found</t>
        </is>
      </c>
      <c r="H43" s="4" t="inlineStr">
        <is>
          <t>Vet bone surgery, laser, dental, handheld X ray, tables, sterilisers (JAMO member)</t>
        </is>
      </c>
      <c r="I43" s="4" t="inlineStr">
        <is>
          <t>No ultrasound</t>
        </is>
      </c>
      <c r="J43" s="4" t="inlineStr">
        <is>
          <t>Companion</t>
        </is>
      </c>
      <c r="K43" s="4" t="inlineStr">
        <is>
          <t>Shinagawa, Tokyo; national</t>
        </is>
      </c>
      <c r="L43" s="4" t="inlineStr">
        <is>
          <t>Not found</t>
        </is>
      </c>
      <c r="M43" s="4" t="inlineStr">
        <is>
          <t>n/a</t>
        </is>
      </c>
      <c r="N43" s="4" t="inlineStr">
        <is>
          <t>Not identified</t>
        </is>
      </c>
      <c r="O43" s="4" t="inlineStr">
        <is>
          <t>Not identified</t>
        </is>
      </c>
      <c r="P43" s="4" t="inlineStr">
        <is>
          <t>Not published; phone only</t>
        </is>
      </c>
      <c r="Q43" s="4" t="inlineStr">
        <is>
          <t>Not found</t>
        </is>
      </c>
      <c r="R43" s="4" t="inlineStr">
        <is>
          <t>Not identified</t>
        </is>
      </c>
      <c r="S43" s="4" t="inlineStr">
        <is>
          <t>Unverified (no contact found in search)</t>
        </is>
      </c>
      <c r="T43" s="6">
        <f>SUM(Z43:AF43)</f>
        <v>21</v>
      </c>
      <c r="U43" s="8" t="inlineStr">
        <is>
          <t>V2</t>
        </is>
      </c>
      <c r="V43" s="4" t="inlineStr">
        <is>
          <t>Broad vet equipment catalogue including handheld X ray; imaging adjacent with no ultrasound.</t>
        </is>
      </c>
      <c r="W43" s="4" t="inlineStr">
        <is>
          <t>Add a portable ultrasound to their handheld X ray offer.</t>
        </is>
      </c>
      <c r="X43" s="4" t="inlineStr">
        <is>
          <t>Not checked (human list not in v17)</t>
        </is>
      </c>
      <c r="Y43" s="4" t="inlineStr">
        <is>
          <t>https://www.jamo.or.jp/member/</t>
        </is>
      </c>
      <c r="Z43" s="4" t="n">
        <v>3</v>
      </c>
      <c r="AA43" s="4" t="n">
        <v>2</v>
      </c>
      <c r="AB43" s="4" t="n">
        <v>5</v>
      </c>
      <c r="AC43" s="4" t="n">
        <v>4</v>
      </c>
      <c r="AD43" s="4" t="n">
        <v>1</v>
      </c>
      <c r="AE43" s="4" t="n">
        <v>3</v>
      </c>
      <c r="AF43" s="4" t="n">
        <v>3</v>
      </c>
      <c r="AG43" s="4" t="inlineStr">
        <is>
          <t>Evidence backed</t>
        </is>
      </c>
    </row>
    <row r="44" ht="75" customHeight="1">
      <c r="A44" s="4" t="n">
        <v>40</v>
      </c>
      <c r="B44" s="4" t="inlineStr">
        <is>
          <t>Cornes AG Ltd.</t>
        </is>
      </c>
      <c r="C44" s="4" t="inlineStr">
        <is>
          <t>コーンズ・エージー株式会社</t>
        </is>
      </c>
      <c r="D44" s="4" t="inlineStr">
        <is>
          <t>Not found (NTA lookup blocked; dedupe by Japanese name)</t>
        </is>
      </c>
      <c r="E44" s="4" t="inlineStr">
        <is>
          <t>Hokkaido</t>
        </is>
      </c>
      <c r="F44" s="4" t="inlineStr">
        <is>
          <t>Tohoku and Hokkaido</t>
        </is>
      </c>
      <c r="G44" s="5" t="inlineStr">
        <is>
          <t>https://www.cornesag.com</t>
        </is>
      </c>
      <c r="H44" s="4" t="inlineStr">
        <is>
          <t>Dairy equipment and herd monitoring (Afimilk); vet device licence not confirmed</t>
        </is>
      </c>
      <c r="I44" s="4" t="inlineStr">
        <is>
          <t>No ultrasound identified</t>
        </is>
      </c>
      <c r="J44" s="4" t="inlineStr">
        <is>
          <t>Large animal</t>
        </is>
      </c>
      <c r="K44" s="4" t="inlineStr">
        <is>
          <t>Hokkaido and dairy regions nationwide</t>
        </is>
      </c>
      <c r="L44" s="4" t="inlineStr">
        <is>
          <t>Not found</t>
        </is>
      </c>
      <c r="M44" s="4" t="inlineStr">
        <is>
          <t>n/a</t>
        </is>
      </c>
      <c r="N44" s="4" t="inlineStr">
        <is>
          <t>Not identified</t>
        </is>
      </c>
      <c r="O44" s="4" t="inlineStr">
        <is>
          <t>Not identified</t>
        </is>
      </c>
      <c r="P44" s="4" t="inlineStr">
        <is>
          <t>Not published; inquiry form: https://www.cornesag.com/inquiry/</t>
        </is>
      </c>
      <c r="Q44" s="4" t="inlineStr">
        <is>
          <t>0123 32 1452</t>
        </is>
      </c>
      <c r="R44" s="4" t="inlineStr">
        <is>
          <t>Not identified</t>
        </is>
      </c>
      <c r="S44" s="4" t="inlineStr">
        <is>
          <t>Company inquiry only (form)</t>
        </is>
      </c>
      <c r="T44" s="6">
        <f>SUM(Z44:AF44)</f>
        <v>21</v>
      </c>
      <c r="U44" s="8" t="inlineStr">
        <is>
          <t>V2</t>
        </is>
      </c>
      <c r="V44" s="4" t="inlineStr">
        <is>
          <t>Dairy technology dealer with service engineers on farms; repro monitoring customers also buy pregnancy scanners. FLAG: Vet device sales licence not confirmed.</t>
        </is>
      </c>
      <c r="W44" s="4" t="inlineStr">
        <is>
          <t>Bundle repro ultrasound with their heat detection systems.</t>
        </is>
      </c>
      <c r="X44" s="4" t="inlineStr">
        <is>
          <t>Not checked (human list not in v17)</t>
        </is>
      </c>
      <c r="Y44" s="4" t="inlineStr">
        <is>
          <t>https://www.cornesag.com/product/milking/breeding_management/afimilk_afiact/feature.html ; https://www.cornesag.com/inquiry/</t>
        </is>
      </c>
      <c r="Z44" s="4" t="n">
        <v>2</v>
      </c>
      <c r="AA44" s="4" t="n">
        <v>1</v>
      </c>
      <c r="AB44" s="4" t="n">
        <v>5</v>
      </c>
      <c r="AC44" s="4" t="n">
        <v>1</v>
      </c>
      <c r="AD44" s="4" t="n">
        <v>5</v>
      </c>
      <c r="AE44" s="4" t="n">
        <v>4</v>
      </c>
      <c r="AF44" s="4" t="n">
        <v>3</v>
      </c>
      <c r="AG44" s="4" t="inlineStr">
        <is>
          <t>Evidence backed</t>
        </is>
      </c>
    </row>
    <row r="45" ht="75" customHeight="1">
      <c r="A45" s="4" t="n">
        <v>41</v>
      </c>
      <c r="B45" s="4" t="inlineStr">
        <is>
          <t>Sakai Medical</t>
        </is>
      </c>
      <c r="C45" s="4" t="inlineStr">
        <is>
          <t>サカイ・メディカル</t>
        </is>
      </c>
      <c r="D45" s="4" t="inlineStr">
        <is>
          <t>Not found (NTA lookup blocked; dedupe by Japanese name)</t>
        </is>
      </c>
      <c r="E45" s="4" t="inlineStr">
        <is>
          <t>Niigata</t>
        </is>
      </c>
      <c r="F45" s="4" t="inlineStr">
        <is>
          <t>Chubu</t>
        </is>
      </c>
      <c r="G45" s="5" t="inlineStr">
        <is>
          <t>https://sakai-me.com/</t>
        </is>
      </c>
      <c r="H45" s="4" t="inlineStr">
        <is>
          <t>Vet device sales and opening support</t>
        </is>
      </c>
      <c r="I45" s="4" t="inlineStr">
        <is>
          <t>Not identified</t>
        </is>
      </c>
      <c r="J45" s="4" t="inlineStr">
        <is>
          <t>Companion</t>
        </is>
      </c>
      <c r="K45" s="4" t="inlineStr">
        <is>
          <t>Niigata</t>
        </is>
      </c>
      <c r="L45" s="4" t="inlineStr">
        <is>
          <t>Not found</t>
        </is>
      </c>
      <c r="M45" s="4" t="inlineStr">
        <is>
          <t>n/a</t>
        </is>
      </c>
      <c r="N45" s="4" t="inlineStr">
        <is>
          <t>Not identified</t>
        </is>
      </c>
      <c r="O45" s="4" t="inlineStr">
        <is>
          <t>Not identified</t>
        </is>
      </c>
      <c r="P45" s="4" t="inlineStr">
        <is>
          <t>Not published; phone only</t>
        </is>
      </c>
      <c r="Q45" s="4" t="inlineStr">
        <is>
          <t>025 387 2144</t>
        </is>
      </c>
      <c r="R45" s="4" t="inlineStr">
        <is>
          <t>Not identified</t>
        </is>
      </c>
      <c r="S45" s="4" t="inlineStr">
        <is>
          <t>Company inquiry only (form)</t>
        </is>
      </c>
      <c r="T45" s="6">
        <f>SUM(Z45:AF45)</f>
        <v>20</v>
      </c>
      <c r="U45" s="8" t="inlineStr">
        <is>
          <t>V2</t>
        </is>
      </c>
      <c r="V45" s="4" t="inlineStr">
        <is>
          <t>One of very few vet dedicated dealers in Niigata and Hokuriku.</t>
        </is>
      </c>
      <c r="W45" s="4" t="inlineStr">
        <is>
          <t>Exclusive Niigata coverage offer with demo stock.</t>
        </is>
      </c>
      <c r="X45" s="4" t="inlineStr">
        <is>
          <t>Not checked (human list not in v17)</t>
        </is>
      </c>
      <c r="Y45" s="4" t="inlineStr">
        <is>
          <t>https://sakai-me.com/</t>
        </is>
      </c>
      <c r="Z45" s="4" t="n">
        <v>3</v>
      </c>
      <c r="AA45" s="4" t="n">
        <v>2</v>
      </c>
      <c r="AB45" s="4" t="n">
        <v>4</v>
      </c>
      <c r="AC45" s="4" t="n">
        <v>4</v>
      </c>
      <c r="AD45" s="4" t="n">
        <v>2</v>
      </c>
      <c r="AE45" s="4" t="n">
        <v>2</v>
      </c>
      <c r="AF45" s="4" t="n">
        <v>3</v>
      </c>
      <c r="AG45" s="4" t="inlineStr">
        <is>
          <t>Evidence backed</t>
        </is>
      </c>
    </row>
    <row r="46" ht="75" customHeight="1">
      <c r="A46" s="4" t="n">
        <v>42</v>
      </c>
      <c r="B46" s="4" t="inlineStr">
        <is>
          <t>Shinmedico Co., Ltd.</t>
        </is>
      </c>
      <c r="C46" s="4" t="inlineStr">
        <is>
          <t>シンメディコ株式会社</t>
        </is>
      </c>
      <c r="D46" s="4" t="inlineStr">
        <is>
          <t>Not found (NTA lookup blocked; dedupe by Japanese name)</t>
        </is>
      </c>
      <c r="E46" s="4" t="inlineStr">
        <is>
          <t>Chiba</t>
        </is>
      </c>
      <c r="F46" s="4" t="inlineStr">
        <is>
          <t>Kanto</t>
        </is>
      </c>
      <c r="G46" s="5" t="inlineStr">
        <is>
          <t>https://shinmedico.jp/</t>
        </is>
      </c>
      <c r="H46" s="4" t="inlineStr">
        <is>
          <t>Imports and sells vet surgical instruments and devices</t>
        </is>
      </c>
      <c r="I46" s="4" t="inlineStr">
        <is>
          <t>Not identified</t>
        </is>
      </c>
      <c r="J46" s="4" t="inlineStr">
        <is>
          <t>Companion</t>
        </is>
      </c>
      <c r="K46" s="4" t="inlineStr">
        <is>
          <t>Chiba; national</t>
        </is>
      </c>
      <c r="L46" s="4" t="inlineStr">
        <is>
          <t>Not found</t>
        </is>
      </c>
      <c r="M46" s="4" t="inlineStr">
        <is>
          <t>n/a</t>
        </is>
      </c>
      <c r="N46" s="4" t="inlineStr">
        <is>
          <t>Not identified</t>
        </is>
      </c>
      <c r="O46" s="4" t="inlineStr">
        <is>
          <t>Not identified</t>
        </is>
      </c>
      <c r="P46" s="4" t="inlineStr">
        <is>
          <t>info@shinmedico.jp</t>
        </is>
      </c>
      <c r="Q46" s="4" t="inlineStr">
        <is>
          <t>047 369 7799</t>
        </is>
      </c>
      <c r="R46" s="4" t="inlineStr">
        <is>
          <t>Not identified</t>
        </is>
      </c>
      <c r="S46" s="4" t="inlineStr">
        <is>
          <t>Verified (published on own site, read via search)</t>
        </is>
      </c>
      <c r="T46" s="6">
        <f>SUM(Z46:AF46)</f>
        <v>20</v>
      </c>
      <c r="U46" s="8" t="inlineStr">
        <is>
          <t>V2</t>
        </is>
      </c>
      <c r="V46" s="4" t="inlineStr">
        <is>
          <t>Importer of vet surgical devices, so used to foreign makers and MAFF paperwork.</t>
        </is>
      </c>
      <c r="W46" s="4" t="inlineStr">
        <is>
          <t>Peri operative ultrasound as an imported add on line.</t>
        </is>
      </c>
      <c r="X46" s="4" t="inlineStr">
        <is>
          <t>Not checked (human list not in v17)</t>
        </is>
      </c>
      <c r="Y46" s="4" t="inlineStr">
        <is>
          <t>https://baseconnect.in/companies/prefecture/3420045f-8609-4232-9407-75407ae4e6e8/keyword/a68873de-8c54-4a2c-820f-e04c8b93064c ; https://shinmedico.jp/company/ ; https://shinmedico.jp/inquiry/</t>
        </is>
      </c>
      <c r="Z46" s="4" t="n">
        <v>3</v>
      </c>
      <c r="AA46" s="4" t="n">
        <v>1</v>
      </c>
      <c r="AB46" s="4" t="n">
        <v>5</v>
      </c>
      <c r="AC46" s="4" t="n">
        <v>4</v>
      </c>
      <c r="AD46" s="4" t="n">
        <v>1</v>
      </c>
      <c r="AE46" s="4" t="n">
        <v>2</v>
      </c>
      <c r="AF46" s="4" t="n">
        <v>4</v>
      </c>
      <c r="AG46" s="4" t="inlineStr">
        <is>
          <t>Evidence backed</t>
        </is>
      </c>
    </row>
    <row r="47" ht="75" customHeight="1">
      <c r="A47" s="4" t="n">
        <v>43</v>
      </c>
      <c r="B47" s="4" t="inlineStr">
        <is>
          <t>Asuka Medical Co., Ltd.</t>
        </is>
      </c>
      <c r="C47" s="4" t="inlineStr">
        <is>
          <t>飛鳥メディカル株式会社</t>
        </is>
      </c>
      <c r="D47" s="4" t="inlineStr">
        <is>
          <t>Not found (NTA lookup blocked; dedupe by Japanese name)</t>
        </is>
      </c>
      <c r="E47" s="4" t="inlineStr">
        <is>
          <t>Kyoto</t>
        </is>
      </c>
      <c r="F47" s="4" t="inlineStr">
        <is>
          <t>Kansai</t>
        </is>
      </c>
      <c r="G47" s="5" t="inlineStr">
        <is>
          <t>http://www.asuka-med.com</t>
        </is>
      </c>
      <c r="H47" s="4" t="inlineStr">
        <is>
          <t>Vet laser devices (JAMO member)</t>
        </is>
      </c>
      <c r="I47" s="4" t="inlineStr">
        <is>
          <t>Lasers; no ultrasound</t>
        </is>
      </c>
      <c r="J47" s="4" t="inlineStr">
        <is>
          <t>Both</t>
        </is>
      </c>
      <c r="K47" s="4" t="inlineStr">
        <is>
          <t>Kyoto; national</t>
        </is>
      </c>
      <c r="L47" s="4" t="inlineStr">
        <is>
          <t>Not found</t>
        </is>
      </c>
      <c r="M47" s="4" t="inlineStr">
        <is>
          <t>n/a</t>
        </is>
      </c>
      <c r="N47" s="4" t="inlineStr">
        <is>
          <t>Not identified</t>
        </is>
      </c>
      <c r="O47" s="4" t="inlineStr">
        <is>
          <t>Not identified</t>
        </is>
      </c>
      <c r="P47" s="4" t="inlineStr">
        <is>
          <t>Not published; phone only</t>
        </is>
      </c>
      <c r="Q47" s="4" t="inlineStr">
        <is>
          <t>075 777 6097</t>
        </is>
      </c>
      <c r="R47" s="4" t="inlineStr">
        <is>
          <t>Not identified</t>
        </is>
      </c>
      <c r="S47" s="4" t="inlineStr">
        <is>
          <t>Company inquiry only (form)</t>
        </is>
      </c>
      <c r="T47" s="6">
        <f>SUM(Z47:AF47)</f>
        <v>19</v>
      </c>
      <c r="U47" s="8" t="inlineStr">
        <is>
          <t>V2</t>
        </is>
      </c>
      <c r="V47" s="4" t="inlineStr">
        <is>
          <t>Laser maker and seller for small and large animals, sold through Medical Space; vet focused.</t>
        </is>
      </c>
      <c r="W47" s="4" t="inlineStr">
        <is>
          <t>Rehab and MSK: laser plus high frequency ultrasound.</t>
        </is>
      </c>
      <c r="X47" s="4" t="inlineStr">
        <is>
          <t>Not checked (human list not in v17)</t>
        </is>
      </c>
      <c r="Y47" s="4" t="inlineStr">
        <is>
          <t>https://www.jamo.or.jp/member/ ; https://medical-space.co.jp/products/manufacturer/%E9%A3%9B%E9%B3%A5%E3%83%A1%E3%83%87%E3%82%A3%E3%82%AB%E3%83%AB/</t>
        </is>
      </c>
      <c r="Z47" s="4" t="n">
        <v>3</v>
      </c>
      <c r="AA47" s="4" t="n">
        <v>1</v>
      </c>
      <c r="AB47" s="4" t="n">
        <v>5</v>
      </c>
      <c r="AC47" s="4" t="n">
        <v>3</v>
      </c>
      <c r="AD47" s="4" t="n">
        <v>2</v>
      </c>
      <c r="AE47" s="4" t="n">
        <v>2</v>
      </c>
      <c r="AF47" s="4" t="n">
        <v>3</v>
      </c>
      <c r="AG47" s="4" t="inlineStr">
        <is>
          <t>Evidence backed</t>
        </is>
      </c>
    </row>
    <row r="48" ht="75" customHeight="1">
      <c r="A48" s="4" t="n">
        <v>44</v>
      </c>
      <c r="B48" s="4" t="inlineStr">
        <is>
          <t>Atom Vets Medical Co., Ltd.</t>
        </is>
      </c>
      <c r="C48" s="4" t="inlineStr">
        <is>
          <t>株式会社アトムベッツメディカル</t>
        </is>
      </c>
      <c r="D48" s="4" t="inlineStr">
        <is>
          <t>Not found (NTA lookup blocked; dedupe by Japanese name)</t>
        </is>
      </c>
      <c r="E48" s="4" t="inlineStr">
        <is>
          <t>Kyoto</t>
        </is>
      </c>
      <c r="F48" s="4" t="inlineStr">
        <is>
          <t>Kansai</t>
        </is>
      </c>
      <c r="G48" s="4" t="inlineStr">
        <is>
          <t>Not found</t>
        </is>
      </c>
      <c r="H48" s="4" t="inlineStr">
        <is>
          <t>Vet device sales (JAMO member)</t>
        </is>
      </c>
      <c r="I48" s="4" t="inlineStr">
        <is>
          <t>Not identified</t>
        </is>
      </c>
      <c r="J48" s="4" t="inlineStr">
        <is>
          <t>Companion</t>
        </is>
      </c>
      <c r="K48" s="4" t="inlineStr">
        <is>
          <t>Kyoto, Kansai</t>
        </is>
      </c>
      <c r="L48" s="4" t="inlineStr">
        <is>
          <t>Not found</t>
        </is>
      </c>
      <c r="M48" s="4" t="inlineStr">
        <is>
          <t>n/a</t>
        </is>
      </c>
      <c r="N48" s="4" t="inlineStr">
        <is>
          <t>Not identified</t>
        </is>
      </c>
      <c r="O48" s="4" t="inlineStr">
        <is>
          <t>Not identified</t>
        </is>
      </c>
      <c r="P48" s="4" t="inlineStr">
        <is>
          <t>Not published; phone only</t>
        </is>
      </c>
      <c r="Q48" s="4" t="inlineStr">
        <is>
          <t>Not found</t>
        </is>
      </c>
      <c r="R48" s="4" t="inlineStr">
        <is>
          <t>Not identified</t>
        </is>
      </c>
      <c r="S48" s="4" t="inlineStr">
        <is>
          <t>Unverified (no contact found in search)</t>
        </is>
      </c>
      <c r="T48" s="6">
        <f>SUM(Z48:AF48)</f>
        <v>19</v>
      </c>
      <c r="U48" s="8" t="inlineStr">
        <is>
          <t>V2</t>
        </is>
      </c>
      <c r="V48" s="4" t="inlineStr">
        <is>
          <t>JAMO member whose business is introducing and selling devices to animal hospitals in Kyoto.</t>
        </is>
      </c>
      <c r="W48" s="4" t="inlineStr">
        <is>
          <t>Kansai partner for portable ultrasound with clinic demos.</t>
        </is>
      </c>
      <c r="X48" s="4" t="inlineStr">
        <is>
          <t>Not checked (human list not in v17)</t>
        </is>
      </c>
      <c r="Y48" s="4" t="inlineStr">
        <is>
          <t>https://www.jamo.or.jp/member/</t>
        </is>
      </c>
      <c r="Z48" s="4" t="n">
        <v>3</v>
      </c>
      <c r="AA48" s="4" t="n">
        <v>2</v>
      </c>
      <c r="AB48" s="4" t="n">
        <v>4</v>
      </c>
      <c r="AC48" s="4" t="n">
        <v>4</v>
      </c>
      <c r="AD48" s="4" t="n">
        <v>1</v>
      </c>
      <c r="AE48" s="4" t="n">
        <v>2</v>
      </c>
      <c r="AF48" s="4" t="n">
        <v>3</v>
      </c>
      <c r="AG48" s="4" t="inlineStr">
        <is>
          <t>Evidence backed</t>
        </is>
      </c>
    </row>
    <row r="49" ht="75" customHeight="1">
      <c r="A49" s="4" t="n">
        <v>45</v>
      </c>
      <c r="B49" s="4" t="inlineStr">
        <is>
          <t>Emar Ltd.</t>
        </is>
      </c>
      <c r="C49" s="4" t="inlineStr">
        <is>
          <t>エマール有限会社</t>
        </is>
      </c>
      <c r="D49" s="4" t="inlineStr">
        <is>
          <t>Not found (NTA lookup blocked; dedupe by Japanese name)</t>
        </is>
      </c>
      <c r="E49" s="4" t="inlineStr">
        <is>
          <t>Osaka</t>
        </is>
      </c>
      <c r="F49" s="4" t="inlineStr">
        <is>
          <t>Kansai</t>
        </is>
      </c>
      <c r="G49" s="4" t="inlineStr">
        <is>
          <t>Not found</t>
        </is>
      </c>
      <c r="H49" s="4" t="inlineStr">
        <is>
          <t>Vet device sales (listed under medical devices in JP PET NEWS industry map)</t>
        </is>
      </c>
      <c r="I49" s="4" t="inlineStr">
        <is>
          <t>Not identified</t>
        </is>
      </c>
      <c r="J49" s="4" t="inlineStr">
        <is>
          <t>Companion</t>
        </is>
      </c>
      <c r="K49" s="4" t="inlineStr">
        <is>
          <t>Toyonaka, Osaka</t>
        </is>
      </c>
      <c r="L49" s="4" t="inlineStr">
        <is>
          <t>Not found</t>
        </is>
      </c>
      <c r="M49" s="4" t="inlineStr">
        <is>
          <t>n/a</t>
        </is>
      </c>
      <c r="N49" s="4" t="inlineStr">
        <is>
          <t>Not identified</t>
        </is>
      </c>
      <c r="O49" s="4" t="inlineStr">
        <is>
          <t>Not identified</t>
        </is>
      </c>
      <c r="P49" s="4" t="inlineStr">
        <is>
          <t>Not published; phone only</t>
        </is>
      </c>
      <c r="Q49" s="4" t="inlineStr">
        <is>
          <t>06 6854 7607</t>
        </is>
      </c>
      <c r="R49" s="4" t="inlineStr">
        <is>
          <t>Not identified</t>
        </is>
      </c>
      <c r="S49" s="4" t="inlineStr">
        <is>
          <t>Company inquiry only (phone)</t>
        </is>
      </c>
      <c r="T49" s="6">
        <f>SUM(Z49:AF49)</f>
        <v>19</v>
      </c>
      <c r="U49" s="8" t="inlineStr">
        <is>
          <t>V2</t>
        </is>
      </c>
      <c r="V49" s="4" t="inlineStr">
        <is>
          <t>Osaka vet device company listed in the pet industry map; local coverage in north Osaka.</t>
        </is>
      </c>
      <c r="W49" s="4" t="inlineStr">
        <is>
          <t>Kansai sub dealer for SonoEye handhelds.</t>
        </is>
      </c>
      <c r="X49" s="4" t="inlineStr">
        <is>
          <t>Not checked (human list not in v17)</t>
        </is>
      </c>
      <c r="Y49" s="4" t="inlineStr">
        <is>
          <t>https://news.jprpet.com/company/list/175/</t>
        </is>
      </c>
      <c r="Z49" s="4" t="n">
        <v>3</v>
      </c>
      <c r="AA49" s="4" t="n">
        <v>2</v>
      </c>
      <c r="AB49" s="4" t="n">
        <v>4</v>
      </c>
      <c r="AC49" s="4" t="n">
        <v>4</v>
      </c>
      <c r="AD49" s="4" t="n">
        <v>1</v>
      </c>
      <c r="AE49" s="4" t="n">
        <v>2</v>
      </c>
      <c r="AF49" s="4" t="n">
        <v>3</v>
      </c>
      <c r="AG49" s="4" t="inlineStr">
        <is>
          <t>Evidence backed</t>
        </is>
      </c>
    </row>
    <row r="50" ht="75" customHeight="1">
      <c r="A50" s="4" t="n">
        <v>46</v>
      </c>
      <c r="B50" s="4" t="inlineStr">
        <is>
          <t>Flex Medical Co., Ltd.</t>
        </is>
      </c>
      <c r="C50" s="4" t="inlineStr">
        <is>
          <t>フレックスメディカル株式会社</t>
        </is>
      </c>
      <c r="D50" s="4" t="inlineStr">
        <is>
          <t>Not found (NTA lookup blocked; dedupe by Japanese name)</t>
        </is>
      </c>
      <c r="E50" s="4" t="inlineStr">
        <is>
          <t>Osaka</t>
        </is>
      </c>
      <c r="F50" s="4" t="inlineStr">
        <is>
          <t>Kansai</t>
        </is>
      </c>
      <c r="G50" s="5" t="inlineStr">
        <is>
          <t>https://www.flexmedical.jp/</t>
        </is>
      </c>
      <c r="H50" s="4" t="inlineStr">
        <is>
          <t>Medical instruments and equipment sales to animal hospitals (JAMO member)</t>
        </is>
      </c>
      <c r="I50" s="4" t="inlineStr">
        <is>
          <t>Not identified</t>
        </is>
      </c>
      <c r="J50" s="4" t="inlineStr">
        <is>
          <t>Companion</t>
        </is>
      </c>
      <c r="K50" s="4" t="inlineStr">
        <is>
          <t>Osaka</t>
        </is>
      </c>
      <c r="L50" s="4" t="inlineStr">
        <is>
          <t>Not found</t>
        </is>
      </c>
      <c r="M50" s="4" t="inlineStr">
        <is>
          <t>n/a</t>
        </is>
      </c>
      <c r="N50" s="4" t="inlineStr">
        <is>
          <t>Not identified</t>
        </is>
      </c>
      <c r="O50" s="4" t="inlineStr">
        <is>
          <t>Not identified</t>
        </is>
      </c>
      <c r="P50" s="4" t="inlineStr">
        <is>
          <t>Not published; inquiry form: https://www.flexmedical.jp/contact.html</t>
        </is>
      </c>
      <c r="Q50" s="4" t="inlineStr">
        <is>
          <t>06 6762 2678</t>
        </is>
      </c>
      <c r="R50" s="4" t="inlineStr">
        <is>
          <t>Not identified</t>
        </is>
      </c>
      <c r="S50" s="4" t="inlineStr">
        <is>
          <t>Company inquiry only (form)</t>
        </is>
      </c>
      <c r="T50" s="6">
        <f>SUM(Z50:AF50)</f>
        <v>19</v>
      </c>
      <c r="U50" s="8" t="inlineStr">
        <is>
          <t>V2</t>
        </is>
      </c>
      <c r="V50" s="4" t="inlineStr">
        <is>
          <t>Osaka trading company describing itself as an animal hospital equipment dealer.</t>
        </is>
      </c>
      <c r="W50" s="4" t="inlineStr">
        <is>
          <t>Kansai dealer trial with demo unit.</t>
        </is>
      </c>
      <c r="X50" s="4" t="inlineStr">
        <is>
          <t>Not checked (human list not in v17)</t>
        </is>
      </c>
      <c r="Y50" s="4" t="inlineStr">
        <is>
          <t>https://www.jamo.or.jp/member/ ; https://www.flexmedical.jp/contact.html</t>
        </is>
      </c>
      <c r="Z50" s="4" t="n">
        <v>3</v>
      </c>
      <c r="AA50" s="4" t="n">
        <v>2</v>
      </c>
      <c r="AB50" s="4" t="n">
        <v>4</v>
      </c>
      <c r="AC50" s="4" t="n">
        <v>4</v>
      </c>
      <c r="AD50" s="4" t="n">
        <v>1</v>
      </c>
      <c r="AE50" s="4" t="n">
        <v>2</v>
      </c>
      <c r="AF50" s="4" t="n">
        <v>3</v>
      </c>
      <c r="AG50" s="4" t="inlineStr">
        <is>
          <t>Evidence backed</t>
        </is>
      </c>
    </row>
    <row r="51" ht="75" customHeight="1">
      <c r="A51" s="4" t="n">
        <v>47</v>
      </c>
      <c r="B51" s="4" t="inlineStr">
        <is>
          <t>Kind Co., Ltd.</t>
        </is>
      </c>
      <c r="C51" s="4" t="inlineStr">
        <is>
          <t>株式会社カインド</t>
        </is>
      </c>
      <c r="D51" s="4" t="inlineStr">
        <is>
          <t>Not found (NTA lookup blocked; dedupe by Japanese name)</t>
        </is>
      </c>
      <c r="E51" s="4" t="inlineStr">
        <is>
          <t>Kanagawa</t>
        </is>
      </c>
      <c r="F51" s="4" t="inlineStr">
        <is>
          <t>Kanto</t>
        </is>
      </c>
      <c r="G51" s="5" t="inlineStr">
        <is>
          <t>https://kind-medical.co.jp/</t>
        </is>
      </c>
      <c r="H51" s="4" t="inlineStr">
        <is>
          <t>Vet devices and consumables sales</t>
        </is>
      </c>
      <c r="I51" s="4" t="inlineStr">
        <is>
          <t>Not identified</t>
        </is>
      </c>
      <c r="J51" s="4" t="inlineStr">
        <is>
          <t>Companion</t>
        </is>
      </c>
      <c r="K51" s="4" t="inlineStr">
        <is>
          <t>Yokohama (Tsuzuki)</t>
        </is>
      </c>
      <c r="L51" s="4" t="inlineStr">
        <is>
          <t>Not found</t>
        </is>
      </c>
      <c r="M51" s="4" t="inlineStr">
        <is>
          <t>n/a</t>
        </is>
      </c>
      <c r="N51" s="4" t="inlineStr">
        <is>
          <t>Not identified</t>
        </is>
      </c>
      <c r="O51" s="4" t="inlineStr">
        <is>
          <t>Not identified</t>
        </is>
      </c>
      <c r="P51" s="4" t="inlineStr">
        <is>
          <t>info@kind-medical.co.jp</t>
        </is>
      </c>
      <c r="Q51" s="4" t="inlineStr">
        <is>
          <t>045 548 9195</t>
        </is>
      </c>
      <c r="R51" s="4" t="inlineStr">
        <is>
          <t>Not identified</t>
        </is>
      </c>
      <c r="S51" s="4" t="inlineStr">
        <is>
          <t>Verified (published on own site, read via search)</t>
        </is>
      </c>
      <c r="T51" s="6">
        <f>SUM(Z51:AF51)</f>
        <v>19</v>
      </c>
      <c r="U51" s="8" t="inlineStr">
        <is>
          <t>V2</t>
        </is>
      </c>
      <c r="V51" s="4" t="inlineStr">
        <is>
          <t>Specialises in animal hospitals in Yokohama, from needles to large equipment, plus clinic opening support.</t>
        </is>
      </c>
      <c r="W51" s="4" t="inlineStr">
        <is>
          <t>Opening support bundle with portable ultrasound.</t>
        </is>
      </c>
      <c r="X51" s="4" t="inlineStr">
        <is>
          <t>Not checked (human list not in v17)</t>
        </is>
      </c>
      <c r="Y51" s="4" t="inlineStr">
        <is>
          <t>https://kind-medical.co.jp/ ; https://kind-medical.co.jp/company/ ; https://kind-medical.co.jp/contact/</t>
        </is>
      </c>
      <c r="Z51" s="4" t="n">
        <v>3</v>
      </c>
      <c r="AA51" s="4" t="n">
        <v>2</v>
      </c>
      <c r="AB51" s="4" t="n">
        <v>4</v>
      </c>
      <c r="AC51" s="4" t="n">
        <v>4</v>
      </c>
      <c r="AD51" s="4" t="n">
        <v>1</v>
      </c>
      <c r="AE51" s="4" t="n">
        <v>2</v>
      </c>
      <c r="AF51" s="4" t="n">
        <v>3</v>
      </c>
      <c r="AG51" s="4" t="inlineStr">
        <is>
          <t>Evidence backed</t>
        </is>
      </c>
    </row>
    <row r="52" ht="75" customHeight="1">
      <c r="A52" s="4" t="n">
        <v>48</v>
      </c>
      <c r="B52" s="4" t="inlineStr">
        <is>
          <t>M Cast Co., Ltd.</t>
        </is>
      </c>
      <c r="C52" s="4" t="inlineStr">
        <is>
          <t>エム・キャスト株式会社</t>
        </is>
      </c>
      <c r="D52" s="4" t="inlineStr">
        <is>
          <t>Not found (NTA lookup blocked; dedupe by Japanese name)</t>
        </is>
      </c>
      <c r="E52" s="4" t="inlineStr">
        <is>
          <t>Tokyo</t>
        </is>
      </c>
      <c r="F52" s="4" t="inlineStr">
        <is>
          <t>Kanto</t>
        </is>
      </c>
      <c r="G52" s="5" t="inlineStr">
        <is>
          <t>https://www.e-mcast.co.jp</t>
        </is>
      </c>
      <c r="H52" s="4" t="inlineStr">
        <is>
          <t>Used and new equipment; dedicated animal hospital category (Mitsubishi HC Capital group)</t>
        </is>
      </c>
      <c r="I52" s="4" t="inlineStr">
        <is>
          <t>Used multi brand incl. vet ultrasound</t>
        </is>
      </c>
      <c r="J52" s="4" t="inlineStr">
        <is>
          <t>Companion</t>
        </is>
      </c>
      <c r="K52" s="4" t="inlineStr">
        <is>
          <t>National</t>
        </is>
      </c>
      <c r="L52" s="4" t="inlineStr">
        <is>
          <t>Mitsubishi HC Capital group</t>
        </is>
      </c>
      <c r="M52" s="4" t="inlineStr">
        <is>
          <t>n/a</t>
        </is>
      </c>
      <c r="N52" s="4" t="inlineStr">
        <is>
          <t>Not identified</t>
        </is>
      </c>
      <c r="O52" s="4" t="inlineStr">
        <is>
          <t>Not identified</t>
        </is>
      </c>
      <c r="P52" s="4" t="inlineStr">
        <is>
          <t>info@e-mcast.co.jp</t>
        </is>
      </c>
      <c r="Q52" s="4" t="inlineStr">
        <is>
          <t>03 6675 9617</t>
        </is>
      </c>
      <c r="R52" s="4" t="inlineStr">
        <is>
          <t>Not identified</t>
        </is>
      </c>
      <c r="S52" s="4" t="inlineStr">
        <is>
          <t>Verified (published on own site, read via search)</t>
        </is>
      </c>
      <c r="T52" s="6">
        <f>SUM(Z52:AF52)</f>
        <v>19</v>
      </c>
      <c r="U52" s="8" t="inlineStr">
        <is>
          <t>V2</t>
        </is>
      </c>
      <c r="V52" s="4" t="inlineStr">
        <is>
          <t>Runs a dedicated animal hospital equipment section with ultrasound, X ray and CT, and leasing capability.</t>
        </is>
      </c>
      <c r="W52" s="4" t="inlineStr">
        <is>
          <t>Leasing friendly new units for clinic openings.</t>
        </is>
      </c>
      <c r="X52" s="4" t="inlineStr">
        <is>
          <t>Not checked (human list not in v17)</t>
        </is>
      </c>
      <c r="Y52" s="4" t="inlineStr">
        <is>
          <t>https://www.e-mcast.co.jp/shop/r/rdoubutsu/ ; https://www.e-mcast.co.jp/shop/secure/method_index.aspx</t>
        </is>
      </c>
      <c r="Z52" s="4" t="n">
        <v>2</v>
      </c>
      <c r="AA52" s="4" t="n">
        <v>4</v>
      </c>
      <c r="AB52" s="4" t="n">
        <v>3</v>
      </c>
      <c r="AC52" s="4" t="n">
        <v>3</v>
      </c>
      <c r="AD52" s="4" t="n">
        <v>1</v>
      </c>
      <c r="AE52" s="4" t="n">
        <v>3</v>
      </c>
      <c r="AF52" s="4" t="n">
        <v>3</v>
      </c>
      <c r="AG52" s="4" t="inlineStr">
        <is>
          <t>Evidence backed</t>
        </is>
      </c>
    </row>
    <row r="53" ht="75" customHeight="1">
      <c r="A53" s="4" t="n">
        <v>49</v>
      </c>
      <c r="B53" s="4" t="inlineStr">
        <is>
          <t>Meiyu Co., Ltd.</t>
        </is>
      </c>
      <c r="C53" s="4" t="inlineStr">
        <is>
          <t>株式会社名優</t>
        </is>
      </c>
      <c r="D53" s="4" t="inlineStr">
        <is>
          <t>Not found (NTA lookup blocked; dedupe by Japanese name)</t>
        </is>
      </c>
      <c r="E53" s="4" t="inlineStr">
        <is>
          <t>Chiba</t>
        </is>
      </c>
      <c r="F53" s="4" t="inlineStr">
        <is>
          <t>Kanto</t>
        </is>
      </c>
      <c r="G53" s="5" t="inlineStr">
        <is>
          <t>https://meilleur.co.jp/</t>
        </is>
      </c>
      <c r="H53" s="4" t="inlineStr">
        <is>
          <t>Imports unique EU and US devices; JAMO member</t>
        </is>
      </c>
      <c r="I53" s="4" t="inlineStr">
        <is>
          <t>Not identified</t>
        </is>
      </c>
      <c r="J53" s="4" t="inlineStr">
        <is>
          <t>Companion</t>
        </is>
      </c>
      <c r="K53" s="4" t="inlineStr">
        <is>
          <t>Yachiyo, Chiba</t>
        </is>
      </c>
      <c r="L53" s="4" t="inlineStr">
        <is>
          <t>Not found</t>
        </is>
      </c>
      <c r="M53" s="4" t="inlineStr">
        <is>
          <t>n/a</t>
        </is>
      </c>
      <c r="N53" s="4" t="inlineStr">
        <is>
          <t>Not identified</t>
        </is>
      </c>
      <c r="O53" s="4" t="inlineStr">
        <is>
          <t>Not identified</t>
        </is>
      </c>
      <c r="P53" s="4" t="inlineStr">
        <is>
          <t>Not published; inquiry form: https://meilleur.co.jp/contact/</t>
        </is>
      </c>
      <c r="Q53" s="4" t="inlineStr">
        <is>
          <t>047 480 6161</t>
        </is>
      </c>
      <c r="R53" s="4" t="inlineStr">
        <is>
          <t>Not identified</t>
        </is>
      </c>
      <c r="S53" s="4" t="inlineStr">
        <is>
          <t>Company inquiry only (form)</t>
        </is>
      </c>
      <c r="T53" s="6">
        <f>SUM(Z53:AF53)</f>
        <v>19</v>
      </c>
      <c r="U53" s="8" t="inlineStr">
        <is>
          <t>V2</t>
        </is>
      </c>
      <c r="V53" s="4" t="inlineStr">
        <is>
          <t>Importer in the vet device association, open to foreign brands.</t>
        </is>
      </c>
      <c r="W53" s="4" t="inlineStr">
        <is>
          <t>Introduce CHISON as an OEM grade portable.</t>
        </is>
      </c>
      <c r="X53" s="4" t="inlineStr">
        <is>
          <t>Not checked (human list not in v17)</t>
        </is>
      </c>
      <c r="Y53" s="4" t="inlineStr">
        <is>
          <t>https://www.jamo.or.jp/member/ ; https://meilleur.co.jp/contact/</t>
        </is>
      </c>
      <c r="Z53" s="4" t="n">
        <v>3</v>
      </c>
      <c r="AA53" s="4" t="n">
        <v>1</v>
      </c>
      <c r="AB53" s="4" t="n">
        <v>5</v>
      </c>
      <c r="AC53" s="4" t="n">
        <v>3</v>
      </c>
      <c r="AD53" s="4" t="n">
        <v>1</v>
      </c>
      <c r="AE53" s="4" t="n">
        <v>2</v>
      </c>
      <c r="AF53" s="4" t="n">
        <v>4</v>
      </c>
      <c r="AG53" s="4" t="inlineStr">
        <is>
          <t>Evidence backed</t>
        </is>
      </c>
    </row>
    <row r="54" ht="75" customHeight="1">
      <c r="A54" s="4" t="n">
        <v>50</v>
      </c>
      <c r="B54" s="4" t="inlineStr">
        <is>
          <t>Nihon Iryo Co., Ltd.</t>
        </is>
      </c>
      <c r="C54" s="4" t="inlineStr">
        <is>
          <t>日本医療株式会社</t>
        </is>
      </c>
      <c r="D54" s="4" t="inlineStr">
        <is>
          <t>Not found (NTA lookup blocked; dedupe by Japanese name)</t>
        </is>
      </c>
      <c r="E54" s="4" t="inlineStr">
        <is>
          <t>Tokyo</t>
        </is>
      </c>
      <c r="F54" s="4" t="inlineStr">
        <is>
          <t>Kanto</t>
        </is>
      </c>
      <c r="G54" s="5" t="inlineStr">
        <is>
          <t>http://www.nihoniryo.co.jp/</t>
        </is>
      </c>
      <c r="H54" s="4" t="inlineStr">
        <is>
          <t>Vet device sales (JP PET NEWS medical device category)</t>
        </is>
      </c>
      <c r="I54" s="4" t="inlineStr">
        <is>
          <t>Not identified</t>
        </is>
      </c>
      <c r="J54" s="4" t="inlineStr">
        <is>
          <t>Companion</t>
        </is>
      </c>
      <c r="K54" s="4" t="inlineStr">
        <is>
          <t>Setagaya, Tokyo</t>
        </is>
      </c>
      <c r="L54" s="4" t="inlineStr">
        <is>
          <t>Not found</t>
        </is>
      </c>
      <c r="M54" s="4" t="inlineStr">
        <is>
          <t>n/a</t>
        </is>
      </c>
      <c r="N54" s="4" t="inlineStr">
        <is>
          <t>Not identified</t>
        </is>
      </c>
      <c r="O54" s="4" t="inlineStr">
        <is>
          <t>Not identified</t>
        </is>
      </c>
      <c r="P54" s="4" t="inlineStr">
        <is>
          <t>Not published; phone only</t>
        </is>
      </c>
      <c r="Q54" s="4" t="inlineStr">
        <is>
          <t>03 3416 7511</t>
        </is>
      </c>
      <c r="R54" s="4" t="inlineStr">
        <is>
          <t>Not identified</t>
        </is>
      </c>
      <c r="S54" s="4" t="inlineStr">
        <is>
          <t>Company inquiry only (phone)</t>
        </is>
      </c>
      <c r="T54" s="6">
        <f>SUM(Z54:AF54)</f>
        <v>19</v>
      </c>
      <c r="U54" s="8" t="inlineStr">
        <is>
          <t>V2</t>
        </is>
      </c>
      <c r="V54" s="4" t="inlineStr">
        <is>
          <t>Tokyo vet device company in the pet industry map; Setagaya is dense in animal hospitals.</t>
        </is>
      </c>
      <c r="W54" s="4" t="inlineStr">
        <is>
          <t>Tokyo west sub dealer.</t>
        </is>
      </c>
      <c r="X54" s="4" t="inlineStr">
        <is>
          <t>Not checked (human list not in v17)</t>
        </is>
      </c>
      <c r="Y54" s="4" t="inlineStr">
        <is>
          <t>https://news.jprpet.com/company/list/175/</t>
        </is>
      </c>
      <c r="Z54" s="4" t="n">
        <v>3</v>
      </c>
      <c r="AA54" s="4" t="n">
        <v>2</v>
      </c>
      <c r="AB54" s="4" t="n">
        <v>4</v>
      </c>
      <c r="AC54" s="4" t="n">
        <v>4</v>
      </c>
      <c r="AD54" s="4" t="n">
        <v>1</v>
      </c>
      <c r="AE54" s="4" t="n">
        <v>2</v>
      </c>
      <c r="AF54" s="4" t="n">
        <v>3</v>
      </c>
      <c r="AG54" s="4" t="inlineStr">
        <is>
          <t>Evidence backed</t>
        </is>
      </c>
    </row>
    <row r="55" ht="75" customHeight="1">
      <c r="A55" s="4" t="n">
        <v>51</v>
      </c>
      <c r="B55" s="4" t="inlineStr">
        <is>
          <t>Vet Partners Co., Ltd.</t>
        </is>
      </c>
      <c r="C55" s="4" t="inlineStr">
        <is>
          <t>株式会社ベットパートナーズ</t>
        </is>
      </c>
      <c r="D55" s="4" t="inlineStr">
        <is>
          <t>Not found (NTA lookup blocked; dedupe by Japanese name)</t>
        </is>
      </c>
      <c r="E55" s="4" t="inlineStr">
        <is>
          <t>Tokyo</t>
        </is>
      </c>
      <c r="F55" s="4" t="inlineStr">
        <is>
          <t>Kanto</t>
        </is>
      </c>
      <c r="G55" s="5" t="inlineStr">
        <is>
          <t>https://www.vetpartners.co.jp/</t>
        </is>
      </c>
      <c r="H55" s="4" t="inlineStr">
        <is>
          <t>Device and software sales to animal hospitals (job ad)</t>
        </is>
      </c>
      <c r="I55" s="4" t="inlineStr">
        <is>
          <t>Not identified</t>
        </is>
      </c>
      <c r="J55" s="4" t="inlineStr">
        <is>
          <t>Companion</t>
        </is>
      </c>
      <c r="K55" s="4" t="inlineStr">
        <is>
          <t>Nagareyama, Chiba</t>
        </is>
      </c>
      <c r="L55" s="4" t="inlineStr">
        <is>
          <t>Not found</t>
        </is>
      </c>
      <c r="M55" s="4" t="inlineStr">
        <is>
          <t>n/a</t>
        </is>
      </c>
      <c r="N55" s="4" t="inlineStr">
        <is>
          <t>Not identified</t>
        </is>
      </c>
      <c r="O55" s="4" t="inlineStr">
        <is>
          <t>Not identified</t>
        </is>
      </c>
      <c r="P55" s="4" t="inlineStr">
        <is>
          <t>Not published; inquiry form: https://www.vetpartners.co.jp/contact/</t>
        </is>
      </c>
      <c r="Q55" s="4" t="inlineStr">
        <is>
          <t>03 6673 4135</t>
        </is>
      </c>
      <c r="R55" s="4" t="inlineStr">
        <is>
          <t>Not identified</t>
        </is>
      </c>
      <c r="S55" s="4" t="inlineStr">
        <is>
          <t>Company inquiry only (form)</t>
        </is>
      </c>
      <c r="T55" s="6">
        <f>SUM(Z55:AF55)</f>
        <v>19</v>
      </c>
      <c r="U55" s="8" t="inlineStr">
        <is>
          <t>V2</t>
        </is>
      </c>
      <c r="V55" s="4" t="inlineStr">
        <is>
          <t>Hiring sales staff to sell devices and software to animal hospitals, signalling expansion.</t>
        </is>
      </c>
      <c r="W55" s="4" t="inlineStr">
        <is>
          <t>Growth line: portable ultrasound.</t>
        </is>
      </c>
      <c r="X55" s="4" t="inlineStr">
        <is>
          <t>Not checked (human list not in v17)</t>
        </is>
      </c>
      <c r="Y55" s="4" t="inlineStr">
        <is>
          <t>https://www.rdsupport-tenshoku.jp/search/JOB40843 ; https://www.vetpartners.co.jp/ ; https://www.vetpartners.co.jp/contact/</t>
        </is>
      </c>
      <c r="Z55" s="4" t="n">
        <v>3</v>
      </c>
      <c r="AA55" s="4" t="n">
        <v>2</v>
      </c>
      <c r="AB55" s="4" t="n">
        <v>4</v>
      </c>
      <c r="AC55" s="4" t="n">
        <v>4</v>
      </c>
      <c r="AD55" s="4" t="n">
        <v>1</v>
      </c>
      <c r="AE55" s="4" t="n">
        <v>2</v>
      </c>
      <c r="AF55" s="4" t="n">
        <v>3</v>
      </c>
      <c r="AG55" s="4" t="inlineStr">
        <is>
          <t>Evidence backed</t>
        </is>
      </c>
    </row>
    <row r="56" ht="75" customHeight="1">
      <c r="A56" s="4" t="n">
        <v>52</v>
      </c>
      <c r="B56" s="4" t="inlineStr">
        <is>
          <t>Animal Pharmacy</t>
        </is>
      </c>
      <c r="C56" s="4" t="inlineStr">
        <is>
          <t>アニマルファーマシー</t>
        </is>
      </c>
      <c r="D56" s="4" t="inlineStr">
        <is>
          <t>Not found (NTA lookup blocked; dedupe by Japanese name)</t>
        </is>
      </c>
      <c r="E56" s="4" t="inlineStr">
        <is>
          <t>Kanagawa</t>
        </is>
      </c>
      <c r="F56" s="4" t="inlineStr">
        <is>
          <t>Kanto</t>
        </is>
      </c>
      <c r="G56" s="5" t="inlineStr">
        <is>
          <t>https://www.animalpharmacy.jp/</t>
        </is>
      </c>
      <c r="H56" s="4" t="inlineStr">
        <is>
          <t>Import agency for vets' personal imports of drugs and devices</t>
        </is>
      </c>
      <c r="I56" s="4" t="inlineStr">
        <is>
          <t>Not identified</t>
        </is>
      </c>
      <c r="J56" s="4" t="inlineStr">
        <is>
          <t>Companion</t>
        </is>
      </c>
      <c r="K56" s="4" t="inlineStr">
        <is>
          <t>National online</t>
        </is>
      </c>
      <c r="L56" s="4" t="inlineStr">
        <is>
          <t>Not found</t>
        </is>
      </c>
      <c r="M56" s="4" t="inlineStr">
        <is>
          <t>n/a</t>
        </is>
      </c>
      <c r="N56" s="4" t="inlineStr">
        <is>
          <t>Not identified</t>
        </is>
      </c>
      <c r="O56" s="4" t="inlineStr">
        <is>
          <t>Not identified</t>
        </is>
      </c>
      <c r="P56" s="4" t="inlineStr">
        <is>
          <t>Not published; inquiry form: https://www.animalpharmacy.jp/contact/</t>
        </is>
      </c>
      <c r="Q56" s="4" t="inlineStr">
        <is>
          <t>045 900 9719</t>
        </is>
      </c>
      <c r="R56" s="4" t="inlineStr">
        <is>
          <t>Not identified</t>
        </is>
      </c>
      <c r="S56" s="4" t="inlineStr">
        <is>
          <t>Company inquiry only (form); operator Animal Pharmacy 合同会社, Yokohama</t>
        </is>
      </c>
      <c r="T56" s="6">
        <f>SUM(Z56:AF56)</f>
        <v>18</v>
      </c>
      <c r="U56" s="8" t="inlineStr">
        <is>
          <t>V2</t>
        </is>
      </c>
      <c r="V56" s="4" t="inlineStr">
        <is>
          <t>Specialist in getting foreign vet products to Japanese vets. FLAG: Personal import agency, not a full distributor.</t>
        </is>
      </c>
      <c r="W56" s="4" t="inlineStr">
        <is>
          <t>Interim route for KOL evaluation units only.</t>
        </is>
      </c>
      <c r="X56" s="4" t="inlineStr">
        <is>
          <t>Not checked (human list not in v17)</t>
        </is>
      </c>
      <c r="Y56" s="4" t="inlineStr">
        <is>
          <t>https://www.animalpharmacy.jp/ ; https://www.animalpharmacy.jp/contact/</t>
        </is>
      </c>
      <c r="Z56" s="4" t="n">
        <v>2</v>
      </c>
      <c r="AA56" s="4" t="n">
        <v>1</v>
      </c>
      <c r="AB56" s="4" t="n">
        <v>5</v>
      </c>
      <c r="AC56" s="4" t="n">
        <v>3</v>
      </c>
      <c r="AD56" s="4" t="n">
        <v>1</v>
      </c>
      <c r="AE56" s="4" t="n">
        <v>1</v>
      </c>
      <c r="AF56" s="4" t="n">
        <v>5</v>
      </c>
      <c r="AG56" s="4" t="inlineStr">
        <is>
          <t>Evidence backed</t>
        </is>
      </c>
    </row>
    <row r="57" ht="75" customHeight="1">
      <c r="A57" s="4" t="n">
        <v>53</v>
      </c>
      <c r="B57" s="4" t="inlineStr">
        <is>
          <t>Arrows Healthcare Co., Ltd.</t>
        </is>
      </c>
      <c r="C57" s="4" t="inlineStr">
        <is>
          <t>株式会社アローズヘルスケア</t>
        </is>
      </c>
      <c r="D57" s="4" t="inlineStr">
        <is>
          <t>Not found (NTA lookup blocked; dedupe by Japanese name)</t>
        </is>
      </c>
      <c r="E57" s="4" t="inlineStr">
        <is>
          <t>Tokyo</t>
        </is>
      </c>
      <c r="F57" s="4" t="inlineStr">
        <is>
          <t>Kanto</t>
        </is>
      </c>
      <c r="G57" s="5" t="inlineStr">
        <is>
          <t>https://arrows-healthcare.com</t>
        </is>
      </c>
      <c r="H57" s="4" t="inlineStr">
        <is>
          <t>Used medical equipment; lists vet ultrasound with 3 probes</t>
        </is>
      </c>
      <c r="I57" s="4" t="inlineStr">
        <is>
          <t>Used multi brand</t>
        </is>
      </c>
      <c r="J57" s="4" t="inlineStr">
        <is>
          <t>Companion</t>
        </is>
      </c>
      <c r="K57" s="4" t="inlineStr">
        <is>
          <t>National</t>
        </is>
      </c>
      <c r="L57" s="4" t="inlineStr">
        <is>
          <t>Not found</t>
        </is>
      </c>
      <c r="M57" s="4" t="inlineStr">
        <is>
          <t>n/a</t>
        </is>
      </c>
      <c r="N57" s="4" t="inlineStr">
        <is>
          <t>Not identified</t>
        </is>
      </c>
      <c r="O57" s="4" t="inlineStr">
        <is>
          <t>Not identified</t>
        </is>
      </c>
      <c r="P57" s="4" t="inlineStr">
        <is>
          <t>Not published; inquiry form: https://arrows-healthcare.com/inquiry</t>
        </is>
      </c>
      <c r="Q57" s="4" t="inlineStr">
        <is>
          <t>03 6658 4170</t>
        </is>
      </c>
      <c r="R57" s="4" t="inlineStr">
        <is>
          <t>Not identified</t>
        </is>
      </c>
      <c r="S57" s="4" t="inlineStr">
        <is>
          <t>Company inquiry only (form)</t>
        </is>
      </c>
      <c r="T57" s="6">
        <f>SUM(Z57:AF57)</f>
        <v>18</v>
      </c>
      <c r="U57" s="8" t="inlineStr">
        <is>
          <t>V2</t>
        </is>
      </c>
      <c r="V57" s="4" t="inlineStr">
        <is>
          <t>Used equipment dealer actively listing vet ultrasound; reaches price sensitive clinics.</t>
        </is>
      </c>
      <c r="W57" s="4" t="inlineStr">
        <is>
          <t>New entry tier units against used stock.</t>
        </is>
      </c>
      <c r="X57" s="4" t="inlineStr">
        <is>
          <t>Not checked (human list not in v17)</t>
        </is>
      </c>
      <c r="Y57" s="4" t="inlineStr">
        <is>
          <t>https://arrows-healthcare.com/product/product_list?ccd=1017 ; https://2ndlabo.com/M530/ ; https://arrows-healthcare.com/inquiry</t>
        </is>
      </c>
      <c r="Z57" s="4" t="n">
        <v>2</v>
      </c>
      <c r="AA57" s="4" t="n">
        <v>4</v>
      </c>
      <c r="AB57" s="4" t="n">
        <v>3</v>
      </c>
      <c r="AC57" s="4" t="n">
        <v>3</v>
      </c>
      <c r="AD57" s="4" t="n">
        <v>1</v>
      </c>
      <c r="AE57" s="4" t="n">
        <v>2</v>
      </c>
      <c r="AF57" s="4" t="n">
        <v>3</v>
      </c>
      <c r="AG57" s="4" t="inlineStr">
        <is>
          <t>Evidence backed</t>
        </is>
      </c>
    </row>
    <row r="58" ht="75" customHeight="1">
      <c r="A58" s="4" t="n">
        <v>54</v>
      </c>
      <c r="B58" s="4" t="inlineStr">
        <is>
          <t>Cycloop Co., Ltd.</t>
        </is>
      </c>
      <c r="C58" s="4" t="inlineStr">
        <is>
          <t>サイクループ株式会社</t>
        </is>
      </c>
      <c r="D58" s="4" t="inlineStr">
        <is>
          <t>Not found (NTA lookup blocked; dedupe by Japanese name)</t>
        </is>
      </c>
      <c r="E58" s="4" t="inlineStr">
        <is>
          <t>Osaka</t>
        </is>
      </c>
      <c r="F58" s="4" t="inlineStr">
        <is>
          <t>Kansai</t>
        </is>
      </c>
      <c r="G58" s="4" t="inlineStr">
        <is>
          <t>Not found</t>
        </is>
      </c>
      <c r="H58" s="4" t="inlineStr">
        <is>
          <t>Animal device wholesale (Baseconnect category)</t>
        </is>
      </c>
      <c r="I58" s="4" t="inlineStr">
        <is>
          <t>Not identified</t>
        </is>
      </c>
      <c r="J58" s="4" t="inlineStr">
        <is>
          <t>Companion</t>
        </is>
      </c>
      <c r="K58" s="4" t="inlineStr">
        <is>
          <t>Osaka</t>
        </is>
      </c>
      <c r="L58" s="4" t="inlineStr">
        <is>
          <t>Not found</t>
        </is>
      </c>
      <c r="M58" s="4" t="inlineStr">
        <is>
          <t>n/a</t>
        </is>
      </c>
      <c r="N58" s="4" t="inlineStr">
        <is>
          <t>Not identified</t>
        </is>
      </c>
      <c r="O58" s="4" t="inlineStr">
        <is>
          <t>Not identified</t>
        </is>
      </c>
      <c r="P58" s="4" t="inlineStr">
        <is>
          <t>contact@cycloop.jp</t>
        </is>
      </c>
      <c r="Q58" s="4" t="inlineStr">
        <is>
          <t>03 5946 8521</t>
        </is>
      </c>
      <c r="R58" s="4" t="inlineStr">
        <is>
          <t>Not identified</t>
        </is>
      </c>
      <c r="S58" s="4" t="inlineStr">
        <is>
          <t>Verified (published on own site, read via search); FLAG business now mainly e bike subscriptions, vet device activity not current</t>
        </is>
      </c>
      <c r="T58" s="6">
        <f>SUM(Z58:AF58)</f>
        <v>17</v>
      </c>
      <c r="U58" s="8" t="inlineStr">
        <is>
          <t>V2</t>
        </is>
      </c>
      <c r="V58" s="4" t="inlineStr">
        <is>
          <t>Listed as an Osaka animal device wholesaler. FLAG: Also sells wastewater equipment; vet depth unclear.</t>
        </is>
      </c>
      <c r="W58" s="4" t="inlineStr">
        <is>
          <t>Qualify by phone; possible Kansai sub dealer.</t>
        </is>
      </c>
      <c r="X58" s="4" t="inlineStr">
        <is>
          <t>Not checked (human list not in v17)</t>
        </is>
      </c>
      <c r="Y58" s="4" t="inlineStr">
        <is>
          <t>https://baseconnect.in/companies/prefecture/d80b180e-5fd9-4082-8cdc-a510179a3475/keyword/c53ff370-90f7-45dc-a0ee-e22bda2cde5e ; https://cycloop.co.jp/about/</t>
        </is>
      </c>
      <c r="Z58" s="4" t="n">
        <v>3</v>
      </c>
      <c r="AA58" s="4" t="n">
        <v>1</v>
      </c>
      <c r="AB58" s="4" t="n">
        <v>4</v>
      </c>
      <c r="AC58" s="4" t="n">
        <v>3</v>
      </c>
      <c r="AD58" s="4" t="n">
        <v>1</v>
      </c>
      <c r="AE58" s="4" t="n">
        <v>2</v>
      </c>
      <c r="AF58" s="4" t="n">
        <v>3</v>
      </c>
      <c r="AG58" s="4" t="inlineStr">
        <is>
          <t>Evidence backed</t>
        </is>
      </c>
    </row>
    <row r="59" ht="75" customHeight="1">
      <c r="A59" s="4" t="n">
        <v>55</v>
      </c>
      <c r="B59" s="4" t="inlineStr">
        <is>
          <t>QIX Inc.</t>
        </is>
      </c>
      <c r="C59" s="4" t="inlineStr">
        <is>
          <t>株式会社QIX</t>
        </is>
      </c>
      <c r="D59" s="4" t="inlineStr">
        <is>
          <t>Not found (NTA lookup blocked; dedupe by Japanese name)</t>
        </is>
      </c>
      <c r="E59" s="4" t="inlineStr">
        <is>
          <t>Tokyo</t>
        </is>
      </c>
      <c r="F59" s="4" t="inlineStr">
        <is>
          <t>Kanto</t>
        </is>
      </c>
      <c r="G59" s="5" t="inlineStr">
        <is>
          <t>https://www.qix.co.jp</t>
        </is>
      </c>
      <c r="H59" s="4" t="inlineStr">
        <is>
          <t>Vet products maker and seller; clinic management support (no device licence confirmed)</t>
        </is>
      </c>
      <c r="I59" s="4" t="inlineStr">
        <is>
          <t>Supplements, skin care; no ultrasound</t>
        </is>
      </c>
      <c r="J59" s="4" t="inlineStr">
        <is>
          <t>Companion</t>
        </is>
      </c>
      <c r="K59" s="4" t="inlineStr">
        <is>
          <t>Machida, Tokyo; national vet hospital base</t>
        </is>
      </c>
      <c r="L59" s="4" t="inlineStr">
        <is>
          <t>Founded 2009</t>
        </is>
      </c>
      <c r="M59" s="4" t="inlineStr">
        <is>
          <t>n/a</t>
        </is>
      </c>
      <c r="N59" s="4" t="inlineStr">
        <is>
          <t>Not identified</t>
        </is>
      </c>
      <c r="O59" s="4" t="inlineStr">
        <is>
          <t>Not identified</t>
        </is>
      </c>
      <c r="P59" s="4" t="inlineStr">
        <is>
          <t>info@qix.co.jp</t>
        </is>
      </c>
      <c r="Q59" s="4" t="inlineStr">
        <is>
          <t>042 860 7462</t>
        </is>
      </c>
      <c r="R59" s="4" t="inlineStr">
        <is>
          <t>Not identified</t>
        </is>
      </c>
      <c r="S59" s="4" t="inlineStr">
        <is>
          <t>Verified (published on own site, read via search)</t>
        </is>
      </c>
      <c r="T59" s="6">
        <f>SUM(Z59:AF59)</f>
        <v>17</v>
      </c>
      <c r="U59" s="8" t="inlineStr">
        <is>
          <t>V2</t>
        </is>
      </c>
      <c r="V59" s="4" t="inlineStr">
        <is>
          <t>Vet only company selling products, education and management support to animal hospitals; exhibits at JSVAS with luncheon seminars and partnered with Benesse on hospital support. FLAG: Device sales licence not confirmed.</t>
        </is>
      </c>
      <c r="W59" s="4" t="inlineStr">
        <is>
          <t>Education partnership: ultrasound wet labs within their vet seminar programme.</t>
        </is>
      </c>
      <c r="X59" s="4" t="inlineStr">
        <is>
          <t>Not checked (human list not in v17)</t>
        </is>
      </c>
      <c r="Y59" s="4" t="inlineStr">
        <is>
          <t>https://www.qix.co.jp/news/322 ; https://www.value-press.com/pressrelease/289075 ; https://www.qix.co.jp/law/</t>
        </is>
      </c>
      <c r="Z59" s="4" t="n">
        <v>2</v>
      </c>
      <c r="AA59" s="4" t="n">
        <v>1</v>
      </c>
      <c r="AB59" s="4" t="n">
        <v>5</v>
      </c>
      <c r="AC59" s="4" t="n">
        <v>4</v>
      </c>
      <c r="AD59" s="4" t="n">
        <v>1</v>
      </c>
      <c r="AE59" s="4" t="n">
        <v>1</v>
      </c>
      <c r="AF59" s="4" t="n">
        <v>3</v>
      </c>
      <c r="AG59" s="4" t="inlineStr">
        <is>
          <t>Evidence backed</t>
        </is>
      </c>
    </row>
    <row r="60" ht="75" customHeight="1">
      <c r="A60" s="4" t="n">
        <v>56</v>
      </c>
      <c r="B60" s="4" t="inlineStr">
        <is>
          <t>Telcom Co., Ltd.</t>
        </is>
      </c>
      <c r="C60" s="4" t="inlineStr">
        <is>
          <t>テルコム株式会社</t>
        </is>
      </c>
      <c r="D60" s="4" t="inlineStr">
        <is>
          <t>Not found (NTA lookup blocked; dedupe by Japanese name)</t>
        </is>
      </c>
      <c r="E60" s="4" t="inlineStr">
        <is>
          <t>Kanagawa</t>
        </is>
      </c>
      <c r="F60" s="4" t="inlineStr">
        <is>
          <t>Kanto</t>
        </is>
      </c>
      <c r="G60" s="5" t="inlineStr">
        <is>
          <t>https://www.terucom.co.jp/</t>
        </is>
      </c>
      <c r="H60" s="4" t="inlineStr">
        <is>
          <t>Vet device business (JAMO member)</t>
        </is>
      </c>
      <c r="I60" s="4" t="inlineStr">
        <is>
          <t>Not identified</t>
        </is>
      </c>
      <c r="J60" s="4" t="inlineStr">
        <is>
          <t>Companion</t>
        </is>
      </c>
      <c r="K60" s="4" t="inlineStr">
        <is>
          <t>Yokohama; national</t>
        </is>
      </c>
      <c r="L60" s="4" t="inlineStr">
        <is>
          <t>Not found</t>
        </is>
      </c>
      <c r="M60" s="4" t="inlineStr">
        <is>
          <t>n/a</t>
        </is>
      </c>
      <c r="N60" s="4" t="inlineStr">
        <is>
          <t>Not identified</t>
        </is>
      </c>
      <c r="O60" s="4" t="inlineStr">
        <is>
          <t>Not identified</t>
        </is>
      </c>
      <c r="P60" s="4" t="inlineStr">
        <is>
          <t>terucom_info@terucom.co.jp</t>
        </is>
      </c>
      <c r="Q60" s="4" t="inlineStr">
        <is>
          <t>045 947 2904</t>
        </is>
      </c>
      <c r="R60" s="4" t="inlineStr">
        <is>
          <t>Not identified</t>
        </is>
      </c>
      <c r="S60" s="4" t="inlineStr">
        <is>
          <t>Verified (published on own site, read via search); maker of pet oxygen houses</t>
        </is>
      </c>
      <c r="T60" s="6">
        <f>SUM(Z60:AF60)</f>
        <v>17</v>
      </c>
      <c r="U60" s="8" t="inlineStr">
        <is>
          <t>V2</t>
        </is>
      </c>
      <c r="V60" s="4" t="inlineStr">
        <is>
          <t>Yokohama member of the vet device association JAMO. FLAG: Product focus not confirmed.</t>
        </is>
      </c>
      <c r="W60" s="4" t="inlineStr">
        <is>
          <t>Qualify product focus; possible Kanagawa sub dealer.</t>
        </is>
      </c>
      <c r="X60" s="4" t="inlineStr">
        <is>
          <t>Not checked (human list not in v17)</t>
        </is>
      </c>
      <c r="Y60" s="4" t="inlineStr">
        <is>
          <t>https://www.jamo.or.jp/member/ ; https://www.terucom.co.jp/company/outline/</t>
        </is>
      </c>
      <c r="Z60" s="4" t="n">
        <v>3</v>
      </c>
      <c r="AA60" s="4" t="n">
        <v>1</v>
      </c>
      <c r="AB60" s="4" t="n">
        <v>4</v>
      </c>
      <c r="AC60" s="4" t="n">
        <v>3</v>
      </c>
      <c r="AD60" s="4" t="n">
        <v>1</v>
      </c>
      <c r="AE60" s="4" t="n">
        <v>2</v>
      </c>
      <c r="AF60" s="4" t="n">
        <v>3</v>
      </c>
      <c r="AG60" s="4" t="inlineStr">
        <is>
          <t>Evidence backed</t>
        </is>
      </c>
    </row>
    <row r="61" ht="75" customHeight="1">
      <c r="A61" s="4" t="n">
        <v>57</v>
      </c>
      <c r="B61" s="4" t="inlineStr">
        <is>
          <t>Taishodo Co., Ltd.</t>
        </is>
      </c>
      <c r="C61" s="4" t="inlineStr">
        <is>
          <t>株式会社大正堂</t>
        </is>
      </c>
      <c r="D61" s="4" t="inlineStr">
        <is>
          <t>Not found (NTA lookup blocked; dedupe by Japanese name)</t>
        </is>
      </c>
      <c r="E61" s="4" t="inlineStr">
        <is>
          <t>Tochigi</t>
        </is>
      </c>
      <c r="F61" s="4" t="inlineStr">
        <is>
          <t>Kanto</t>
        </is>
      </c>
      <c r="G61" s="5" t="inlineStr">
        <is>
          <t>https://taishodou.jp/</t>
        </is>
      </c>
      <c r="H61" s="4" t="inlineStr">
        <is>
          <t>動物用医薬品 卸売販売業 (JADIDA member); equipment sales capability to confirm</t>
        </is>
      </c>
      <c r="I61" s="4" t="inlineStr">
        <is>
          <t>No ultrasound line identified</t>
        </is>
      </c>
      <c r="J61" s="4" t="inlineStr">
        <is>
          <t>Both</t>
        </is>
      </c>
      <c r="K61" s="4" t="inlineStr">
        <is>
          <t>Hokkaido (Obihiro) and Gunma office</t>
        </is>
      </c>
      <c r="L61" s="4" t="inlineStr">
        <is>
          <t>Not found</t>
        </is>
      </c>
      <c r="M61" s="4" t="inlineStr">
        <is>
          <t>n/a</t>
        </is>
      </c>
      <c r="N61" s="4" t="inlineStr">
        <is>
          <t>Not identified</t>
        </is>
      </c>
      <c r="O61" s="4" t="inlineStr">
        <is>
          <t>Not identified</t>
        </is>
      </c>
      <c r="P61" s="4" t="inlineStr">
        <is>
          <t>Not published; inquiry form: https://taishodou.jp/contact/</t>
        </is>
      </c>
      <c r="Q61" s="4" t="inlineStr">
        <is>
          <t>0155 66 5411 (Obihiro); HQ 0287 65 1211</t>
        </is>
      </c>
      <c r="R61" s="4" t="inlineStr">
        <is>
          <t>Not identified</t>
        </is>
      </c>
      <c r="S61" s="4" t="inlineStr">
        <is>
          <t>Company inquiry only (form); HQ is in Tochigi, Hokkaido division in Obihiro</t>
        </is>
      </c>
      <c r="T61" s="6">
        <f>SUM(Z61:AF61)</f>
        <v>23</v>
      </c>
      <c r="U61" s="9" t="inlineStr">
        <is>
          <t>V3</t>
        </is>
      </c>
      <c r="V61" s="4" t="inlineStr">
        <is>
          <t>JADIDA member with a Hokkaido division in Obihiro, the heart of Tokachi dairy, plus a Gunma office.</t>
        </is>
      </c>
      <c r="W61" s="4" t="inlineStr">
        <is>
          <t>Rep carried demo of a pocket or portable scanner on existing drug routes; no stock commitment at first.</t>
        </is>
      </c>
      <c r="X61" s="4" t="inlineStr">
        <is>
          <t>Not checked (human list not in v17)</t>
        </is>
      </c>
      <c r="Y61" s="4" t="inlineStr">
        <is>
          <t>https://jadida.or.jp/doc/KaiinList20250401.pdf ; https://taishodou.jp/contact/</t>
        </is>
      </c>
      <c r="Z61" s="4" t="n">
        <v>3</v>
      </c>
      <c r="AA61" s="4" t="n">
        <v>1</v>
      </c>
      <c r="AB61" s="4" t="n">
        <v>5</v>
      </c>
      <c r="AC61" s="4" t="n">
        <v>4</v>
      </c>
      <c r="AD61" s="4" t="n">
        <v>5</v>
      </c>
      <c r="AE61" s="4" t="n">
        <v>2</v>
      </c>
      <c r="AF61" s="4" t="n">
        <v>3</v>
      </c>
      <c r="AG61" s="4" t="inlineStr">
        <is>
          <t>Evidence backed</t>
        </is>
      </c>
    </row>
    <row r="62" ht="75" customHeight="1">
      <c r="A62" s="4" t="n">
        <v>58</v>
      </c>
      <c r="B62" s="4" t="inlineStr">
        <is>
          <t>Atol Co., Ltd.</t>
        </is>
      </c>
      <c r="C62" s="4" t="inlineStr">
        <is>
          <t>株式会社アトル</t>
        </is>
      </c>
      <c r="D62" s="4" t="inlineStr">
        <is>
          <t>Not found (NTA lookup blocked; dedupe by Japanese name)</t>
        </is>
      </c>
      <c r="E62" s="4" t="inlineStr">
        <is>
          <t>Fukuoka</t>
        </is>
      </c>
      <c r="F62" s="4" t="inlineStr">
        <is>
          <t>Kyushu and Okinawa</t>
        </is>
      </c>
      <c r="G62" s="5" t="inlineStr">
        <is>
          <t>https://www.atol-com.co.jp/</t>
        </is>
      </c>
      <c r="H62" s="4" t="inlineStr">
        <is>
          <t>動物用医薬品 卸売販売業 (JADIDA member); equipment sales capability to confirm</t>
        </is>
      </c>
      <c r="I62" s="4" t="inlineStr">
        <is>
          <t>No ultrasound line identified</t>
        </is>
      </c>
      <c r="J62" s="4" t="inlineStr">
        <is>
          <t>Both</t>
        </is>
      </c>
      <c r="K62" s="4" t="inlineStr">
        <is>
          <t>Kyushu</t>
        </is>
      </c>
      <c r="L62" s="4" t="inlineStr">
        <is>
          <t>Not found</t>
        </is>
      </c>
      <c r="M62" s="4" t="inlineStr">
        <is>
          <t>n/a</t>
        </is>
      </c>
      <c r="N62" s="4" t="inlineStr">
        <is>
          <t>Not identified</t>
        </is>
      </c>
      <c r="O62" s="4" t="inlineStr">
        <is>
          <t>Not identified</t>
        </is>
      </c>
      <c r="P62" s="4" t="inlineStr">
        <is>
          <t>Not published; phone only</t>
        </is>
      </c>
      <c r="Q62" s="4" t="inlineStr">
        <is>
          <t>092 665 7150 (Fukuoka sales)</t>
        </is>
      </c>
      <c r="R62" s="4" t="inlineStr">
        <is>
          <t>Not identified</t>
        </is>
      </c>
      <c r="S62" s="4" t="inlineStr">
        <is>
          <t>Company inquiry only (form)</t>
        </is>
      </c>
      <c r="T62" s="6">
        <f>SUM(Z62:AF62)</f>
        <v>23</v>
      </c>
      <c r="U62" s="9" t="inlineStr">
        <is>
          <t>V3</t>
        </is>
      </c>
      <c r="V62" s="4" t="inlineStr">
        <is>
          <t>Fukuoka based wholesaler listed among Japan's animal drug wholesalers; Kyushu livestock and companion coverage.</t>
        </is>
      </c>
      <c r="W62" s="4" t="inlineStr">
        <is>
          <t>Rep carried demo of a pocket or portable scanner on existing drug routes; no stock commitment at first.</t>
        </is>
      </c>
      <c r="X62" s="4" t="inlineStr">
        <is>
          <t>Not checked (human list not in v17)</t>
        </is>
      </c>
      <c r="Y62" s="4" t="inlineStr">
        <is>
          <t>https://news.jprpet.com/company/list/174/</t>
        </is>
      </c>
      <c r="Z62" s="4" t="n">
        <v>3</v>
      </c>
      <c r="AA62" s="4" t="n">
        <v>1</v>
      </c>
      <c r="AB62" s="4" t="n">
        <v>5</v>
      </c>
      <c r="AC62" s="4" t="n">
        <v>4</v>
      </c>
      <c r="AD62" s="4" t="n">
        <v>5</v>
      </c>
      <c r="AE62" s="4" t="n">
        <v>2</v>
      </c>
      <c r="AF62" s="4" t="n">
        <v>3</v>
      </c>
      <c r="AG62" s="4" t="inlineStr">
        <is>
          <t>Evidence backed</t>
        </is>
      </c>
    </row>
    <row r="63" ht="75" customHeight="1">
      <c r="A63" s="4" t="n">
        <v>59</v>
      </c>
      <c r="B63" s="4" t="inlineStr">
        <is>
          <t>Kyushu Mitaka Co., Ltd.</t>
        </is>
      </c>
      <c r="C63" s="4" t="inlineStr">
        <is>
          <t>株式会社九州ミタカ</t>
        </is>
      </c>
      <c r="D63" s="4" t="inlineStr">
        <is>
          <t>Not found (NTA lookup blocked; dedupe by Japanese name)</t>
        </is>
      </c>
      <c r="E63" s="4" t="inlineStr">
        <is>
          <t>Kumamoto</t>
        </is>
      </c>
      <c r="F63" s="4" t="inlineStr">
        <is>
          <t>Kyushu and Okinawa</t>
        </is>
      </c>
      <c r="G63" s="5" t="inlineStr">
        <is>
          <t>https://www.kyusyumitaka.com/</t>
        </is>
      </c>
      <c r="H63" s="4" t="inlineStr">
        <is>
          <t>動物用医薬品 卸売販売業 (JADIDA member); equipment sales capability to confirm</t>
        </is>
      </c>
      <c r="I63" s="4" t="inlineStr">
        <is>
          <t>No ultrasound line identified</t>
        </is>
      </c>
      <c r="J63" s="4" t="inlineStr">
        <is>
          <t>Both</t>
        </is>
      </c>
      <c r="K63" s="4" t="inlineStr">
        <is>
          <t>Kumamoto and Kyushu livestock</t>
        </is>
      </c>
      <c r="L63" s="4" t="inlineStr">
        <is>
          <t>Not found</t>
        </is>
      </c>
      <c r="M63" s="4" t="inlineStr">
        <is>
          <t>n/a</t>
        </is>
      </c>
      <c r="N63" s="4" t="inlineStr">
        <is>
          <t>Not identified</t>
        </is>
      </c>
      <c r="O63" s="4" t="inlineStr">
        <is>
          <t>Not identified</t>
        </is>
      </c>
      <c r="P63" s="4" t="inlineStr">
        <is>
          <t>info@kyusyumitaka.com</t>
        </is>
      </c>
      <c r="Q63" s="4" t="inlineStr">
        <is>
          <t>096 292 7200</t>
        </is>
      </c>
      <c r="R63" s="4" t="inlineStr">
        <is>
          <t>Not identified</t>
        </is>
      </c>
      <c r="S63" s="4" t="inlineStr">
        <is>
          <t>Verified (published on own site, read via search); FLAG acquired by Sanyo Trading group (YP Tech) Oct 2025</t>
        </is>
      </c>
      <c r="T63" s="6">
        <f>SUM(Z63:AF63)</f>
        <v>23</v>
      </c>
      <c r="U63" s="9" t="inlineStr">
        <is>
          <t>V3</t>
        </is>
      </c>
      <c r="V63" s="4" t="inlineStr">
        <is>
          <t>Kyoritsu group animal drug seller founded 1983 that also sells livestock equipment in Kumamoto. FLAG: Kyoritsu group (Kyoritsu Seiyaku sells its own CTS800 ultrasound); check group conflict.</t>
        </is>
      </c>
      <c r="W63" s="4" t="inlineStr">
        <is>
          <t>Rep carried demo of a pocket or portable scanner on existing drug routes; no stock commitment at first.</t>
        </is>
      </c>
      <c r="X63" s="4" t="inlineStr">
        <is>
          <t>Not checked (human list not in v17)</t>
        </is>
      </c>
      <c r="Y63" s="4" t="inlineStr">
        <is>
          <t>https://www.kyusyumitaka.com/ ; https://www.kyusyumitaka.com/%E4%BC%9A%E7%A4%BE%E6%83%85%E5%A0%B1</t>
        </is>
      </c>
      <c r="Z63" s="4" t="n">
        <v>3</v>
      </c>
      <c r="AA63" s="4" t="n">
        <v>1</v>
      </c>
      <c r="AB63" s="4" t="n">
        <v>5</v>
      </c>
      <c r="AC63" s="4" t="n">
        <v>4</v>
      </c>
      <c r="AD63" s="4" t="n">
        <v>5</v>
      </c>
      <c r="AE63" s="4" t="n">
        <v>2</v>
      </c>
      <c r="AF63" s="4" t="n">
        <v>3</v>
      </c>
      <c r="AG63" s="4" t="inlineStr">
        <is>
          <t>Evidence backed</t>
        </is>
      </c>
    </row>
    <row r="64" ht="75" customHeight="1">
      <c r="A64" s="4" t="n">
        <v>60</v>
      </c>
      <c r="B64" s="4" t="inlineStr">
        <is>
          <t>Nagasaki Juiyakuhin Co., Ltd.</t>
        </is>
      </c>
      <c r="C64" s="4" t="inlineStr">
        <is>
          <t>長崎獣医薬品株式会社</t>
        </is>
      </c>
      <c r="D64" s="4" t="inlineStr">
        <is>
          <t>Not found (NTA lookup blocked; dedupe by Japanese name)</t>
        </is>
      </c>
      <c r="E64" s="4" t="inlineStr">
        <is>
          <t>Nagasaki</t>
        </is>
      </c>
      <c r="F64" s="4" t="inlineStr">
        <is>
          <t>Kyushu and Okinawa</t>
        </is>
      </c>
      <c r="G64" s="4" t="inlineStr">
        <is>
          <t>Not found</t>
        </is>
      </c>
      <c r="H64" s="4" t="inlineStr">
        <is>
          <t>動物用医薬品 卸売販売業 (JADIDA member); equipment sales capability to confirm</t>
        </is>
      </c>
      <c r="I64" s="4" t="inlineStr">
        <is>
          <t>No ultrasound line identified</t>
        </is>
      </c>
      <c r="J64" s="4" t="inlineStr">
        <is>
          <t>Both</t>
        </is>
      </c>
      <c r="K64" s="4" t="inlineStr">
        <is>
          <t>Nagasaki</t>
        </is>
      </c>
      <c r="L64" s="4" t="inlineStr">
        <is>
          <t>Not found</t>
        </is>
      </c>
      <c r="M64" s="4" t="inlineStr">
        <is>
          <t>n/a</t>
        </is>
      </c>
      <c r="N64" s="4" t="inlineStr">
        <is>
          <t>Not identified</t>
        </is>
      </c>
      <c r="O64" s="4" t="inlineStr">
        <is>
          <t>Not identified</t>
        </is>
      </c>
      <c r="P64" s="4" t="inlineStr">
        <is>
          <t>Not published; phone only</t>
        </is>
      </c>
      <c r="Q64" s="4" t="inlineStr">
        <is>
          <t>0957 22 0164</t>
        </is>
      </c>
      <c r="R64" s="4" t="inlineStr">
        <is>
          <t>Not identified</t>
        </is>
      </c>
      <c r="S64" s="4" t="inlineStr">
        <is>
          <t>Company inquiry only (phone)</t>
        </is>
      </c>
      <c r="T64" s="6">
        <f>SUM(Z64:AF64)</f>
        <v>23</v>
      </c>
      <c r="U64" s="9" t="inlineStr">
        <is>
          <t>V3</t>
        </is>
      </c>
      <c r="V64" s="4" t="inlineStr">
        <is>
          <t>Nagasaki vet drug wholesaler (JADIDA Kyushu block).</t>
        </is>
      </c>
      <c r="W64" s="4" t="inlineStr">
        <is>
          <t>Rep carried demo of a pocket or portable scanner on existing drug routes; no stock commitment at first.</t>
        </is>
      </c>
      <c r="X64" s="4" t="inlineStr">
        <is>
          <t>Not checked (human list not in v17)</t>
        </is>
      </c>
      <c r="Y64" s="4" t="inlineStr">
        <is>
          <t>https://jadida.or.jp/doc/KaiinList20250407.pdf</t>
        </is>
      </c>
      <c r="Z64" s="4" t="n">
        <v>3</v>
      </c>
      <c r="AA64" s="4" t="n">
        <v>1</v>
      </c>
      <c r="AB64" s="4" t="n">
        <v>5</v>
      </c>
      <c r="AC64" s="4" t="n">
        <v>4</v>
      </c>
      <c r="AD64" s="4" t="n">
        <v>5</v>
      </c>
      <c r="AE64" s="4" t="n">
        <v>2</v>
      </c>
      <c r="AF64" s="4" t="n">
        <v>3</v>
      </c>
      <c r="AG64" s="4" t="inlineStr">
        <is>
          <t>Evidence backed</t>
        </is>
      </c>
    </row>
    <row r="65" ht="75" customHeight="1">
      <c r="A65" s="4" t="n">
        <v>61</v>
      </c>
      <c r="B65" s="4" t="inlineStr">
        <is>
          <t>Acti Co., Ltd.</t>
        </is>
      </c>
      <c r="C65" s="4" t="inlineStr">
        <is>
          <t>アクティ株式会社</t>
        </is>
      </c>
      <c r="D65" s="4" t="inlineStr">
        <is>
          <t>Not found (NTA lookup blocked; dedupe by Japanese name)</t>
        </is>
      </c>
      <c r="E65" s="4" t="inlineStr">
        <is>
          <t>Nagano</t>
        </is>
      </c>
      <c r="F65" s="4" t="inlineStr">
        <is>
          <t>Chubu</t>
        </is>
      </c>
      <c r="G65" s="4" t="inlineStr">
        <is>
          <t>Not found</t>
        </is>
      </c>
      <c r="H65" s="4" t="inlineStr">
        <is>
          <t>動物用医薬品 卸売販売業 (JADIDA member); equipment sales capability to confirm</t>
        </is>
      </c>
      <c r="I65" s="4" t="inlineStr">
        <is>
          <t>No ultrasound line identified</t>
        </is>
      </c>
      <c r="J65" s="4" t="inlineStr">
        <is>
          <t>Both</t>
        </is>
      </c>
      <c r="K65" s="4" t="inlineStr">
        <is>
          <t>Nagano HQ; Koshinetsu incl. Yamanashi</t>
        </is>
      </c>
      <c r="L65" s="4" t="inlineStr">
        <is>
          <t>Not found</t>
        </is>
      </c>
      <c r="M65" s="4" t="inlineStr">
        <is>
          <t>n/a</t>
        </is>
      </c>
      <c r="N65" s="4" t="inlineStr">
        <is>
          <t>Not identified</t>
        </is>
      </c>
      <c r="O65" s="4" t="inlineStr">
        <is>
          <t>Not identified</t>
        </is>
      </c>
      <c r="P65" s="4" t="inlineStr">
        <is>
          <t>animal-health@acty-kk.com</t>
        </is>
      </c>
      <c r="Q65" s="4" t="inlineStr">
        <is>
          <t>0263 87 7246 (animal health)</t>
        </is>
      </c>
      <c r="R65" s="4" t="inlineStr">
        <is>
          <t>Not identified</t>
        </is>
      </c>
      <c r="S65" s="4" t="inlineStr">
        <is>
          <t>Verified (published on own site, read via search)</t>
        </is>
      </c>
      <c r="T65" s="6">
        <f>SUM(Z65:AF65)</f>
        <v>22</v>
      </c>
      <c r="U65" s="9" t="inlineStr">
        <is>
          <t>V3</t>
        </is>
      </c>
      <c r="V65" s="4" t="inlineStr">
        <is>
          <t>Regional vet drug wholesaler named in Fuji Keizai's 2025 vet dealer ranking study.</t>
        </is>
      </c>
      <c r="W65" s="4" t="inlineStr">
        <is>
          <t>Rep carried demo of a pocket or portable scanner on existing drug routes; no stock commitment at first.</t>
        </is>
      </c>
      <c r="X65" s="4" t="inlineStr">
        <is>
          <t>Not checked (human list not in v17)</t>
        </is>
      </c>
      <c r="Y65" s="4" t="inlineStr">
        <is>
          <t>https://news.jprpet.com/company/list/174/ ; https://www.fuji-keizai.co.jp/report/detail.html?code=122410710&amp;la=ja&amp;la=en ; https://www.acty-kk.com/contact/contact.html</t>
        </is>
      </c>
      <c r="Z65" s="4" t="n">
        <v>3</v>
      </c>
      <c r="AA65" s="4" t="n">
        <v>1</v>
      </c>
      <c r="AB65" s="4" t="n">
        <v>5</v>
      </c>
      <c r="AC65" s="4" t="n">
        <v>4</v>
      </c>
      <c r="AD65" s="4" t="n">
        <v>4</v>
      </c>
      <c r="AE65" s="4" t="n">
        <v>2</v>
      </c>
      <c r="AF65" s="4" t="n">
        <v>3</v>
      </c>
      <c r="AG65" s="4" t="inlineStr">
        <is>
          <t>Evidence backed</t>
        </is>
      </c>
    </row>
    <row r="66" ht="75" customHeight="1">
      <c r="A66" s="4" t="n">
        <v>62</v>
      </c>
      <c r="B66" s="4" t="inlineStr">
        <is>
          <t>Chubu Kasei Yakuhin Co., Ltd.</t>
        </is>
      </c>
      <c r="C66" s="4" t="inlineStr">
        <is>
          <t>中部化成薬品株式会社</t>
        </is>
      </c>
      <c r="D66" s="4" t="inlineStr">
        <is>
          <t>Not found (NTA lookup blocked; dedupe by Japanese name)</t>
        </is>
      </c>
      <c r="E66" s="4" t="inlineStr">
        <is>
          <t>Gifu</t>
        </is>
      </c>
      <c r="F66" s="4" t="inlineStr">
        <is>
          <t>Chubu</t>
        </is>
      </c>
      <c r="G66" s="5" t="inlineStr">
        <is>
          <t>https://chubukasei.jp/</t>
        </is>
      </c>
      <c r="H66" s="4" t="inlineStr">
        <is>
          <t>動物用医薬品 卸売販売業 (JADIDA member); equipment sales capability to confirm</t>
        </is>
      </c>
      <c r="I66" s="4" t="inlineStr">
        <is>
          <t>No ultrasound line identified</t>
        </is>
      </c>
      <c r="J66" s="4" t="inlineStr">
        <is>
          <t>Both</t>
        </is>
      </c>
      <c r="K66" s="4" t="inlineStr">
        <is>
          <t>Gifu</t>
        </is>
      </c>
      <c r="L66" s="4" t="inlineStr">
        <is>
          <t>Not found</t>
        </is>
      </c>
      <c r="M66" s="4" t="inlineStr">
        <is>
          <t>n/a</t>
        </is>
      </c>
      <c r="N66" s="4" t="inlineStr">
        <is>
          <t>Not identified</t>
        </is>
      </c>
      <c r="O66" s="4" t="inlineStr">
        <is>
          <t>Not identified</t>
        </is>
      </c>
      <c r="P66" s="4" t="inlineStr">
        <is>
          <t>honsya@chubukasei.jp</t>
        </is>
      </c>
      <c r="Q66" s="4" t="inlineStr">
        <is>
          <t>058 264 3291</t>
        </is>
      </c>
      <c r="R66" s="4" t="inlineStr">
        <is>
          <t>Not identified</t>
        </is>
      </c>
      <c r="S66" s="4" t="inlineStr">
        <is>
          <t>Verified (published on own site, read via search); also sells 動物用機器</t>
        </is>
      </c>
      <c r="T66" s="6">
        <f>SUM(Z66:AF66)</f>
        <v>22</v>
      </c>
      <c r="U66" s="9" t="inlineStr">
        <is>
          <t>V3</t>
        </is>
      </c>
      <c r="V66" s="4" t="inlineStr">
        <is>
          <t>Gifu JADIDA member.</t>
        </is>
      </c>
      <c r="W66" s="4" t="inlineStr">
        <is>
          <t>Rep carried demo of a pocket or portable scanner on existing drug routes; no stock commitment at first.</t>
        </is>
      </c>
      <c r="X66" s="4" t="inlineStr">
        <is>
          <t>Not checked (human list not in v17)</t>
        </is>
      </c>
      <c r="Y66" s="4" t="inlineStr">
        <is>
          <t>https://jadida.or.jp/doc/KaiinList20250401.pdf ; https://chubukasei.jp/about/company-profile/ ; https://chubukasei.jp/contact/</t>
        </is>
      </c>
      <c r="Z66" s="4" t="n">
        <v>3</v>
      </c>
      <c r="AA66" s="4" t="n">
        <v>1</v>
      </c>
      <c r="AB66" s="4" t="n">
        <v>5</v>
      </c>
      <c r="AC66" s="4" t="n">
        <v>4</v>
      </c>
      <c r="AD66" s="4" t="n">
        <v>4</v>
      </c>
      <c r="AE66" s="4" t="n">
        <v>2</v>
      </c>
      <c r="AF66" s="4" t="n">
        <v>3</v>
      </c>
      <c r="AG66" s="4" t="inlineStr">
        <is>
          <t>Evidence backed</t>
        </is>
      </c>
    </row>
    <row r="67" ht="75" customHeight="1">
      <c r="A67" s="4" t="n">
        <v>63</v>
      </c>
      <c r="B67" s="4" t="inlineStr">
        <is>
          <t>Dowa Kagaku Co., Ltd.</t>
        </is>
      </c>
      <c r="C67" s="4" t="inlineStr">
        <is>
          <t>同和化学株式会社</t>
        </is>
      </c>
      <c r="D67" s="4" t="inlineStr">
        <is>
          <t>Not found (NTA lookup blocked; dedupe by Japanese name)</t>
        </is>
      </c>
      <c r="E67" s="4" t="inlineStr">
        <is>
          <t>Aichi</t>
        </is>
      </c>
      <c r="F67" s="4" t="inlineStr">
        <is>
          <t>Chubu</t>
        </is>
      </c>
      <c r="G67" s="4" t="inlineStr">
        <is>
          <t>Not found</t>
        </is>
      </c>
      <c r="H67" s="4" t="inlineStr">
        <is>
          <t>動物用医薬品 卸売販売業 (JADIDA member); equipment sales capability to confirm</t>
        </is>
      </c>
      <c r="I67" s="4" t="inlineStr">
        <is>
          <t>No ultrasound line identified</t>
        </is>
      </c>
      <c r="J67" s="4" t="inlineStr">
        <is>
          <t>Both</t>
        </is>
      </c>
      <c r="K67" s="4" t="inlineStr">
        <is>
          <t>Tokai</t>
        </is>
      </c>
      <c r="L67" s="4" t="inlineStr">
        <is>
          <t>Not found</t>
        </is>
      </c>
      <c r="M67" s="4" t="inlineStr">
        <is>
          <t>n/a</t>
        </is>
      </c>
      <c r="N67" s="4" t="inlineStr">
        <is>
          <t>Not identified</t>
        </is>
      </c>
      <c r="O67" s="4" t="inlineStr">
        <is>
          <t>Not identified</t>
        </is>
      </c>
      <c r="P67" s="4" t="inlineStr">
        <is>
          <t>Not published; phone only</t>
        </is>
      </c>
      <c r="Q67" s="4" t="inlineStr">
        <is>
          <t>052 901 3101</t>
        </is>
      </c>
      <c r="R67" s="4" t="inlineStr">
        <is>
          <t>Not identified</t>
        </is>
      </c>
      <c r="S67" s="4" t="inlineStr">
        <is>
          <t>Company inquiry only (phone); FLAG ASCO group company (ASCO is on the Japan Dealers tab)</t>
        </is>
      </c>
      <c r="T67" s="6">
        <f>SUM(Z67:AF67)</f>
        <v>22</v>
      </c>
      <c r="U67" s="9" t="inlineStr">
        <is>
          <t>V3</t>
        </is>
      </c>
      <c r="V67" s="4" t="inlineStr">
        <is>
          <t>Nagoya wholesaler whose executive leads the JADIDA Chubu block.</t>
        </is>
      </c>
      <c r="W67" s="4" t="inlineStr">
        <is>
          <t>Rep carried demo of a pocket or portable scanner on existing drug routes; no stock commitment at first.</t>
        </is>
      </c>
      <c r="X67" s="4" t="inlineStr">
        <is>
          <t>Not checked (human list not in v17)</t>
        </is>
      </c>
      <c r="Y67" s="4" t="inlineStr">
        <is>
          <t>https://news.jprpet.com/company/list/174/ ; https://jadida.or.jp/doc/KaiinList20250401.pdf</t>
        </is>
      </c>
      <c r="Z67" s="4" t="n">
        <v>3</v>
      </c>
      <c r="AA67" s="4" t="n">
        <v>1</v>
      </c>
      <c r="AB67" s="4" t="n">
        <v>5</v>
      </c>
      <c r="AC67" s="4" t="n">
        <v>4</v>
      </c>
      <c r="AD67" s="4" t="n">
        <v>4</v>
      </c>
      <c r="AE67" s="4" t="n">
        <v>2</v>
      </c>
      <c r="AF67" s="4" t="n">
        <v>3</v>
      </c>
      <c r="AG67" s="4" t="inlineStr">
        <is>
          <t>Evidence backed</t>
        </is>
      </c>
    </row>
    <row r="68" ht="75" customHeight="1">
      <c r="A68" s="4" t="n">
        <v>64</v>
      </c>
      <c r="B68" s="4" t="inlineStr">
        <is>
          <t>Niigata Fuji Yakuhin Co., Ltd.</t>
        </is>
      </c>
      <c r="C68" s="4" t="inlineStr">
        <is>
          <t>株式会社新潟富士薬品</t>
        </is>
      </c>
      <c r="D68" s="4" t="inlineStr">
        <is>
          <t>Not found (NTA lookup blocked; dedupe by Japanese name)</t>
        </is>
      </c>
      <c r="E68" s="4" t="inlineStr">
        <is>
          <t>Niigata</t>
        </is>
      </c>
      <c r="F68" s="4" t="inlineStr">
        <is>
          <t>Chubu</t>
        </is>
      </c>
      <c r="G68" s="5" t="inlineStr">
        <is>
          <t>http://www.niigatafuji.co.jp</t>
        </is>
      </c>
      <c r="H68" s="4" t="inlineStr">
        <is>
          <t>動物用医薬品 卸売販売業 (JADIDA member); equipment sales capability to confirm</t>
        </is>
      </c>
      <c r="I68" s="4" t="inlineStr">
        <is>
          <t>No ultrasound line identified</t>
        </is>
      </c>
      <c r="J68" s="4" t="inlineStr">
        <is>
          <t>Both</t>
        </is>
      </c>
      <c r="K68" s="4" t="inlineStr">
        <is>
          <t>Niigata</t>
        </is>
      </c>
      <c r="L68" s="4" t="inlineStr">
        <is>
          <t>Not found</t>
        </is>
      </c>
      <c r="M68" s="4" t="inlineStr">
        <is>
          <t>n/a</t>
        </is>
      </c>
      <c r="N68" s="4" t="inlineStr">
        <is>
          <t>Not identified</t>
        </is>
      </c>
      <c r="O68" s="4" t="inlineStr">
        <is>
          <t>Not identified</t>
        </is>
      </c>
      <c r="P68" s="4" t="inlineStr">
        <is>
          <t>pharmacy@niigatafuji.co.jp</t>
        </is>
      </c>
      <c r="Q68" s="4" t="inlineStr">
        <is>
          <t>025 229 1256</t>
        </is>
      </c>
      <c r="R68" s="4" t="inlineStr">
        <is>
          <t>Not identified</t>
        </is>
      </c>
      <c r="S68" s="4" t="inlineStr">
        <is>
          <t>Likely (third party listing); pharmacy desk address, ask to forward</t>
        </is>
      </c>
      <c r="T68" s="6">
        <f>SUM(Z68:AF68)</f>
        <v>22</v>
      </c>
      <c r="U68" s="9" t="inlineStr">
        <is>
          <t>V3</t>
        </is>
      </c>
      <c r="V68" s="4" t="inlineStr">
        <is>
          <t>Niigata JADIDA member.</t>
        </is>
      </c>
      <c r="W68" s="4" t="inlineStr">
        <is>
          <t>Rep carried demo of a pocket or portable scanner on existing drug routes; no stock commitment at first.</t>
        </is>
      </c>
      <c r="X68" s="4" t="inlineStr">
        <is>
          <t>Not checked (human list not in v17)</t>
        </is>
      </c>
      <c r="Y68" s="4" t="inlineStr">
        <is>
          <t>https://www.jadida.or.jp/doc/KaiinList20241001.pdf ; https://www.iryou.teikyouseido.mhlw.go.jp/znk-web/juminkanja/S2430/initialize?kikanCd=YANCX00288&amp;kikanKbn=5&amp;prefCd=15</t>
        </is>
      </c>
      <c r="Z68" s="4" t="n">
        <v>3</v>
      </c>
      <c r="AA68" s="4" t="n">
        <v>1</v>
      </c>
      <c r="AB68" s="4" t="n">
        <v>5</v>
      </c>
      <c r="AC68" s="4" t="n">
        <v>4</v>
      </c>
      <c r="AD68" s="4" t="n">
        <v>4</v>
      </c>
      <c r="AE68" s="4" t="n">
        <v>2</v>
      </c>
      <c r="AF68" s="4" t="n">
        <v>3</v>
      </c>
      <c r="AG68" s="4" t="inlineStr">
        <is>
          <t>Evidence backed</t>
        </is>
      </c>
    </row>
    <row r="69" ht="75" customHeight="1">
      <c r="A69" s="4" t="n">
        <v>65</v>
      </c>
      <c r="B69" s="4" t="inlineStr">
        <is>
          <t>Oohira Yosaburo Shoten Co., Ltd.</t>
        </is>
      </c>
      <c r="C69" s="4" t="inlineStr">
        <is>
          <t>株式会社大平與三郎商店</t>
        </is>
      </c>
      <c r="D69" s="4" t="inlineStr">
        <is>
          <t>Not found (NTA lookup blocked; dedupe by Japanese name)</t>
        </is>
      </c>
      <c r="E69" s="4" t="inlineStr">
        <is>
          <t>Niigata</t>
        </is>
      </c>
      <c r="F69" s="4" t="inlineStr">
        <is>
          <t>Chubu</t>
        </is>
      </c>
      <c r="G69" s="4" t="inlineStr">
        <is>
          <t>Not found</t>
        </is>
      </c>
      <c r="H69" s="4" t="inlineStr">
        <is>
          <t>動物用医薬品 卸売販売業 (JADIDA member); equipment sales capability to confirm</t>
        </is>
      </c>
      <c r="I69" s="4" t="inlineStr">
        <is>
          <t>No ultrasound line identified</t>
        </is>
      </c>
      <c r="J69" s="4" t="inlineStr">
        <is>
          <t>Both</t>
        </is>
      </c>
      <c r="K69" s="4" t="inlineStr">
        <is>
          <t>Niigata</t>
        </is>
      </c>
      <c r="L69" s="4" t="inlineStr">
        <is>
          <t>Not found</t>
        </is>
      </c>
      <c r="M69" s="4" t="inlineStr">
        <is>
          <t>n/a</t>
        </is>
      </c>
      <c r="N69" s="4" t="inlineStr">
        <is>
          <t>Not identified</t>
        </is>
      </c>
      <c r="O69" s="4" t="inlineStr">
        <is>
          <t>Not identified</t>
        </is>
      </c>
      <c r="P69" s="4" t="inlineStr">
        <is>
          <t>Not published; phone only</t>
        </is>
      </c>
      <c r="Q69" s="4" t="inlineStr">
        <is>
          <t>0256 97 2012</t>
        </is>
      </c>
      <c r="R69" s="4" t="inlineStr">
        <is>
          <t>Not identified</t>
        </is>
      </c>
      <c r="S69" s="4" t="inlineStr">
        <is>
          <t>Company inquiry only (phone)</t>
        </is>
      </c>
      <c r="T69" s="6">
        <f>SUM(Z69:AF69)</f>
        <v>22</v>
      </c>
      <c r="U69" s="9" t="inlineStr">
        <is>
          <t>V3</t>
        </is>
      </c>
      <c r="V69" s="4" t="inlineStr">
        <is>
          <t>Long established Niigata JADIDA member.</t>
        </is>
      </c>
      <c r="W69" s="4" t="inlineStr">
        <is>
          <t>Rep carried demo of a pocket or portable scanner on existing drug routes; no stock commitment at first.</t>
        </is>
      </c>
      <c r="X69" s="4" t="inlineStr">
        <is>
          <t>Not checked (human list not in v17)</t>
        </is>
      </c>
      <c r="Y69" s="4" t="inlineStr">
        <is>
          <t>https://jadida.or.jp/doc/KaiinList20250822.pdf</t>
        </is>
      </c>
      <c r="Z69" s="4" t="n">
        <v>3</v>
      </c>
      <c r="AA69" s="4" t="n">
        <v>1</v>
      </c>
      <c r="AB69" s="4" t="n">
        <v>5</v>
      </c>
      <c r="AC69" s="4" t="n">
        <v>4</v>
      </c>
      <c r="AD69" s="4" t="n">
        <v>4</v>
      </c>
      <c r="AE69" s="4" t="n">
        <v>2</v>
      </c>
      <c r="AF69" s="4" t="n">
        <v>3</v>
      </c>
      <c r="AG69" s="4" t="inlineStr">
        <is>
          <t>Evidence backed</t>
        </is>
      </c>
    </row>
    <row r="70" ht="75" customHeight="1">
      <c r="A70" s="4" t="n">
        <v>66</v>
      </c>
      <c r="B70" s="4" t="inlineStr">
        <is>
          <t>Osada Yakuho Co., Ltd.</t>
        </is>
      </c>
      <c r="C70" s="4" t="inlineStr">
        <is>
          <t>株式会社長田薬舗</t>
        </is>
      </c>
      <c r="D70" s="4" t="inlineStr">
        <is>
          <t>Not found (NTA lookup blocked; dedupe by Japanese name)</t>
        </is>
      </c>
      <c r="E70" s="4" t="inlineStr">
        <is>
          <t>Toyama</t>
        </is>
      </c>
      <c r="F70" s="4" t="inlineStr">
        <is>
          <t>Chubu</t>
        </is>
      </c>
      <c r="G70" s="4" t="inlineStr">
        <is>
          <t>Not found</t>
        </is>
      </c>
      <c r="H70" s="4" t="inlineStr">
        <is>
          <t>動物用医薬品 卸売販売業 (JADIDA member); equipment sales capability to confirm</t>
        </is>
      </c>
      <c r="I70" s="4" t="inlineStr">
        <is>
          <t>No ultrasound line identified</t>
        </is>
      </c>
      <c r="J70" s="4" t="inlineStr">
        <is>
          <t>Both</t>
        </is>
      </c>
      <c r="K70" s="4" t="inlineStr">
        <is>
          <t>Ishikawa (Kanazawa)</t>
        </is>
      </c>
      <c r="L70" s="4" t="inlineStr">
        <is>
          <t>Not found</t>
        </is>
      </c>
      <c r="M70" s="4" t="inlineStr">
        <is>
          <t>n/a</t>
        </is>
      </c>
      <c r="N70" s="4" t="inlineStr">
        <is>
          <t>Not identified</t>
        </is>
      </c>
      <c r="O70" s="4" t="inlineStr">
        <is>
          <t>Not identified</t>
        </is>
      </c>
      <c r="P70" s="4" t="inlineStr">
        <is>
          <t>Not published; phone only</t>
        </is>
      </c>
      <c r="Q70" s="4" t="inlineStr">
        <is>
          <t>0766 23 9503</t>
        </is>
      </c>
      <c r="R70" s="4" t="inlineStr">
        <is>
          <t>Not identified</t>
        </is>
      </c>
      <c r="S70" s="4" t="inlineStr">
        <is>
          <t>Company inquiry only (phone); HQ is Takaoka, Toyama</t>
        </is>
      </c>
      <c r="T70" s="6">
        <f>SUM(Z70:AF70)</f>
        <v>22</v>
      </c>
      <c r="U70" s="9" t="inlineStr">
        <is>
          <t>V3</t>
        </is>
      </c>
      <c r="V70" s="4" t="inlineStr">
        <is>
          <t>Its head chairs the Ishikawa vet drug and equipment association.</t>
        </is>
      </c>
      <c r="W70" s="4" t="inlineStr">
        <is>
          <t>Rep carried demo of a pocket or portable scanner on existing drug routes; no stock commitment at first.</t>
        </is>
      </c>
      <c r="X70" s="4" t="inlineStr">
        <is>
          <t>Not checked (human list not in v17)</t>
        </is>
      </c>
      <c r="Y70" s="4" t="inlineStr">
        <is>
          <t>https://jadida.or.jp/doc/KaiinList20250822.pdf</t>
        </is>
      </c>
      <c r="Z70" s="4" t="n">
        <v>3</v>
      </c>
      <c r="AA70" s="4" t="n">
        <v>1</v>
      </c>
      <c r="AB70" s="4" t="n">
        <v>5</v>
      </c>
      <c r="AC70" s="4" t="n">
        <v>4</v>
      </c>
      <c r="AD70" s="4" t="n">
        <v>4</v>
      </c>
      <c r="AE70" s="4" t="n">
        <v>2</v>
      </c>
      <c r="AF70" s="4" t="n">
        <v>3</v>
      </c>
      <c r="AG70" s="4" t="inlineStr">
        <is>
          <t>Evidence backed</t>
        </is>
      </c>
    </row>
    <row r="71" ht="75" customHeight="1">
      <c r="A71" s="4" t="n">
        <v>67</v>
      </c>
      <c r="B71" s="4" t="inlineStr">
        <is>
          <t>Shinbo Edix Co., Ltd.</t>
        </is>
      </c>
      <c r="C71" s="4" t="inlineStr">
        <is>
          <t>株式会社信防エディックス</t>
        </is>
      </c>
      <c r="D71" s="4" t="inlineStr">
        <is>
          <t>Not found (NTA lookup blocked; dedupe by Japanese name)</t>
        </is>
      </c>
      <c r="E71" s="4" t="inlineStr">
        <is>
          <t>Nagano</t>
        </is>
      </c>
      <c r="F71" s="4" t="inlineStr">
        <is>
          <t>Chubu</t>
        </is>
      </c>
      <c r="G71" s="5" t="inlineStr">
        <is>
          <t>https://sinbou.co.jp/</t>
        </is>
      </c>
      <c r="H71" s="4" t="inlineStr">
        <is>
          <t>動物用医薬品 卸売販売業 (JADIDA member); equipment sales capability to confirm</t>
        </is>
      </c>
      <c r="I71" s="4" t="inlineStr">
        <is>
          <t>No ultrasound line identified</t>
        </is>
      </c>
      <c r="J71" s="4" t="inlineStr">
        <is>
          <t>Both</t>
        </is>
      </c>
      <c r="K71" s="4" t="inlineStr">
        <is>
          <t>Nagano</t>
        </is>
      </c>
      <c r="L71" s="4" t="inlineStr">
        <is>
          <t>Not found</t>
        </is>
      </c>
      <c r="M71" s="4" t="inlineStr">
        <is>
          <t>n/a</t>
        </is>
      </c>
      <c r="N71" s="4" t="inlineStr">
        <is>
          <t>Not identified</t>
        </is>
      </c>
      <c r="O71" s="4" t="inlineStr">
        <is>
          <t>Not identified</t>
        </is>
      </c>
      <c r="P71" s="4" t="inlineStr">
        <is>
          <t>sinbou@sinbou.co.jp</t>
        </is>
      </c>
      <c r="Q71" s="4" t="inlineStr">
        <is>
          <t>026 228 4161</t>
        </is>
      </c>
      <c r="R71" s="4" t="inlineStr">
        <is>
          <t>Not identified</t>
        </is>
      </c>
      <c r="S71" s="4" t="inlineStr">
        <is>
          <t>Likely (third party listing)</t>
        </is>
      </c>
      <c r="T71" s="6">
        <f>SUM(Z71:AF71)</f>
        <v>22</v>
      </c>
      <c r="U71" s="9" t="inlineStr">
        <is>
          <t>V3</t>
        </is>
      </c>
      <c r="V71" s="4" t="inlineStr">
        <is>
          <t>Nagano JADIDA member.</t>
        </is>
      </c>
      <c r="W71" s="4" t="inlineStr">
        <is>
          <t>Rep carried demo of a pocket or portable scanner on existing drug routes; no stock commitment at first.</t>
        </is>
      </c>
      <c r="X71" s="4" t="inlineStr">
        <is>
          <t>Not checked (human list not in v17)</t>
        </is>
      </c>
      <c r="Y71" s="4" t="inlineStr">
        <is>
          <t>https://jadida.or.jp/doc/KaiinList20250822.pdf ; http://www.nagano-arcs.jp/member/%E6%A0%AA%E5%BC%8F%E4%BC%9A%E7%A4%BE%E4%BF%A1%E9%98%B2%E3%82%A8%E3%83%87%E3%82%A3%E3%83%83%E3%82%AF%E3%82%B9/ ; https://sinbou.co.jp/contact/</t>
        </is>
      </c>
      <c r="Z71" s="4" t="n">
        <v>3</v>
      </c>
      <c r="AA71" s="4" t="n">
        <v>1</v>
      </c>
      <c r="AB71" s="4" t="n">
        <v>5</v>
      </c>
      <c r="AC71" s="4" t="n">
        <v>4</v>
      </c>
      <c r="AD71" s="4" t="n">
        <v>4</v>
      </c>
      <c r="AE71" s="4" t="n">
        <v>2</v>
      </c>
      <c r="AF71" s="4" t="n">
        <v>3</v>
      </c>
      <c r="AG71" s="4" t="inlineStr">
        <is>
          <t>Evidence backed</t>
        </is>
      </c>
    </row>
    <row r="72" ht="75" customHeight="1">
      <c r="A72" s="4" t="n">
        <v>68</v>
      </c>
      <c r="B72" s="4" t="inlineStr">
        <is>
          <t>Hikari Sakamoto Co., Ltd.</t>
        </is>
      </c>
      <c r="C72" s="4" t="inlineStr">
        <is>
          <t>ヒカリサカモト株式会社</t>
        </is>
      </c>
      <c r="D72" s="4" t="inlineStr">
        <is>
          <t>Not found (NTA lookup blocked; dedupe by Japanese name)</t>
        </is>
      </c>
      <c r="E72" s="4" t="inlineStr">
        <is>
          <t>Hiroshima</t>
        </is>
      </c>
      <c r="F72" s="4" t="inlineStr">
        <is>
          <t>Chugoku and Shikoku</t>
        </is>
      </c>
      <c r="G72" s="4" t="inlineStr">
        <is>
          <t>Not found</t>
        </is>
      </c>
      <c r="H72" s="4" t="inlineStr">
        <is>
          <t>動物用医薬品 卸売販売業 (JADIDA member); equipment sales capability to confirm</t>
        </is>
      </c>
      <c r="I72" s="4" t="inlineStr">
        <is>
          <t>No ultrasound line identified</t>
        </is>
      </c>
      <c r="J72" s="4" t="inlineStr">
        <is>
          <t>Both</t>
        </is>
      </c>
      <c r="K72" s="4" t="inlineStr">
        <is>
          <t>Hiroshima and Yamaguchi</t>
        </is>
      </c>
      <c r="L72" s="4" t="inlineStr">
        <is>
          <t>Not found</t>
        </is>
      </c>
      <c r="M72" s="4" t="inlineStr">
        <is>
          <t>n/a</t>
        </is>
      </c>
      <c r="N72" s="4" t="inlineStr">
        <is>
          <t>Not identified</t>
        </is>
      </c>
      <c r="O72" s="4" t="inlineStr">
        <is>
          <t>Not identified</t>
        </is>
      </c>
      <c r="P72" s="4" t="inlineStr">
        <is>
          <t>Not published; phone only</t>
        </is>
      </c>
      <c r="Q72" s="4" t="inlineStr">
        <is>
          <t>082 231 6990</t>
        </is>
      </c>
      <c r="R72" s="4" t="inlineStr">
        <is>
          <t>Not identified</t>
        </is>
      </c>
      <c r="S72" s="4" t="inlineStr">
        <is>
          <t>Company inquiry only (phone)</t>
        </is>
      </c>
      <c r="T72" s="6">
        <f>SUM(Z72:AF72)</f>
        <v>22</v>
      </c>
      <c r="U72" s="9" t="inlineStr">
        <is>
          <t>V3</t>
        </is>
      </c>
      <c r="V72" s="4" t="inlineStr">
        <is>
          <t>Hiroshima JADIDA member with a Yamaguchi office.</t>
        </is>
      </c>
      <c r="W72" s="4" t="inlineStr">
        <is>
          <t>Rep carried demo of a pocket or portable scanner on existing drug routes; no stock commitment at first.</t>
        </is>
      </c>
      <c r="X72" s="4" t="inlineStr">
        <is>
          <t>Not checked (human list not in v17)</t>
        </is>
      </c>
      <c r="Y72" s="4" t="inlineStr">
        <is>
          <t>https://www.jadida.or.jp/doc/KaiinList20241001.pdf ; https://jadida.or.jp/doc/KaiinList20250822.pdf</t>
        </is>
      </c>
      <c r="Z72" s="4" t="n">
        <v>3</v>
      </c>
      <c r="AA72" s="4" t="n">
        <v>1</v>
      </c>
      <c r="AB72" s="4" t="n">
        <v>5</v>
      </c>
      <c r="AC72" s="4" t="n">
        <v>4</v>
      </c>
      <c r="AD72" s="4" t="n">
        <v>4</v>
      </c>
      <c r="AE72" s="4" t="n">
        <v>2</v>
      </c>
      <c r="AF72" s="4" t="n">
        <v>3</v>
      </c>
      <c r="AG72" s="4" t="inlineStr">
        <is>
          <t>Evidence backed</t>
        </is>
      </c>
    </row>
    <row r="73" ht="75" customHeight="1">
      <c r="A73" s="4" t="n">
        <v>69</v>
      </c>
      <c r="B73" s="4" t="inlineStr">
        <is>
          <t>Juchiku Co., Ltd.</t>
        </is>
      </c>
      <c r="C73" s="4" t="inlineStr">
        <is>
          <t>株式会社ジュウチク</t>
        </is>
      </c>
      <c r="D73" s="4" t="inlineStr">
        <is>
          <t>Not found (NTA lookup blocked; dedupe by Japanese name)</t>
        </is>
      </c>
      <c r="E73" s="4" t="inlineStr">
        <is>
          <t>Okayama</t>
        </is>
      </c>
      <c r="F73" s="4" t="inlineStr">
        <is>
          <t>Chugoku and Shikoku</t>
        </is>
      </c>
      <c r="G73" s="5" t="inlineStr">
        <is>
          <t>https://jyuchiku.co.jp/</t>
        </is>
      </c>
      <c r="H73" s="4" t="inlineStr">
        <is>
          <t>動物用医薬品 卸売販売業 (JADIDA member); equipment sales capability to confirm</t>
        </is>
      </c>
      <c r="I73" s="4" t="inlineStr">
        <is>
          <t>No ultrasound line identified</t>
        </is>
      </c>
      <c r="J73" s="4" t="inlineStr">
        <is>
          <t>Both</t>
        </is>
      </c>
      <c r="K73" s="4" t="inlineStr">
        <is>
          <t>Okayama</t>
        </is>
      </c>
      <c r="L73" s="4" t="inlineStr">
        <is>
          <t>Not found</t>
        </is>
      </c>
      <c r="M73" s="4" t="inlineStr">
        <is>
          <t>n/a</t>
        </is>
      </c>
      <c r="N73" s="4" t="inlineStr">
        <is>
          <t>Not identified</t>
        </is>
      </c>
      <c r="O73" s="4" t="inlineStr">
        <is>
          <t>Not identified</t>
        </is>
      </c>
      <c r="P73" s="4" t="inlineStr">
        <is>
          <t>Not published; phone only</t>
        </is>
      </c>
      <c r="Q73" s="4" t="inlineStr">
        <is>
          <t>086 295 9230</t>
        </is>
      </c>
      <c r="R73" s="4" t="inlineStr">
        <is>
          <t>Not identified</t>
        </is>
      </c>
      <c r="S73" s="4" t="inlineStr">
        <is>
          <t>Company inquiry only (form); FLAG acquired by and Vet (Jul 2025), same group as and Vet row</t>
        </is>
      </c>
      <c r="T73" s="6">
        <f>SUM(Z73:AF73)</f>
        <v>22</v>
      </c>
      <c r="U73" s="9" t="inlineStr">
        <is>
          <t>V3</t>
        </is>
      </c>
      <c r="V73" s="4" t="inlineStr">
        <is>
          <t>Okayama JADIDA member.</t>
        </is>
      </c>
      <c r="W73" s="4" t="inlineStr">
        <is>
          <t>Rep carried demo of a pocket or portable scanner on existing drug routes; no stock commitment at first.</t>
        </is>
      </c>
      <c r="X73" s="4" t="inlineStr">
        <is>
          <t>Not checked (human list not in v17)</t>
        </is>
      </c>
      <c r="Y73" s="4" t="inlineStr">
        <is>
          <t>https://jadida.or.jp/doc/KaiinList20250822.pdf</t>
        </is>
      </c>
      <c r="Z73" s="4" t="n">
        <v>3</v>
      </c>
      <c r="AA73" s="4" t="n">
        <v>1</v>
      </c>
      <c r="AB73" s="4" t="n">
        <v>5</v>
      </c>
      <c r="AC73" s="4" t="n">
        <v>4</v>
      </c>
      <c r="AD73" s="4" t="n">
        <v>4</v>
      </c>
      <c r="AE73" s="4" t="n">
        <v>2</v>
      </c>
      <c r="AF73" s="4" t="n">
        <v>3</v>
      </c>
      <c r="AG73" s="4" t="inlineStr">
        <is>
          <t>Evidence backed</t>
        </is>
      </c>
    </row>
    <row r="74" ht="75" customHeight="1">
      <c r="A74" s="4" t="n">
        <v>70</v>
      </c>
      <c r="B74" s="4" t="inlineStr">
        <is>
          <t>Matsuda Iyakuhin Co., Ltd.</t>
        </is>
      </c>
      <c r="C74" s="4" t="inlineStr">
        <is>
          <t>松田医薬品株式会社</t>
        </is>
      </c>
      <c r="D74" s="4" t="inlineStr">
        <is>
          <t>Not found (NTA lookup blocked; dedupe by Japanese name)</t>
        </is>
      </c>
      <c r="E74" s="4" t="inlineStr">
        <is>
          <t>Kochi</t>
        </is>
      </c>
      <c r="F74" s="4" t="inlineStr">
        <is>
          <t>Chugoku and Shikoku</t>
        </is>
      </c>
      <c r="G74" s="5" t="inlineStr">
        <is>
          <t>https://www.matsudaiyaku.co.jp/</t>
        </is>
      </c>
      <c r="H74" s="4" t="inlineStr">
        <is>
          <t>動物用医薬品 卸売販売業 (JADIDA member); equipment sales capability to confirm</t>
        </is>
      </c>
      <c r="I74" s="4" t="inlineStr">
        <is>
          <t>No ultrasound line identified</t>
        </is>
      </c>
      <c r="J74" s="4" t="inlineStr">
        <is>
          <t>Both</t>
        </is>
      </c>
      <c r="K74" s="4" t="inlineStr">
        <is>
          <t>All four Shikoku prefectures (Tokushima, Kagawa, Matsuyama offices)</t>
        </is>
      </c>
      <c r="L74" s="4" t="inlineStr">
        <is>
          <t>Not found</t>
        </is>
      </c>
      <c r="M74" s="4" t="inlineStr">
        <is>
          <t>n/a</t>
        </is>
      </c>
      <c r="N74" s="4" t="inlineStr">
        <is>
          <t>Not identified</t>
        </is>
      </c>
      <c r="O74" s="4" t="inlineStr">
        <is>
          <t>Not identified</t>
        </is>
      </c>
      <c r="P74" s="4" t="inlineStr">
        <is>
          <t>Not published; inquiry form: https://www.matsudaiyaku.co.jp/_inquiry/inquiry.html</t>
        </is>
      </c>
      <c r="Q74" s="4" t="inlineStr">
        <is>
          <t>088 843 5111</t>
        </is>
      </c>
      <c r="R74" s="4" t="inlineStr">
        <is>
          <t>Not identified</t>
        </is>
      </c>
      <c r="S74" s="4" t="inlineStr">
        <is>
          <t>Company inquiry only (form)</t>
        </is>
      </c>
      <c r="T74" s="6">
        <f>SUM(Z74:AF74)</f>
        <v>22</v>
      </c>
      <c r="U74" s="9" t="inlineStr">
        <is>
          <t>V3</t>
        </is>
      </c>
      <c r="V74" s="4" t="inlineStr">
        <is>
          <t>Shikoku wide vet drug wholesaler; its head chairs the Kochi association.</t>
        </is>
      </c>
      <c r="W74" s="4" t="inlineStr">
        <is>
          <t>Rep carried demo of a pocket or portable scanner on existing drug routes; no stock commitment at first.</t>
        </is>
      </c>
      <c r="X74" s="4" t="inlineStr">
        <is>
          <t>Not checked (human list not in v17)</t>
        </is>
      </c>
      <c r="Y74" s="4" t="inlineStr">
        <is>
          <t>https://jadida.or.jp/doc/KaiinList20250401.pdf ; https://jadida.or.jp/doc/KaiinList20250822.pdf ; https://www.matsudaiyaku.co.jp/_inquiry/inquiry.html</t>
        </is>
      </c>
      <c r="Z74" s="4" t="n">
        <v>3</v>
      </c>
      <c r="AA74" s="4" t="n">
        <v>1</v>
      </c>
      <c r="AB74" s="4" t="n">
        <v>5</v>
      </c>
      <c r="AC74" s="4" t="n">
        <v>4</v>
      </c>
      <c r="AD74" s="4" t="n">
        <v>4</v>
      </c>
      <c r="AE74" s="4" t="n">
        <v>2</v>
      </c>
      <c r="AF74" s="4" t="n">
        <v>3</v>
      </c>
      <c r="AG74" s="4" t="inlineStr">
        <is>
          <t>Evidence backed</t>
        </is>
      </c>
    </row>
    <row r="75" ht="75" customHeight="1">
      <c r="A75" s="4" t="n">
        <v>71</v>
      </c>
      <c r="B75" s="4" t="inlineStr">
        <is>
          <t>Saito Shoten Ltd.</t>
        </is>
      </c>
      <c r="C75" s="4" t="inlineStr">
        <is>
          <t>有限会社斎藤商店</t>
        </is>
      </c>
      <c r="D75" s="4" t="inlineStr">
        <is>
          <t>Not found (NTA lookup blocked; dedupe by Japanese name)</t>
        </is>
      </c>
      <c r="E75" s="4" t="inlineStr">
        <is>
          <t>Shimane</t>
        </is>
      </c>
      <c r="F75" s="4" t="inlineStr">
        <is>
          <t>Chugoku and Shikoku</t>
        </is>
      </c>
      <c r="G75" s="4" t="inlineStr">
        <is>
          <t>Not found</t>
        </is>
      </c>
      <c r="H75" s="4" t="inlineStr">
        <is>
          <t>動物用医薬品 卸売販売業 (JADIDA member); equipment sales capability to confirm</t>
        </is>
      </c>
      <c r="I75" s="4" t="inlineStr">
        <is>
          <t>No ultrasound line identified</t>
        </is>
      </c>
      <c r="J75" s="4" t="inlineStr">
        <is>
          <t>Both</t>
        </is>
      </c>
      <c r="K75" s="4" t="inlineStr">
        <is>
          <t>Shimane</t>
        </is>
      </c>
      <c r="L75" s="4" t="inlineStr">
        <is>
          <t>Not found</t>
        </is>
      </c>
      <c r="M75" s="4" t="inlineStr">
        <is>
          <t>n/a</t>
        </is>
      </c>
      <c r="N75" s="4" t="inlineStr">
        <is>
          <t>Not identified</t>
        </is>
      </c>
      <c r="O75" s="4" t="inlineStr">
        <is>
          <t>Not identified</t>
        </is>
      </c>
      <c r="P75" s="4" t="inlineStr">
        <is>
          <t>Not published; phone only</t>
        </is>
      </c>
      <c r="Q75" s="4" t="inlineStr">
        <is>
          <t>Not found</t>
        </is>
      </c>
      <c r="R75" s="4" t="inlineStr">
        <is>
          <t>Not identified</t>
        </is>
      </c>
      <c r="S75" s="4" t="inlineStr">
        <is>
          <t>Unverified (no contact found in search)</t>
        </is>
      </c>
      <c r="T75" s="6">
        <f>SUM(Z75:AF75)</f>
        <v>22</v>
      </c>
      <c r="U75" s="9" t="inlineStr">
        <is>
          <t>V3</t>
        </is>
      </c>
      <c r="V75" s="4" t="inlineStr">
        <is>
          <t>Shimane JADIDA member.</t>
        </is>
      </c>
      <c r="W75" s="4" t="inlineStr">
        <is>
          <t>Rep carried demo of a pocket or portable scanner on existing drug routes; no stock commitment at first.</t>
        </is>
      </c>
      <c r="X75" s="4" t="inlineStr">
        <is>
          <t>Not checked (human list not in v17)</t>
        </is>
      </c>
      <c r="Y75" s="4" t="inlineStr">
        <is>
          <t>https://www.jadida.or.jp/doc/KaiinList20241001.pdf</t>
        </is>
      </c>
      <c r="Z75" s="4" t="n">
        <v>3</v>
      </c>
      <c r="AA75" s="4" t="n">
        <v>1</v>
      </c>
      <c r="AB75" s="4" t="n">
        <v>5</v>
      </c>
      <c r="AC75" s="4" t="n">
        <v>4</v>
      </c>
      <c r="AD75" s="4" t="n">
        <v>4</v>
      </c>
      <c r="AE75" s="4" t="n">
        <v>2</v>
      </c>
      <c r="AF75" s="4" t="n">
        <v>3</v>
      </c>
      <c r="AG75" s="4" t="inlineStr">
        <is>
          <t>Evidence backed</t>
        </is>
      </c>
    </row>
    <row r="76" ht="75" customHeight="1">
      <c r="A76" s="4" t="n">
        <v>72</v>
      </c>
      <c r="B76" s="4" t="inlineStr">
        <is>
          <t>Wako Shoji Co., Ltd.</t>
        </is>
      </c>
      <c r="C76" s="4" t="inlineStr">
        <is>
          <t>和光商事株式会社</t>
        </is>
      </c>
      <c r="D76" s="4" t="inlineStr">
        <is>
          <t>Not found (NTA lookup blocked; dedupe by Japanese name)</t>
        </is>
      </c>
      <c r="E76" s="4" t="inlineStr">
        <is>
          <t>Kochi</t>
        </is>
      </c>
      <c r="F76" s="4" t="inlineStr">
        <is>
          <t>Chugoku and Shikoku</t>
        </is>
      </c>
      <c r="G76" s="5" t="inlineStr">
        <is>
          <t>http://www.wakoshoji.jp/</t>
        </is>
      </c>
      <c r="H76" s="4" t="inlineStr">
        <is>
          <t>動物用医薬品 卸売販売業 (JADIDA member); equipment sales capability to confirm</t>
        </is>
      </c>
      <c r="I76" s="4" t="inlineStr">
        <is>
          <t>No ultrasound line identified</t>
        </is>
      </c>
      <c r="J76" s="4" t="inlineStr">
        <is>
          <t>Both</t>
        </is>
      </c>
      <c r="K76" s="4" t="inlineStr">
        <is>
          <t>Kochi</t>
        </is>
      </c>
      <c r="L76" s="4" t="inlineStr">
        <is>
          <t>Not found</t>
        </is>
      </c>
      <c r="M76" s="4" t="inlineStr">
        <is>
          <t>n/a</t>
        </is>
      </c>
      <c r="N76" s="4" t="inlineStr">
        <is>
          <t>Not identified</t>
        </is>
      </c>
      <c r="O76" s="4" t="inlineStr">
        <is>
          <t>Not identified</t>
        </is>
      </c>
      <c r="P76" s="4" t="inlineStr">
        <is>
          <t>gyoumu@wakoshoji.jp</t>
        </is>
      </c>
      <c r="Q76" s="4" t="inlineStr">
        <is>
          <t>088 883 3185</t>
        </is>
      </c>
      <c r="R76" s="4" t="inlineStr">
        <is>
          <t>Not identified</t>
        </is>
      </c>
      <c r="S76" s="4" t="inlineStr">
        <is>
          <t>Likely (third party listing)</t>
        </is>
      </c>
      <c r="T76" s="6">
        <f>SUM(Z76:AF76)</f>
        <v>22</v>
      </c>
      <c r="U76" s="9" t="inlineStr">
        <is>
          <t>V3</t>
        </is>
      </c>
      <c r="V76" s="4" t="inlineStr">
        <is>
          <t>Its executive leads the JADIDA Kinki, Chugoku and Shikoku block.</t>
        </is>
      </c>
      <c r="W76" s="4" t="inlineStr">
        <is>
          <t>Rep carried demo of a pocket or portable scanner on existing drug routes; no stock commitment at first.</t>
        </is>
      </c>
      <c r="X76" s="4" t="inlineStr">
        <is>
          <t>Not checked (human list not in v17)</t>
        </is>
      </c>
      <c r="Y76" s="4" t="inlineStr">
        <is>
          <t>https://jadida.or.jp/doc/KaiinList20250401.pdf ; https://oroshidanchi.or.jp/union/%E5%92%8C%E5%85%89%E5%95%86%E4%BA%8B%E3%80%80%E6%A0%AA%E5%BC%8F%E4%BC%9A%E7%A4%BE/</t>
        </is>
      </c>
      <c r="Z76" s="4" t="n">
        <v>3</v>
      </c>
      <c r="AA76" s="4" t="n">
        <v>1</v>
      </c>
      <c r="AB76" s="4" t="n">
        <v>5</v>
      </c>
      <c r="AC76" s="4" t="n">
        <v>4</v>
      </c>
      <c r="AD76" s="4" t="n">
        <v>4</v>
      </c>
      <c r="AE76" s="4" t="n">
        <v>2</v>
      </c>
      <c r="AF76" s="4" t="n">
        <v>3</v>
      </c>
      <c r="AG76" s="4" t="inlineStr">
        <is>
          <t>Evidence backed</t>
        </is>
      </c>
    </row>
    <row r="77" ht="75" customHeight="1">
      <c r="A77" s="4" t="n">
        <v>73</v>
      </c>
      <c r="B77" s="4" t="inlineStr">
        <is>
          <t>Kitagaki Yakuhin Co., Ltd.</t>
        </is>
      </c>
      <c r="C77" s="4" t="inlineStr">
        <is>
          <t>北垣薬品株式会社</t>
        </is>
      </c>
      <c r="D77" s="4" t="inlineStr">
        <is>
          <t>Not found (NTA lookup blocked; dedupe by Japanese name)</t>
        </is>
      </c>
      <c r="E77" s="4" t="inlineStr">
        <is>
          <t>Osaka</t>
        </is>
      </c>
      <c r="F77" s="4" t="inlineStr">
        <is>
          <t>Kansai</t>
        </is>
      </c>
      <c r="G77" s="4" t="inlineStr">
        <is>
          <t>Not found</t>
        </is>
      </c>
      <c r="H77" s="4" t="inlineStr">
        <is>
          <t>動物用医薬品 卸売販売業 (JADIDA member); equipment sales capability to confirm</t>
        </is>
      </c>
      <c r="I77" s="4" t="inlineStr">
        <is>
          <t>No ultrasound line identified</t>
        </is>
      </c>
      <c r="J77" s="4" t="inlineStr">
        <is>
          <t>Both</t>
        </is>
      </c>
      <c r="K77" s="4" t="inlineStr">
        <is>
          <t>Kansai</t>
        </is>
      </c>
      <c r="L77" s="4" t="inlineStr">
        <is>
          <t>Not found</t>
        </is>
      </c>
      <c r="M77" s="4" t="inlineStr">
        <is>
          <t>n/a</t>
        </is>
      </c>
      <c r="N77" s="4" t="inlineStr">
        <is>
          <t>Not identified</t>
        </is>
      </c>
      <c r="O77" s="4" t="inlineStr">
        <is>
          <t>Not identified</t>
        </is>
      </c>
      <c r="P77" s="4" t="inlineStr">
        <is>
          <t>Not published; phone only</t>
        </is>
      </c>
      <c r="Q77" s="4" t="inlineStr">
        <is>
          <t>06 6231 2273</t>
        </is>
      </c>
      <c r="R77" s="4" t="inlineStr">
        <is>
          <t>Not identified</t>
        </is>
      </c>
      <c r="S77" s="4" t="inlineStr">
        <is>
          <t>Company inquiry only (phone)</t>
        </is>
      </c>
      <c r="T77" s="6">
        <f>SUM(Z77:AF77)</f>
        <v>22</v>
      </c>
      <c r="U77" s="9" t="inlineStr">
        <is>
          <t>V3</t>
        </is>
      </c>
      <c r="V77" s="4" t="inlineStr">
        <is>
          <t>Doshomachi vet drug maker and wholesaler included in Fuji Keizai's vet dealer study.</t>
        </is>
      </c>
      <c r="W77" s="4" t="inlineStr">
        <is>
          <t>Rep carried demo of a pocket or portable scanner on existing drug routes; no stock commitment at first.</t>
        </is>
      </c>
      <c r="X77" s="4" t="inlineStr">
        <is>
          <t>Not checked (human list not in v17)</t>
        </is>
      </c>
      <c r="Y77" s="4" t="inlineStr">
        <is>
          <t>https://news.jprpet.com/company/list/174/ ; https://www.jadida.or.jp/doc/KaiinList20241001.pdf</t>
        </is>
      </c>
      <c r="Z77" s="4" t="n">
        <v>3</v>
      </c>
      <c r="AA77" s="4" t="n">
        <v>1</v>
      </c>
      <c r="AB77" s="4" t="n">
        <v>5</v>
      </c>
      <c r="AC77" s="4" t="n">
        <v>4</v>
      </c>
      <c r="AD77" s="4" t="n">
        <v>4</v>
      </c>
      <c r="AE77" s="4" t="n">
        <v>2</v>
      </c>
      <c r="AF77" s="4" t="n">
        <v>3</v>
      </c>
      <c r="AG77" s="4" t="inlineStr">
        <is>
          <t>Evidence backed</t>
        </is>
      </c>
    </row>
    <row r="78" ht="75" customHeight="1">
      <c r="A78" s="4" t="n">
        <v>74</v>
      </c>
      <c r="B78" s="4" t="inlineStr">
        <is>
          <t>Shinwa Sangyo Co., Ltd.</t>
        </is>
      </c>
      <c r="C78" s="4" t="inlineStr">
        <is>
          <t>新和産業株式会社</t>
        </is>
      </c>
      <c r="D78" s="4" t="inlineStr">
        <is>
          <t>Not found (NTA lookup blocked; dedupe by Japanese name)</t>
        </is>
      </c>
      <c r="E78" s="4" t="inlineStr">
        <is>
          <t>Mie</t>
        </is>
      </c>
      <c r="F78" s="4" t="inlineStr">
        <is>
          <t>Kansai</t>
        </is>
      </c>
      <c r="G78" s="4" t="inlineStr">
        <is>
          <t>Not found</t>
        </is>
      </c>
      <c r="H78" s="4" t="inlineStr">
        <is>
          <t>動物用医薬品 卸売販売業 (JADIDA member); equipment sales capability to confirm</t>
        </is>
      </c>
      <c r="I78" s="4" t="inlineStr">
        <is>
          <t>No ultrasound line identified</t>
        </is>
      </c>
      <c r="J78" s="4" t="inlineStr">
        <is>
          <t>Both</t>
        </is>
      </c>
      <c r="K78" s="4" t="inlineStr">
        <is>
          <t>Mie</t>
        </is>
      </c>
      <c r="L78" s="4" t="inlineStr">
        <is>
          <t>Not found</t>
        </is>
      </c>
      <c r="M78" s="4" t="inlineStr">
        <is>
          <t>n/a</t>
        </is>
      </c>
      <c r="N78" s="4" t="inlineStr">
        <is>
          <t>Not identified</t>
        </is>
      </c>
      <c r="O78" s="4" t="inlineStr">
        <is>
          <t>Not identified</t>
        </is>
      </c>
      <c r="P78" s="4" t="inlineStr">
        <is>
          <t>Not published; inquiry form: https://sinwasangyo.co.jp/contact/</t>
        </is>
      </c>
      <c r="Q78" s="4" t="inlineStr">
        <is>
          <t>0596 25 2288</t>
        </is>
      </c>
      <c r="R78" s="4" t="inlineStr">
        <is>
          <t>Not identified</t>
        </is>
      </c>
      <c r="S78" s="4" t="inlineStr">
        <is>
          <t>Company inquiry only (form)</t>
        </is>
      </c>
      <c r="T78" s="6">
        <f>SUM(Z78:AF78)</f>
        <v>22</v>
      </c>
      <c r="U78" s="9" t="inlineStr">
        <is>
          <t>V3</t>
        </is>
      </c>
      <c r="V78" s="4" t="inlineStr">
        <is>
          <t>Mie JADIDA member.</t>
        </is>
      </c>
      <c r="W78" s="4" t="inlineStr">
        <is>
          <t>Rep carried demo of a pocket or portable scanner on existing drug routes; no stock commitment at first.</t>
        </is>
      </c>
      <c r="X78" s="4" t="inlineStr">
        <is>
          <t>Not checked (human list not in v17)</t>
        </is>
      </c>
      <c r="Y78" s="4" t="inlineStr">
        <is>
          <t>https://jadida.or.jp/doc/KaiinList20250822.pdf ; https://sinwasangyo.co.jp/contact/</t>
        </is>
      </c>
      <c r="Z78" s="4" t="n">
        <v>3</v>
      </c>
      <c r="AA78" s="4" t="n">
        <v>1</v>
      </c>
      <c r="AB78" s="4" t="n">
        <v>5</v>
      </c>
      <c r="AC78" s="4" t="n">
        <v>4</v>
      </c>
      <c r="AD78" s="4" t="n">
        <v>4</v>
      </c>
      <c r="AE78" s="4" t="n">
        <v>2</v>
      </c>
      <c r="AF78" s="4" t="n">
        <v>3</v>
      </c>
      <c r="AG78" s="4" t="inlineStr">
        <is>
          <t>Evidence backed</t>
        </is>
      </c>
    </row>
    <row r="79" ht="75" customHeight="1">
      <c r="A79" s="4" t="n">
        <v>75</v>
      </c>
      <c r="B79" s="4" t="inlineStr">
        <is>
          <t>Yuwa Yakuhin Co., Ltd.</t>
        </is>
      </c>
      <c r="C79" s="4" t="inlineStr">
        <is>
          <t>裕和薬品株式会社</t>
        </is>
      </c>
      <c r="D79" s="4" t="inlineStr">
        <is>
          <t>Not found (NTA lookup blocked; dedupe by Japanese name)</t>
        </is>
      </c>
      <c r="E79" s="4" t="inlineStr">
        <is>
          <t>Osaka</t>
        </is>
      </c>
      <c r="F79" s="4" t="inlineStr">
        <is>
          <t>Kansai</t>
        </is>
      </c>
      <c r="G79" s="5" t="inlineStr">
        <is>
          <t>https://www.yuuwa-yakuhin.co.jp/</t>
        </is>
      </c>
      <c r="H79" s="4" t="inlineStr">
        <is>
          <t>動物用医薬品 and device wholesale (JADIDA member)</t>
        </is>
      </c>
      <c r="I79" s="4" t="inlineStr">
        <is>
          <t>Surgical instruments; no ultrasound identified</t>
        </is>
      </c>
      <c r="J79" s="4" t="inlineStr">
        <is>
          <t>Companion</t>
        </is>
      </c>
      <c r="K79" s="4" t="inlineStr">
        <is>
          <t>Kinki 2 prefectures and 5 counties</t>
        </is>
      </c>
      <c r="L79" s="4" t="inlineStr">
        <is>
          <t>Founded 1961; capital JPY 10M</t>
        </is>
      </c>
      <c r="M79" s="4" t="inlineStr">
        <is>
          <t>n/a</t>
        </is>
      </c>
      <c r="N79" s="4" t="inlineStr">
        <is>
          <t>Not identified</t>
        </is>
      </c>
      <c r="O79" s="4" t="inlineStr">
        <is>
          <t>Not identified</t>
        </is>
      </c>
      <c r="P79" s="4" t="inlineStr">
        <is>
          <t>Not published; phone only</t>
        </is>
      </c>
      <c r="Q79" s="4" t="inlineStr">
        <is>
          <t>06 6942 4531</t>
        </is>
      </c>
      <c r="R79" s="4" t="inlineStr">
        <is>
          <t>Not identified</t>
        </is>
      </c>
      <c r="S79" s="4" t="inlineStr">
        <is>
          <t>Company inquiry only (phone)</t>
        </is>
      </c>
      <c r="T79" s="6">
        <f>SUM(Z79:AF79)</f>
        <v>22</v>
      </c>
      <c r="U79" s="9" t="inlineStr">
        <is>
          <t>V3</t>
        </is>
      </c>
      <c r="V79" s="4" t="inlineStr">
        <is>
          <t>Wholesales both drugs and devices, including surgical instruments, to vets across Kinki.</t>
        </is>
      </c>
      <c r="W79" s="4" t="inlineStr">
        <is>
          <t>Kansai device line extension with demo pool.</t>
        </is>
      </c>
      <c r="X79" s="4" t="inlineStr">
        <is>
          <t>Not checked (human list not in v17)</t>
        </is>
      </c>
      <c r="Y79" s="4" t="inlineStr">
        <is>
          <t>https://news.jprpet.com/company/list/174/ ; https://baseconnect.in/companies/12d863e2-b869-4893-946b-29648c0a5d00 ; https://www.yuuwa-yakuhin.co.jp/</t>
        </is>
      </c>
      <c r="Z79" s="4" t="n">
        <v>3</v>
      </c>
      <c r="AA79" s="4" t="n">
        <v>2</v>
      </c>
      <c r="AB79" s="4" t="n">
        <v>5</v>
      </c>
      <c r="AC79" s="4" t="n">
        <v>5</v>
      </c>
      <c r="AD79" s="4" t="n">
        <v>2</v>
      </c>
      <c r="AE79" s="4" t="n">
        <v>2</v>
      </c>
      <c r="AF79" s="4" t="n">
        <v>3</v>
      </c>
      <c r="AG79" s="4" t="inlineStr">
        <is>
          <t>Evidence backed</t>
        </is>
      </c>
    </row>
    <row r="80" ht="75" customHeight="1">
      <c r="A80" s="4" t="n">
        <v>76</v>
      </c>
      <c r="B80" s="4" t="inlineStr">
        <is>
          <t>Chuo Orion Co., Ltd.</t>
        </is>
      </c>
      <c r="C80" s="4" t="inlineStr">
        <is>
          <t>中央オリオン株式会社</t>
        </is>
      </c>
      <c r="D80" s="4" t="inlineStr">
        <is>
          <t>Not found (NTA lookup blocked; dedupe by Japanese name)</t>
        </is>
      </c>
      <c r="E80" s="4" t="inlineStr">
        <is>
          <t>Saitama</t>
        </is>
      </c>
      <c r="F80" s="4" t="inlineStr">
        <is>
          <t>Kanto</t>
        </is>
      </c>
      <c r="G80" s="5" t="inlineStr">
        <is>
          <t>http://www.chuo-orion.co.jp/</t>
        </is>
      </c>
      <c r="H80" s="4" t="inlineStr">
        <is>
          <t>動物用医薬品 卸売販売業 (JADIDA member); equipment sales capability to confirm</t>
        </is>
      </c>
      <c r="I80" s="4" t="inlineStr">
        <is>
          <t>No ultrasound line identified</t>
        </is>
      </c>
      <c r="J80" s="4" t="inlineStr">
        <is>
          <t>Both</t>
        </is>
      </c>
      <c r="K80" s="4" t="inlineStr">
        <is>
          <t>Nagano and Gunma (Maebashi office)</t>
        </is>
      </c>
      <c r="L80" s="4" t="inlineStr">
        <is>
          <t>Not found</t>
        </is>
      </c>
      <c r="M80" s="4" t="inlineStr">
        <is>
          <t>n/a</t>
        </is>
      </c>
      <c r="N80" s="4" t="inlineStr">
        <is>
          <t>Not identified</t>
        </is>
      </c>
      <c r="O80" s="4" t="inlineStr">
        <is>
          <t>Not identified</t>
        </is>
      </c>
      <c r="P80" s="4" t="inlineStr">
        <is>
          <t>Not published; inquiry form: http://www.chuo-orion.co.jp/contact/</t>
        </is>
      </c>
      <c r="Q80" s="4" t="inlineStr">
        <is>
          <t>048 522 5395 (HQ); 0265 82 3157 (Nagano)</t>
        </is>
      </c>
      <c r="R80" s="4" t="inlineStr">
        <is>
          <t>Not identified</t>
        </is>
      </c>
      <c r="S80" s="4" t="inlineStr">
        <is>
          <t>Company inquiry only (form); HQ Kumagaya, Saitama (Orion Kikai group)</t>
        </is>
      </c>
      <c r="T80" s="6">
        <f>SUM(Z80:AF80)</f>
        <v>22</v>
      </c>
      <c r="U80" s="9" t="inlineStr">
        <is>
          <t>V3</t>
        </is>
      </c>
      <c r="V80" s="4" t="inlineStr">
        <is>
          <t>JADIDA member in Nagano with a Gunma branch; covers Kanto and Koshinetsu livestock.</t>
        </is>
      </c>
      <c r="W80" s="4" t="inlineStr">
        <is>
          <t>Rep carried demo of a pocket or portable scanner on existing drug routes; no stock commitment at first.</t>
        </is>
      </c>
      <c r="X80" s="4" t="inlineStr">
        <is>
          <t>Not checked (human list not in v17)</t>
        </is>
      </c>
      <c r="Y80" s="4" t="inlineStr">
        <is>
          <t>https://jadida.or.jp/doc/KaiinList20250822.pdf ; https://jadida.or.jp/doc/KaiinList20250401.pdf ; http://www.chuo-orion.co.jp/contact/</t>
        </is>
      </c>
      <c r="Z80" s="4" t="n">
        <v>3</v>
      </c>
      <c r="AA80" s="4" t="n">
        <v>1</v>
      </c>
      <c r="AB80" s="4" t="n">
        <v>5</v>
      </c>
      <c r="AC80" s="4" t="n">
        <v>4</v>
      </c>
      <c r="AD80" s="4" t="n">
        <v>4</v>
      </c>
      <c r="AE80" s="4" t="n">
        <v>2</v>
      </c>
      <c r="AF80" s="4" t="n">
        <v>3</v>
      </c>
      <c r="AG80" s="4" t="inlineStr">
        <is>
          <t>Evidence backed</t>
        </is>
      </c>
    </row>
    <row r="81" ht="75" customHeight="1">
      <c r="A81" s="4" t="n">
        <v>77</v>
      </c>
      <c r="B81" s="4" t="inlineStr">
        <is>
          <t>Kondo Yakuhin Ltd.</t>
        </is>
      </c>
      <c r="C81" s="4" t="inlineStr">
        <is>
          <t>近藤薬品有限会社</t>
        </is>
      </c>
      <c r="D81" s="4" t="inlineStr">
        <is>
          <t>Not found (NTA lookup blocked; dedupe by Japanese name)</t>
        </is>
      </c>
      <c r="E81" s="4" t="inlineStr">
        <is>
          <t>Ibaraki</t>
        </is>
      </c>
      <c r="F81" s="4" t="inlineStr">
        <is>
          <t>Kanto</t>
        </is>
      </c>
      <c r="G81" s="4" t="inlineStr">
        <is>
          <t>Not found</t>
        </is>
      </c>
      <c r="H81" s="4" t="inlineStr">
        <is>
          <t>動物用医薬品 卸売販売業 (JADIDA member); equipment sales capability to confirm</t>
        </is>
      </c>
      <c r="I81" s="4" t="inlineStr">
        <is>
          <t>No ultrasound line identified</t>
        </is>
      </c>
      <c r="J81" s="4" t="inlineStr">
        <is>
          <t>Both</t>
        </is>
      </c>
      <c r="K81" s="4" t="inlineStr">
        <is>
          <t>Ibaraki (Omitama)</t>
        </is>
      </c>
      <c r="L81" s="4" t="inlineStr">
        <is>
          <t>Not found</t>
        </is>
      </c>
      <c r="M81" s="4" t="inlineStr">
        <is>
          <t>n/a</t>
        </is>
      </c>
      <c r="N81" s="4" t="inlineStr">
        <is>
          <t>Not identified</t>
        </is>
      </c>
      <c r="O81" s="4" t="inlineStr">
        <is>
          <t>Not identified</t>
        </is>
      </c>
      <c r="P81" s="4" t="inlineStr">
        <is>
          <t>Not published; phone only</t>
        </is>
      </c>
      <c r="Q81" s="4" t="inlineStr">
        <is>
          <t>Not found</t>
        </is>
      </c>
      <c r="R81" s="4" t="inlineStr">
        <is>
          <t>Not identified</t>
        </is>
      </c>
      <c r="S81" s="4" t="inlineStr">
        <is>
          <t>Unverified (no contact found in search)</t>
        </is>
      </c>
      <c r="T81" s="6">
        <f>SUM(Z81:AF81)</f>
        <v>22</v>
      </c>
      <c r="U81" s="9" t="inlineStr">
        <is>
          <t>V3</t>
        </is>
      </c>
      <c r="V81" s="4" t="inlineStr">
        <is>
          <t>Ibaraki JADIDA member in a strong dairy and pig area.</t>
        </is>
      </c>
      <c r="W81" s="4" t="inlineStr">
        <is>
          <t>Rep carried demo of a pocket or portable scanner on existing drug routes; no stock commitment at first.</t>
        </is>
      </c>
      <c r="X81" s="4" t="inlineStr">
        <is>
          <t>Not checked (human list not in v17)</t>
        </is>
      </c>
      <c r="Y81" s="4" t="inlineStr">
        <is>
          <t>https://www.jadida.or.jp/doc/KaiinList20241001.pdf</t>
        </is>
      </c>
      <c r="Z81" s="4" t="n">
        <v>3</v>
      </c>
      <c r="AA81" s="4" t="n">
        <v>1</v>
      </c>
      <c r="AB81" s="4" t="n">
        <v>5</v>
      </c>
      <c r="AC81" s="4" t="n">
        <v>4</v>
      </c>
      <c r="AD81" s="4" t="n">
        <v>4</v>
      </c>
      <c r="AE81" s="4" t="n">
        <v>2</v>
      </c>
      <c r="AF81" s="4" t="n">
        <v>3</v>
      </c>
      <c r="AG81" s="4" t="inlineStr">
        <is>
          <t>Evidence backed</t>
        </is>
      </c>
    </row>
    <row r="82" ht="75" customHeight="1">
      <c r="A82" s="4" t="n">
        <v>78</v>
      </c>
      <c r="B82" s="4" t="inlineStr">
        <is>
          <t>Nihon Dobutsu Yakuhin Co., Ltd.</t>
        </is>
      </c>
      <c r="C82" s="4" t="inlineStr">
        <is>
          <t>日本動物薬品株式会社</t>
        </is>
      </c>
      <c r="D82" s="4" t="inlineStr">
        <is>
          <t>9011801003669</t>
        </is>
      </c>
      <c r="E82" s="4" t="inlineStr">
        <is>
          <t>Tokyo</t>
        </is>
      </c>
      <c r="F82" s="4" t="inlineStr">
        <is>
          <t>Kanto</t>
        </is>
      </c>
      <c r="G82" s="5" t="inlineStr">
        <is>
          <t>https://www.jpd-nd.com/</t>
        </is>
      </c>
      <c r="H82" s="4" t="inlineStr">
        <is>
          <t>動物用医薬品 卸売販売業 (JADIDA member); equipment sales capability to confirm</t>
        </is>
      </c>
      <c r="I82" s="4" t="inlineStr">
        <is>
          <t>No ultrasound line identified</t>
        </is>
      </c>
      <c r="J82" s="4" t="inlineStr">
        <is>
          <t>Both</t>
        </is>
      </c>
      <c r="K82" s="4" t="inlineStr">
        <is>
          <t>Tokyo (Katsushika)</t>
        </is>
      </c>
      <c r="L82" s="4" t="inlineStr">
        <is>
          <t>Not found</t>
        </is>
      </c>
      <c r="M82" s="4" t="inlineStr">
        <is>
          <t>n/a</t>
        </is>
      </c>
      <c r="N82" s="4" t="inlineStr">
        <is>
          <t>Not identified</t>
        </is>
      </c>
      <c r="O82" s="4" t="inlineStr">
        <is>
          <t>Not identified</t>
        </is>
      </c>
      <c r="P82" s="4" t="inlineStr">
        <is>
          <t>Not published; phone only</t>
        </is>
      </c>
      <c r="Q82" s="4" t="inlineStr">
        <is>
          <t>03 3694 1725</t>
        </is>
      </c>
      <c r="R82" s="4" t="inlineStr">
        <is>
          <t>Not identified</t>
        </is>
      </c>
      <c r="S82" s="4" t="inlineStr">
        <is>
          <t>Company inquiry only (form); FLAG focus is ornamental fish and pet drugs (Nichido)</t>
        </is>
      </c>
      <c r="T82" s="6">
        <f>SUM(Z82:AF82)</f>
        <v>22</v>
      </c>
      <c r="U82" s="9" t="inlineStr">
        <is>
          <t>V3</t>
        </is>
      </c>
      <c r="V82" s="4" t="inlineStr">
        <is>
          <t>Tokyo animal drug wholesaler; corporate number confirmed via gBizINFO.</t>
        </is>
      </c>
      <c r="W82" s="4" t="inlineStr">
        <is>
          <t>Rep carried demo of a pocket or portable scanner on existing drug routes; no stock commitment at first.</t>
        </is>
      </c>
      <c r="X82" s="4" t="inlineStr">
        <is>
          <t>Not checked (human list not in v17)</t>
        </is>
      </c>
      <c r="Y82" s="4" t="inlineStr">
        <is>
          <t>https://info.gbiz.go.jp/hojin/ichiran?hojinBango=9011801003669</t>
        </is>
      </c>
      <c r="Z82" s="4" t="n">
        <v>3</v>
      </c>
      <c r="AA82" s="4" t="n">
        <v>1</v>
      </c>
      <c r="AB82" s="4" t="n">
        <v>5</v>
      </c>
      <c r="AC82" s="4" t="n">
        <v>4</v>
      </c>
      <c r="AD82" s="4" t="n">
        <v>4</v>
      </c>
      <c r="AE82" s="4" t="n">
        <v>2</v>
      </c>
      <c r="AF82" s="4" t="n">
        <v>3</v>
      </c>
      <c r="AG82" s="4" t="inlineStr">
        <is>
          <t>Evidence backed</t>
        </is>
      </c>
    </row>
    <row r="83" ht="75" customHeight="1">
      <c r="A83" s="4" t="n">
        <v>79</v>
      </c>
      <c r="B83" s="4" t="inlineStr">
        <is>
          <t>San Ibis Co., Ltd.</t>
        </is>
      </c>
      <c r="C83" s="4" t="inlineStr">
        <is>
          <t>サンアイビス株式会社</t>
        </is>
      </c>
      <c r="D83" s="4" t="inlineStr">
        <is>
          <t>Not found (NTA lookup blocked; dedupe by Japanese name)</t>
        </is>
      </c>
      <c r="E83" s="4" t="inlineStr">
        <is>
          <t>Saitama</t>
        </is>
      </c>
      <c r="F83" s="4" t="inlineStr">
        <is>
          <t>Kanto</t>
        </is>
      </c>
      <c r="G83" s="5" t="inlineStr">
        <is>
          <t>https://www.sunibis.co.jp/</t>
        </is>
      </c>
      <c r="H83" s="4" t="inlineStr">
        <is>
          <t>動物用医薬品 卸売販売業 (JADIDA member); equipment sales capability to confirm</t>
        </is>
      </c>
      <c r="I83" s="4" t="inlineStr">
        <is>
          <t>No ultrasound line identified</t>
        </is>
      </c>
      <c r="J83" s="4" t="inlineStr">
        <is>
          <t>Both</t>
        </is>
      </c>
      <c r="K83" s="4" t="inlineStr">
        <is>
          <t>Kanto; West Japan office in Kyoto</t>
        </is>
      </c>
      <c r="L83" s="4" t="inlineStr">
        <is>
          <t>Not found</t>
        </is>
      </c>
      <c r="M83" s="4" t="inlineStr">
        <is>
          <t>n/a</t>
        </is>
      </c>
      <c r="N83" s="4" t="inlineStr">
        <is>
          <t>Not identified</t>
        </is>
      </c>
      <c r="O83" s="4" t="inlineStr">
        <is>
          <t>Not identified</t>
        </is>
      </c>
      <c r="P83" s="4" t="inlineStr">
        <is>
          <t>sunibis@sunibis.co.jp</t>
        </is>
      </c>
      <c r="Q83" s="4" t="inlineStr">
        <is>
          <t>048 633 0102</t>
        </is>
      </c>
      <c r="R83" s="4" t="inlineStr">
        <is>
          <t>Not identified</t>
        </is>
      </c>
      <c r="S83" s="4" t="inlineStr">
        <is>
          <t>Verified (published on own site, read via search); listed as privacy contact, ask to forward</t>
        </is>
      </c>
      <c r="T83" s="6">
        <f>SUM(Z83:AF83)</f>
        <v>22</v>
      </c>
      <c r="U83" s="9" t="inlineStr">
        <is>
          <t>V3</t>
        </is>
      </c>
      <c r="V83" s="4" t="inlineStr">
        <is>
          <t>Saitama vet drug wholesaler with a West Japan sales office in Kyoto.</t>
        </is>
      </c>
      <c r="W83" s="4" t="inlineStr">
        <is>
          <t>Rep carried demo of a pocket or portable scanner on existing drug routes; no stock commitment at first.</t>
        </is>
      </c>
      <c r="X83" s="4" t="inlineStr">
        <is>
          <t>Not checked (human list not in v17)</t>
        </is>
      </c>
      <c r="Y83" s="4" t="inlineStr">
        <is>
          <t>https://news.jprpet.com/company/list/174/ ; https://www.jadida.or.jp/doc/KaiinList20241001.pdf ; https://www.sunibis.co.jp/privacy/ ; https://www.sunibis.co.jp/contact-us/</t>
        </is>
      </c>
      <c r="Z83" s="4" t="n">
        <v>3</v>
      </c>
      <c r="AA83" s="4" t="n">
        <v>1</v>
      </c>
      <c r="AB83" s="4" t="n">
        <v>5</v>
      </c>
      <c r="AC83" s="4" t="n">
        <v>4</v>
      </c>
      <c r="AD83" s="4" t="n">
        <v>4</v>
      </c>
      <c r="AE83" s="4" t="n">
        <v>2</v>
      </c>
      <c r="AF83" s="4" t="n">
        <v>3</v>
      </c>
      <c r="AG83" s="4" t="inlineStr">
        <is>
          <t>Evidence backed</t>
        </is>
      </c>
    </row>
    <row r="84" ht="75" customHeight="1">
      <c r="A84" s="4" t="n">
        <v>80</v>
      </c>
      <c r="B84" s="4" t="inlineStr">
        <is>
          <t>Okimei Co., Ltd.</t>
        </is>
      </c>
      <c r="C84" s="4" t="inlineStr">
        <is>
          <t>株式会社沖明</t>
        </is>
      </c>
      <c r="D84" s="4" t="inlineStr">
        <is>
          <t>Not found (NTA lookup blocked; dedupe by Japanese name)</t>
        </is>
      </c>
      <c r="E84" s="4" t="inlineStr">
        <is>
          <t>Okinawa</t>
        </is>
      </c>
      <c r="F84" s="4" t="inlineStr">
        <is>
          <t>Kyushu and Okinawa</t>
        </is>
      </c>
      <c r="G84" s="5" t="inlineStr">
        <is>
          <t>https://www.okimei.co.jp/</t>
        </is>
      </c>
      <c r="H84" s="4" t="inlineStr">
        <is>
          <t>動物用医薬品 卸売販売業 (JADIDA member); equipment sales capability to confirm</t>
        </is>
      </c>
      <c r="I84" s="4" t="inlineStr">
        <is>
          <t>No ultrasound line identified</t>
        </is>
      </c>
      <c r="J84" s="4" t="inlineStr">
        <is>
          <t>Both</t>
        </is>
      </c>
      <c r="K84" s="4" t="inlineStr">
        <is>
          <t>Okinawa (Yonabaru)</t>
        </is>
      </c>
      <c r="L84" s="4" t="inlineStr">
        <is>
          <t>Not found</t>
        </is>
      </c>
      <c r="M84" s="4" t="inlineStr">
        <is>
          <t>n/a</t>
        </is>
      </c>
      <c r="N84" s="4" t="inlineStr">
        <is>
          <t>Not identified</t>
        </is>
      </c>
      <c r="O84" s="4" t="inlineStr">
        <is>
          <t>Not identified</t>
        </is>
      </c>
      <c r="P84" s="4" t="inlineStr">
        <is>
          <t>Not published; phone only</t>
        </is>
      </c>
      <c r="Q84" s="4" t="inlineStr">
        <is>
          <t>098 944 2233</t>
        </is>
      </c>
      <c r="R84" s="4" t="inlineStr">
        <is>
          <t>Not identified</t>
        </is>
      </c>
      <c r="S84" s="4" t="inlineStr">
        <is>
          <t>Company inquiry only (phone)</t>
        </is>
      </c>
      <c r="T84" s="6">
        <f>SUM(Z84:AF84)</f>
        <v>22</v>
      </c>
      <c r="U84" s="9" t="inlineStr">
        <is>
          <t>V3</t>
        </is>
      </c>
      <c r="V84" s="4" t="inlineStr">
        <is>
          <t>Okinawa JADIDA member; one of very few vet wholesalers on the island.</t>
        </is>
      </c>
      <c r="W84" s="4" t="inlineStr">
        <is>
          <t>Rep carried demo of a pocket or portable scanner on existing drug routes; no stock commitment at first.</t>
        </is>
      </c>
      <c r="X84" s="4" t="inlineStr">
        <is>
          <t>Not checked (human list not in v17)</t>
        </is>
      </c>
      <c r="Y84" s="4" t="inlineStr">
        <is>
          <t>https://jadida.or.jp/doc/KaiinList20250401.pdf</t>
        </is>
      </c>
      <c r="Z84" s="4" t="n">
        <v>3</v>
      </c>
      <c r="AA84" s="4" t="n">
        <v>1</v>
      </c>
      <c r="AB84" s="4" t="n">
        <v>5</v>
      </c>
      <c r="AC84" s="4" t="n">
        <v>4</v>
      </c>
      <c r="AD84" s="4" t="n">
        <v>4</v>
      </c>
      <c r="AE84" s="4" t="n">
        <v>2</v>
      </c>
      <c r="AF84" s="4" t="n">
        <v>3</v>
      </c>
      <c r="AG84" s="4" t="inlineStr">
        <is>
          <t>Evidence backed</t>
        </is>
      </c>
    </row>
    <row r="85" ht="75" customHeight="1">
      <c r="A85" s="4" t="n">
        <v>81</v>
      </c>
      <c r="B85" s="4" t="inlineStr">
        <is>
          <t>Kakizawa Zenkaido Pharmacy Ltd.</t>
        </is>
      </c>
      <c r="C85" s="4" t="inlineStr">
        <is>
          <t>有限会社柿沢全快堂薬局</t>
        </is>
      </c>
      <c r="D85" s="4" t="inlineStr">
        <is>
          <t>Not found (NTA lookup blocked; dedupe by Japanese name)</t>
        </is>
      </c>
      <c r="E85" s="4" t="inlineStr">
        <is>
          <t>Toyama</t>
        </is>
      </c>
      <c r="F85" s="4" t="inlineStr">
        <is>
          <t>Chubu</t>
        </is>
      </c>
      <c r="G85" s="4" t="inlineStr">
        <is>
          <t>Not found</t>
        </is>
      </c>
      <c r="H85" s="4" t="inlineStr">
        <is>
          <t>動物用医薬品 卸売販売業 (JADIDA member); equipment sales capability to confirm</t>
        </is>
      </c>
      <c r="I85" s="4" t="inlineStr">
        <is>
          <t>No ultrasound line identified</t>
        </is>
      </c>
      <c r="J85" s="4" t="inlineStr">
        <is>
          <t>Both</t>
        </is>
      </c>
      <c r="K85" s="4" t="inlineStr">
        <is>
          <t>Toyama</t>
        </is>
      </c>
      <c r="L85" s="4" t="inlineStr">
        <is>
          <t>Not found</t>
        </is>
      </c>
      <c r="M85" s="4" t="inlineStr">
        <is>
          <t>n/a</t>
        </is>
      </c>
      <c r="N85" s="4" t="inlineStr">
        <is>
          <t>Not identified</t>
        </is>
      </c>
      <c r="O85" s="4" t="inlineStr">
        <is>
          <t>Not identified</t>
        </is>
      </c>
      <c r="P85" s="4" t="inlineStr">
        <is>
          <t>Not published; phone only</t>
        </is>
      </c>
      <c r="Q85" s="4" t="inlineStr">
        <is>
          <t>076 425 5776</t>
        </is>
      </c>
      <c r="R85" s="4" t="inlineStr">
        <is>
          <t>Not identified</t>
        </is>
      </c>
      <c r="S85" s="4" t="inlineStr">
        <is>
          <t>Company inquiry only (phone)</t>
        </is>
      </c>
      <c r="T85" s="6">
        <f>SUM(Z85:AF85)</f>
        <v>21</v>
      </c>
      <c r="U85" s="9" t="inlineStr">
        <is>
          <t>V3</t>
        </is>
      </c>
      <c r="V85" s="4" t="inlineStr">
        <is>
          <t>Its head chairs the Toyama vet drug and equipment association. FLAG: Small business; equipment capacity likely limited.</t>
        </is>
      </c>
      <c r="W85" s="4" t="inlineStr">
        <is>
          <t>Rep carried demo of a pocket or portable scanner on existing drug routes; no stock commitment at first.</t>
        </is>
      </c>
      <c r="X85" s="4" t="inlineStr">
        <is>
          <t>Not checked (human list not in v17)</t>
        </is>
      </c>
      <c r="Y85" s="4" t="inlineStr">
        <is>
          <t>https://jadida.or.jp/doc/KaiinList20250401.pdf</t>
        </is>
      </c>
      <c r="Z85" s="4" t="n">
        <v>3</v>
      </c>
      <c r="AA85" s="4" t="n">
        <v>1</v>
      </c>
      <c r="AB85" s="4" t="n">
        <v>5</v>
      </c>
      <c r="AC85" s="4" t="n">
        <v>4</v>
      </c>
      <c r="AD85" s="4" t="n">
        <v>3</v>
      </c>
      <c r="AE85" s="4" t="n">
        <v>2</v>
      </c>
      <c r="AF85" s="4" t="n">
        <v>3</v>
      </c>
      <c r="AG85" s="4" t="inlineStr">
        <is>
          <t>Evidence backed</t>
        </is>
      </c>
    </row>
    <row r="86" ht="75" customHeight="1">
      <c r="A86" s="4" t="n">
        <v>82</v>
      </c>
      <c r="B86" s="4" t="inlineStr">
        <is>
          <t>Nakakita Yakuhin Co., Ltd.</t>
        </is>
      </c>
      <c r="C86" s="4" t="inlineStr">
        <is>
          <t>中北薬品株式会社</t>
        </is>
      </c>
      <c r="D86" s="4" t="inlineStr">
        <is>
          <t>Not found (NTA lookup blocked; dedupe by Japanese name)</t>
        </is>
      </c>
      <c r="E86" s="4" t="inlineStr">
        <is>
          <t>Aichi</t>
        </is>
      </c>
      <c r="F86" s="4" t="inlineStr">
        <is>
          <t>Chubu</t>
        </is>
      </c>
      <c r="G86" s="4" t="inlineStr">
        <is>
          <t>Not found</t>
        </is>
      </c>
      <c r="H86" s="4" t="inlineStr">
        <is>
          <t>動物用医薬品 卸売販売業 (JADIDA member); equipment sales capability to confirm</t>
        </is>
      </c>
      <c r="I86" s="4" t="inlineStr">
        <is>
          <t>No ultrasound line identified</t>
        </is>
      </c>
      <c r="J86" s="4" t="inlineStr">
        <is>
          <t>Both</t>
        </is>
      </c>
      <c r="K86" s="4" t="inlineStr">
        <is>
          <t>Tokai incl. Hamamatsu and Tsu branches</t>
        </is>
      </c>
      <c r="L86" s="4" t="inlineStr">
        <is>
          <t>Not found</t>
        </is>
      </c>
      <c r="M86" s="4" t="inlineStr">
        <is>
          <t>n/a</t>
        </is>
      </c>
      <c r="N86" s="4" t="inlineStr">
        <is>
          <t>Not identified</t>
        </is>
      </c>
      <c r="O86" s="4" t="inlineStr">
        <is>
          <t>Not identified</t>
        </is>
      </c>
      <c r="P86" s="4" t="inlineStr">
        <is>
          <t>Not published; phone only</t>
        </is>
      </c>
      <c r="Q86" s="4" t="inlineStr">
        <is>
          <t>Not found</t>
        </is>
      </c>
      <c r="R86" s="4" t="inlineStr">
        <is>
          <t>Not identified</t>
        </is>
      </c>
      <c r="S86" s="4" t="inlineStr">
        <is>
          <t>Unverified (no contact found in search)</t>
        </is>
      </c>
      <c r="T86" s="6">
        <f>SUM(Z86:AF86)</f>
        <v>21</v>
      </c>
      <c r="U86" s="9" t="inlineStr">
        <is>
          <t>V3</t>
        </is>
      </c>
      <c r="V86" s="4" t="inlineStr">
        <is>
          <t>Large Nagoya pharma wholesaler with an animal health business in Fuji Keizai's 2025 vet dealer ranking; JADIDA branches in Shizuoka and Mie.</t>
        </is>
      </c>
      <c r="W86" s="4" t="inlineStr">
        <is>
          <t>Rep carried demo of a pocket or portable scanner on existing drug routes; no stock commitment at first.</t>
        </is>
      </c>
      <c r="X86" s="4" t="inlineStr">
        <is>
          <t>Not checked (human list not in v17)</t>
        </is>
      </c>
      <c r="Y86" s="4" t="inlineStr">
        <is>
          <t>https://www.fuji-keizai.co.jp/report/detail.html?code=122410710&amp;la=ja&amp;la=en ; https://jadida.or.jp/doc/KaiinList20250822.pdf</t>
        </is>
      </c>
      <c r="Z86" s="4" t="n">
        <v>3</v>
      </c>
      <c r="AA86" s="4" t="n">
        <v>1</v>
      </c>
      <c r="AB86" s="4" t="n">
        <v>5</v>
      </c>
      <c r="AC86" s="4" t="n">
        <v>4</v>
      </c>
      <c r="AD86" s="4" t="n">
        <v>3</v>
      </c>
      <c r="AE86" s="4" t="n">
        <v>2</v>
      </c>
      <c r="AF86" s="4" t="n">
        <v>3</v>
      </c>
      <c r="AG86" s="4" t="inlineStr">
        <is>
          <t>Evidence backed</t>
        </is>
      </c>
    </row>
    <row r="87" ht="75" customHeight="1">
      <c r="A87" s="4" t="n">
        <v>83</v>
      </c>
      <c r="B87" s="4" t="inlineStr">
        <is>
          <t>Daiwa Yakuhin Ltd.</t>
        </is>
      </c>
      <c r="C87" s="4" t="inlineStr">
        <is>
          <t>有限会社ダイワ薬品</t>
        </is>
      </c>
      <c r="D87" s="4" t="inlineStr">
        <is>
          <t>Not found (NTA lookup blocked; dedupe by Japanese name)</t>
        </is>
      </c>
      <c r="E87" s="4" t="inlineStr">
        <is>
          <t>Nara</t>
        </is>
      </c>
      <c r="F87" s="4" t="inlineStr">
        <is>
          <t>Kansai</t>
        </is>
      </c>
      <c r="G87" s="4" t="inlineStr">
        <is>
          <t>Not found</t>
        </is>
      </c>
      <c r="H87" s="4" t="inlineStr">
        <is>
          <t>動物用医薬品 卸売販売業 (JADIDA member); equipment sales capability to confirm</t>
        </is>
      </c>
      <c r="I87" s="4" t="inlineStr">
        <is>
          <t>No ultrasound line identified</t>
        </is>
      </c>
      <c r="J87" s="4" t="inlineStr">
        <is>
          <t>Both</t>
        </is>
      </c>
      <c r="K87" s="4" t="inlineStr">
        <is>
          <t>Nara (Katsuragi)</t>
        </is>
      </c>
      <c r="L87" s="4" t="inlineStr">
        <is>
          <t>Not found</t>
        </is>
      </c>
      <c r="M87" s="4" t="inlineStr">
        <is>
          <t>n/a</t>
        </is>
      </c>
      <c r="N87" s="4" t="inlineStr">
        <is>
          <t>Not identified</t>
        </is>
      </c>
      <c r="O87" s="4" t="inlineStr">
        <is>
          <t>Not identified</t>
        </is>
      </c>
      <c r="P87" s="4" t="inlineStr">
        <is>
          <t>Not published; phone only</t>
        </is>
      </c>
      <c r="Q87" s="4" t="inlineStr">
        <is>
          <t>0745 69 6270</t>
        </is>
      </c>
      <c r="R87" s="4" t="inlineStr">
        <is>
          <t>Not identified</t>
        </is>
      </c>
      <c r="S87" s="4" t="inlineStr">
        <is>
          <t>Company inquiry only (phone)</t>
        </is>
      </c>
      <c r="T87" s="6">
        <f>SUM(Z87:AF87)</f>
        <v>21</v>
      </c>
      <c r="U87" s="9" t="inlineStr">
        <is>
          <t>V3</t>
        </is>
      </c>
      <c r="V87" s="4" t="inlineStr">
        <is>
          <t>Nara JADIDA member.</t>
        </is>
      </c>
      <c r="W87" s="4" t="inlineStr">
        <is>
          <t>Rep carried demo of a pocket or portable scanner on existing drug routes; no stock commitment at first.</t>
        </is>
      </c>
      <c r="X87" s="4" t="inlineStr">
        <is>
          <t>Not checked (human list not in v17)</t>
        </is>
      </c>
      <c r="Y87" s="4" t="inlineStr">
        <is>
          <t>https://www.jadida.or.jp/doc/KaiinList20241001.pdf</t>
        </is>
      </c>
      <c r="Z87" s="4" t="n">
        <v>3</v>
      </c>
      <c r="AA87" s="4" t="n">
        <v>1</v>
      </c>
      <c r="AB87" s="4" t="n">
        <v>5</v>
      </c>
      <c r="AC87" s="4" t="n">
        <v>4</v>
      </c>
      <c r="AD87" s="4" t="n">
        <v>3</v>
      </c>
      <c r="AE87" s="4" t="n">
        <v>2</v>
      </c>
      <c r="AF87" s="4" t="n">
        <v>3</v>
      </c>
      <c r="AG87" s="4" t="inlineStr">
        <is>
          <t>Evidence backed</t>
        </is>
      </c>
    </row>
    <row r="88" ht="75" customHeight="1">
      <c r="A88" s="4" t="n">
        <v>84</v>
      </c>
      <c r="B88" s="4" t="inlineStr">
        <is>
          <t>Kinzendo Co., Ltd.</t>
        </is>
      </c>
      <c r="C88" s="4" t="inlineStr">
        <is>
          <t>株式会社均善堂</t>
        </is>
      </c>
      <c r="D88" s="4" t="inlineStr">
        <is>
          <t>Not found (NTA lookup blocked; dedupe by Japanese name)</t>
        </is>
      </c>
      <c r="E88" s="4" t="inlineStr">
        <is>
          <t>Wakayama</t>
        </is>
      </c>
      <c r="F88" s="4" t="inlineStr">
        <is>
          <t>Kansai</t>
        </is>
      </c>
      <c r="G88" s="4" t="inlineStr">
        <is>
          <t>Not found</t>
        </is>
      </c>
      <c r="H88" s="4" t="inlineStr">
        <is>
          <t>動物用医薬品 卸売販売業 (JADIDA member); equipment sales capability to confirm</t>
        </is>
      </c>
      <c r="I88" s="4" t="inlineStr">
        <is>
          <t>No ultrasound line identified</t>
        </is>
      </c>
      <c r="J88" s="4" t="inlineStr">
        <is>
          <t>Both</t>
        </is>
      </c>
      <c r="K88" s="4" t="inlineStr">
        <is>
          <t>Wakayama</t>
        </is>
      </c>
      <c r="L88" s="4" t="inlineStr">
        <is>
          <t>Not found</t>
        </is>
      </c>
      <c r="M88" s="4" t="inlineStr">
        <is>
          <t>n/a</t>
        </is>
      </c>
      <c r="N88" s="4" t="inlineStr">
        <is>
          <t>Not identified</t>
        </is>
      </c>
      <c r="O88" s="4" t="inlineStr">
        <is>
          <t>Not identified</t>
        </is>
      </c>
      <c r="P88" s="4" t="inlineStr">
        <is>
          <t>Not published; phone only</t>
        </is>
      </c>
      <c r="Q88" s="4" t="inlineStr">
        <is>
          <t>073 447 3801</t>
        </is>
      </c>
      <c r="R88" s="4" t="inlineStr">
        <is>
          <t>Not identified</t>
        </is>
      </c>
      <c r="S88" s="4" t="inlineStr">
        <is>
          <t>Company inquiry only (phone)</t>
        </is>
      </c>
      <c r="T88" s="6">
        <f>SUM(Z88:AF88)</f>
        <v>21</v>
      </c>
      <c r="U88" s="9" t="inlineStr">
        <is>
          <t>V3</t>
        </is>
      </c>
      <c r="V88" s="4" t="inlineStr">
        <is>
          <t>Wakayama JADIDA member.</t>
        </is>
      </c>
      <c r="W88" s="4" t="inlineStr">
        <is>
          <t>Rep carried demo of a pocket or portable scanner on existing drug routes; no stock commitment at first.</t>
        </is>
      </c>
      <c r="X88" s="4" t="inlineStr">
        <is>
          <t>Not checked (human list not in v17)</t>
        </is>
      </c>
      <c r="Y88" s="4" t="inlineStr">
        <is>
          <t>https://www.jadida.or.jp/doc/KaiinList20241001.pdf</t>
        </is>
      </c>
      <c r="Z88" s="4" t="n">
        <v>3</v>
      </c>
      <c r="AA88" s="4" t="n">
        <v>1</v>
      </c>
      <c r="AB88" s="4" t="n">
        <v>5</v>
      </c>
      <c r="AC88" s="4" t="n">
        <v>4</v>
      </c>
      <c r="AD88" s="4" t="n">
        <v>3</v>
      </c>
      <c r="AE88" s="4" t="n">
        <v>2</v>
      </c>
      <c r="AF88" s="4" t="n">
        <v>3</v>
      </c>
      <c r="AG88" s="4" t="inlineStr">
        <is>
          <t>Evidence backed</t>
        </is>
      </c>
    </row>
    <row r="89" ht="75" customHeight="1">
      <c r="A89" s="4" t="n">
        <v>85</v>
      </c>
      <c r="B89" s="4" t="inlineStr">
        <is>
          <t>Fair Medical</t>
        </is>
      </c>
      <c r="C89" s="4" t="inlineStr">
        <is>
          <t>フェアーメディカル</t>
        </is>
      </c>
      <c r="D89" s="4" t="inlineStr">
        <is>
          <t>Not found (NTA lookup blocked; dedupe by Japanese name)</t>
        </is>
      </c>
      <c r="E89" s="4" t="inlineStr">
        <is>
          <t>Chiba</t>
        </is>
      </c>
      <c r="F89" s="4" t="inlineStr">
        <is>
          <t>Kanto</t>
        </is>
      </c>
      <c r="G89" s="5" t="inlineStr">
        <is>
          <t>https://www.fair-medical.jp/</t>
        </is>
      </c>
      <c r="H89" s="4" t="inlineStr">
        <is>
          <t>Human device sales licences; 動物用 device sales evidence in source</t>
        </is>
      </c>
      <c r="I89" s="4" t="inlineStr">
        <is>
          <t>Human multi brand lines (ultrasound brands not confirmed)</t>
        </is>
      </c>
      <c r="J89" s="4" t="inlineStr">
        <is>
          <t>Companion</t>
        </is>
      </c>
      <c r="K89" s="4" t="inlineStr">
        <is>
          <t>National (used equipment)</t>
        </is>
      </c>
      <c r="L89" s="4" t="inlineStr">
        <is>
          <t>Not found</t>
        </is>
      </c>
      <c r="M89" s="4" t="inlineStr">
        <is>
          <t>n/a</t>
        </is>
      </c>
      <c r="N89" s="4" t="inlineStr">
        <is>
          <t>Not identified</t>
        </is>
      </c>
      <c r="O89" s="4" t="inlineStr">
        <is>
          <t>Not identified</t>
        </is>
      </c>
      <c r="P89" s="4" t="inlineStr">
        <is>
          <t>Not published; inquiry form: https://www.fair-medical.jp/inquiry</t>
        </is>
      </c>
      <c r="Q89" s="4" t="inlineStr">
        <is>
          <t>04 7199 7460</t>
        </is>
      </c>
      <c r="R89" s="4" t="inlineStr">
        <is>
          <t>Not identified</t>
        </is>
      </c>
      <c r="S89" s="4" t="inlineStr">
        <is>
          <t>Company inquiry only (form); legal name 株式会社Fair Medical, Kashiwa, Chiba</t>
        </is>
      </c>
      <c r="T89" s="6">
        <f>SUM(Z89:AF89)</f>
        <v>20</v>
      </c>
      <c r="U89" s="10" t="inlineStr">
        <is>
          <t>V4</t>
        </is>
      </c>
      <c r="V89" s="4" t="inlineStr">
        <is>
          <t>Used equipment buyer and seller handling ultrasound; appears in animal hospital used equipment searches. FLAG: Vet share of business unclear. FLAG: screened out in the v9 Reconciliation tab of the v17 workbook (no published vet business); kept only as a V4 qualify first lead.</t>
        </is>
      </c>
      <c r="W89" s="4" t="inlineStr">
        <is>
          <t>Imaging service capability for the vet clinics they already serve; start with SonoEye handhelds.</t>
        </is>
      </c>
      <c r="X89" s="4" t="inlineStr">
        <is>
          <t>Y (named in v9 human dealer screen)</t>
        </is>
      </c>
      <c r="Y89" s="4" t="inlineStr">
        <is>
          <t>https://www.fair-medical.jp/ ; https://www.fair-medical.jp/inquiry</t>
        </is>
      </c>
      <c r="Z89" s="4" t="n">
        <v>3</v>
      </c>
      <c r="AA89" s="4" t="n">
        <v>4</v>
      </c>
      <c r="AB89" s="4" t="n">
        <v>3</v>
      </c>
      <c r="AC89" s="4" t="n">
        <v>3</v>
      </c>
      <c r="AD89" s="4" t="n">
        <v>1</v>
      </c>
      <c r="AE89" s="4" t="n">
        <v>4</v>
      </c>
      <c r="AF89" s="4" t="n">
        <v>2</v>
      </c>
      <c r="AG89" s="4" t="inlineStr">
        <is>
          <t>Evidence backed</t>
        </is>
      </c>
    </row>
    <row r="90" ht="75" customHeight="1">
      <c r="A90" s="4" t="n">
        <v>86</v>
      </c>
      <c r="B90" s="4" t="inlineStr">
        <is>
          <t>Mutoh Co., Ltd. (wism)</t>
        </is>
      </c>
      <c r="C90" s="4" t="inlineStr">
        <is>
          <t>株式会社ムトウ</t>
        </is>
      </c>
      <c r="D90" s="4" t="inlineStr">
        <is>
          <t>Not found (NTA lookup blocked; dedupe by Japanese name)</t>
        </is>
      </c>
      <c r="E90" s="4" t="inlineStr">
        <is>
          <t>Hokkaido</t>
        </is>
      </c>
      <c r="F90" s="4" t="inlineStr">
        <is>
          <t>Tohoku and Hokkaido</t>
        </is>
      </c>
      <c r="G90" s="5" t="inlineStr">
        <is>
          <t>https://www.wism-mutoh.jp</t>
        </is>
      </c>
      <c r="H90" s="4" t="inlineStr">
        <is>
          <t>Human device sales licences; 動物用 device sales evidence in source</t>
        </is>
      </c>
      <c r="I90" s="4" t="inlineStr">
        <is>
          <t>Human multi brand lines (ultrasound brands not confirmed)</t>
        </is>
      </c>
      <c r="J90" s="4" t="inlineStr">
        <is>
          <t>Companion</t>
        </is>
      </c>
      <c r="K90" s="4" t="inlineStr">
        <is>
          <t>Hokkaido, Tohoku, Kanto and Kansai branches</t>
        </is>
      </c>
      <c r="L90" s="4" t="inlineStr">
        <is>
          <t>Top 3 Japanese dealer by sales (Arrows column)</t>
        </is>
      </c>
      <c r="M90" s="4" t="inlineStr">
        <is>
          <t>n/a</t>
        </is>
      </c>
      <c r="N90" s="4" t="inlineStr">
        <is>
          <t>Not identified</t>
        </is>
      </c>
      <c r="O90" s="4" t="inlineStr">
        <is>
          <t>Not identified</t>
        </is>
      </c>
      <c r="P90" s="4" t="inlineStr">
        <is>
          <t>cs-order@ni.wism-mutoh.co.jp</t>
        </is>
      </c>
      <c r="Q90" s="4" t="inlineStr">
        <is>
          <t>011 746 5111 (Sapporo HQ)</t>
        </is>
      </c>
      <c r="R90" s="4" t="inlineStr">
        <is>
          <t>Not identified</t>
        </is>
      </c>
      <c r="S90" s="4" t="inlineStr">
        <is>
          <t>Verified (published on own site, read via search); CS order desk</t>
        </is>
      </c>
      <c r="T90" s="6">
        <f>SUM(Z90:AF90)</f>
        <v>20</v>
      </c>
      <c r="U90" s="10" t="inlineStr">
        <is>
          <t>V4</t>
        </is>
      </c>
      <c r="V90" s="4" t="inlineStr">
        <is>
          <t>Third largest Japanese device dealer by sales; several Hokkaido branches publish 動物用高度管理医療機器等販売業 licences, so they already sell to vets.</t>
        </is>
      </c>
      <c r="W90" s="4" t="inlineStr">
        <is>
          <t>Imaging service capability for the vet clinics they already serve; start with SonoEye handhelds.</t>
        </is>
      </c>
      <c r="X90" s="4" t="inlineStr">
        <is>
          <t>Not checked (human list not in v17)</t>
        </is>
      </c>
      <c r="Y90" s="4" t="inlineStr">
        <is>
          <t>https://www.wism-mutoh.jp/bases/?region=%E5%8C%97%E6%B5%B7%E9%81%93 ; https://note.com/arrows_column/n/nd4fd35a1d8b1 ; https://shop.wism-mutoh.co.jp/contact.php ; https://www.wism-mutoh.jp/contact/</t>
        </is>
      </c>
      <c r="Z90" s="4" t="n">
        <v>3</v>
      </c>
      <c r="AA90" s="4" t="n">
        <v>4</v>
      </c>
      <c r="AB90" s="4" t="n">
        <v>3</v>
      </c>
      <c r="AC90" s="4" t="n">
        <v>3</v>
      </c>
      <c r="AD90" s="4" t="n">
        <v>1</v>
      </c>
      <c r="AE90" s="4" t="n">
        <v>4</v>
      </c>
      <c r="AF90" s="4" t="n">
        <v>2</v>
      </c>
      <c r="AG90" s="4" t="inlineStr">
        <is>
          <t>Evidence backed</t>
        </is>
      </c>
    </row>
    <row r="91" ht="75" customHeight="1">
      <c r="A91" s="4" t="n">
        <v>87</v>
      </c>
      <c r="B91" s="4" t="inlineStr">
        <is>
          <t>Sysmex TMC Co., Ltd.</t>
        </is>
      </c>
      <c r="C91" s="4" t="inlineStr">
        <is>
          <t>シスメックスTMC株式会社</t>
        </is>
      </c>
      <c r="D91" s="4" t="inlineStr">
        <is>
          <t>Not found (NTA lookup blocked; dedupe by Japanese name)</t>
        </is>
      </c>
      <c r="E91" s="4" t="inlineStr">
        <is>
          <t>Hyogo</t>
        </is>
      </c>
      <c r="F91" s="4" t="inlineStr">
        <is>
          <t>Kansai</t>
        </is>
      </c>
      <c r="G91" s="5" t="inlineStr">
        <is>
          <t>https://www.sysmex-tmc.co.jp/index.html</t>
        </is>
      </c>
      <c r="H91" s="4" t="inlineStr">
        <is>
          <t>Human device sales licences; 動物用 device sales evidence in source</t>
        </is>
      </c>
      <c r="I91" s="4" t="inlineStr">
        <is>
          <t>Human multi brand lines (ultrasound brands not confirmed)</t>
        </is>
      </c>
      <c r="J91" s="4" t="inlineStr">
        <is>
          <t>Companion</t>
        </is>
      </c>
      <c r="K91" s="4" t="inlineStr">
        <is>
          <t>Kobe and Kansai</t>
        </is>
      </c>
      <c r="L91" s="4" t="inlineStr">
        <is>
          <t>Not found</t>
        </is>
      </c>
      <c r="M91" s="4" t="inlineStr">
        <is>
          <t>n/a</t>
        </is>
      </c>
      <c r="N91" s="4" t="inlineStr">
        <is>
          <t>Not identified</t>
        </is>
      </c>
      <c r="O91" s="4" t="inlineStr">
        <is>
          <t>Not identified</t>
        </is>
      </c>
      <c r="P91" s="4" t="inlineStr">
        <is>
          <t>Not published; phone only</t>
        </is>
      </c>
      <c r="Q91" s="4" t="inlineStr">
        <is>
          <t>078 992 6921 (sales)</t>
        </is>
      </c>
      <c r="R91" s="4" t="inlineStr">
        <is>
          <t>Not identified</t>
        </is>
      </c>
      <c r="S91" s="4" t="inlineStr">
        <is>
          <t>Company inquiry only (form); sells vet haematology analysers</t>
        </is>
      </c>
      <c r="T91" s="6">
        <f>SUM(Z91:AF91)</f>
        <v>19</v>
      </c>
      <c r="U91" s="10" t="inlineStr">
        <is>
          <t>V4</t>
        </is>
      </c>
      <c r="V91" s="4" t="inlineStr">
        <is>
          <t>JAMO member listed for device sales and installation into the vet sector.</t>
        </is>
      </c>
      <c r="W91" s="4" t="inlineStr">
        <is>
          <t>Imaging service capability for the vet clinics they already serve; start with SonoEye handhelds.</t>
        </is>
      </c>
      <c r="X91" s="4" t="inlineStr">
        <is>
          <t>Not checked (human list not in v17)</t>
        </is>
      </c>
      <c r="Y91" s="4" t="inlineStr">
        <is>
          <t>https://www.jamo.or.jp/member/</t>
        </is>
      </c>
      <c r="Z91" s="4" t="n">
        <v>3</v>
      </c>
      <c r="AA91" s="4" t="n">
        <v>3</v>
      </c>
      <c r="AB91" s="4" t="n">
        <v>3</v>
      </c>
      <c r="AC91" s="4" t="n">
        <v>3</v>
      </c>
      <c r="AD91" s="4" t="n">
        <v>1</v>
      </c>
      <c r="AE91" s="4" t="n">
        <v>4</v>
      </c>
      <c r="AF91" s="4" t="n">
        <v>2</v>
      </c>
      <c r="AG91" s="4" t="inlineStr">
        <is>
          <t>Evidence backed</t>
        </is>
      </c>
    </row>
    <row r="92" ht="75" customHeight="1">
      <c r="A92" s="4" t="n">
        <v>88</v>
      </c>
      <c r="B92" s="4" t="inlineStr">
        <is>
          <t>Shiratake Ika Kikai Co., Ltd.</t>
        </is>
      </c>
      <c r="C92" s="4" t="inlineStr">
        <is>
          <t>白竹医科器械株式会社</t>
        </is>
      </c>
      <c r="D92" s="4" t="inlineStr">
        <is>
          <t>6040001094684</t>
        </is>
      </c>
      <c r="E92" s="4" t="inlineStr">
        <is>
          <t>Chiba</t>
        </is>
      </c>
      <c r="F92" s="4" t="inlineStr">
        <is>
          <t>Kanto</t>
        </is>
      </c>
      <c r="G92" s="5" t="inlineStr">
        <is>
          <t>https://shiratake-med.com/</t>
        </is>
      </c>
      <c r="H92" s="4" t="inlineStr">
        <is>
          <t>Human device sales licences; 動物用 device sales evidence in source</t>
        </is>
      </c>
      <c r="I92" s="4" t="inlineStr">
        <is>
          <t>Human multi brand lines (ultrasound brands not confirmed)</t>
        </is>
      </c>
      <c r="J92" s="4" t="inlineStr">
        <is>
          <t>Companion</t>
        </is>
      </c>
      <c r="K92" s="4" t="inlineStr">
        <is>
          <t>Kanto animal hospitals and clinics</t>
        </is>
      </c>
      <c r="L92" s="4" t="inlineStr">
        <is>
          <t>Not found</t>
        </is>
      </c>
      <c r="M92" s="4" t="inlineStr">
        <is>
          <t>n/a</t>
        </is>
      </c>
      <c r="N92" s="4" t="inlineStr">
        <is>
          <t>Not identified</t>
        </is>
      </c>
      <c r="O92" s="4" t="inlineStr">
        <is>
          <t>Not identified</t>
        </is>
      </c>
      <c r="P92" s="4" t="inlineStr">
        <is>
          <t>Not published; phone only</t>
        </is>
      </c>
      <c r="Q92" s="4" t="inlineStr">
        <is>
          <t>043 312 2875</t>
        </is>
      </c>
      <c r="R92" s="4" t="inlineStr">
        <is>
          <t>Not identified</t>
        </is>
      </c>
      <c r="S92" s="4" t="inlineStr">
        <is>
          <t>Company inquiry only (form)</t>
        </is>
      </c>
      <c r="T92" s="6">
        <f>SUM(Z92:AF92)</f>
        <v>19</v>
      </c>
      <c r="U92" s="10" t="inlineStr">
        <is>
          <t>V4</t>
        </is>
      </c>
      <c r="V92" s="4" t="inlineStr">
        <is>
          <t>Surgical and orthopaedic device dealer that also sells animal medical devices and installs X ray shielding; main customers are Kanto animal hospitals and clinics.</t>
        </is>
      </c>
      <c r="W92" s="4" t="inlineStr">
        <is>
          <t>Imaging service capability for the vet clinics they already serve; start with SonoEye handhelds.</t>
        </is>
      </c>
      <c r="X92" s="4" t="inlineStr">
        <is>
          <t>Not checked (human list not in v17)</t>
        </is>
      </c>
      <c r="Y92" s="4" t="inlineStr">
        <is>
          <t>https://shiratake-med.com/ ; https://irbank.net/mynumber/6040001094684 ; https://baseconnect.in/companies/b07e60c3-332e-4f05-b347-64f99a864067</t>
        </is>
      </c>
      <c r="Z92" s="4" t="n">
        <v>3</v>
      </c>
      <c r="AA92" s="4" t="n">
        <v>3</v>
      </c>
      <c r="AB92" s="4" t="n">
        <v>3</v>
      </c>
      <c r="AC92" s="4" t="n">
        <v>3</v>
      </c>
      <c r="AD92" s="4" t="n">
        <v>1</v>
      </c>
      <c r="AE92" s="4" t="n">
        <v>4</v>
      </c>
      <c r="AF92" s="4" t="n">
        <v>2</v>
      </c>
      <c r="AG92" s="4" t="inlineStr">
        <is>
          <t>Evidence backed</t>
        </is>
      </c>
    </row>
    <row r="93" ht="75" customHeight="1">
      <c r="A93" s="4" t="n">
        <v>89</v>
      </c>
      <c r="B93" s="4" t="inlineStr">
        <is>
          <t>Solve Corporation</t>
        </is>
      </c>
      <c r="C93" s="4" t="inlineStr">
        <is>
          <t>ソルブ株式会社</t>
        </is>
      </c>
      <c r="D93" s="4" t="inlineStr">
        <is>
          <t>Not found (NTA lookup blocked; dedupe by Japanese name)</t>
        </is>
      </c>
      <c r="E93" s="4" t="inlineStr">
        <is>
          <t>Kanagawa</t>
        </is>
      </c>
      <c r="F93" s="4" t="inlineStr">
        <is>
          <t>Kanto</t>
        </is>
      </c>
      <c r="G93" s="5" t="inlineStr">
        <is>
          <t>https://www.solve-net.com</t>
        </is>
      </c>
      <c r="H93" s="4" t="inlineStr">
        <is>
          <t>Human device sales licences; 動物用 device sales evidence in source</t>
        </is>
      </c>
      <c r="I93" s="4" t="inlineStr">
        <is>
          <t>Human multi brand lines (ultrasound brands not confirmed)</t>
        </is>
      </c>
      <c r="J93" s="4" t="inlineStr">
        <is>
          <t>Companion</t>
        </is>
      </c>
      <c r="K93" s="4" t="inlineStr">
        <is>
          <t>Kanagawa and Kanto</t>
        </is>
      </c>
      <c r="L93" s="4" t="inlineStr">
        <is>
          <t>Not found</t>
        </is>
      </c>
      <c r="M93" s="4" t="inlineStr">
        <is>
          <t>n/a</t>
        </is>
      </c>
      <c r="N93" s="4" t="inlineStr">
        <is>
          <t>Not identified</t>
        </is>
      </c>
      <c r="O93" s="4" t="inlineStr">
        <is>
          <t>Not identified</t>
        </is>
      </c>
      <c r="P93" s="4" t="inlineStr">
        <is>
          <t>webinfo@solve-net.com</t>
        </is>
      </c>
      <c r="Q93" s="4" t="inlineStr">
        <is>
          <t>045 476 3000 (sales HQ)</t>
        </is>
      </c>
      <c r="R93" s="4" t="inlineStr">
        <is>
          <t>Not identified</t>
        </is>
      </c>
      <c r="S93" s="4" t="inlineStr">
        <is>
          <t>Verified (published on own site, read via search); listed on official Facebook page</t>
        </is>
      </c>
      <c r="T93" s="6">
        <f>SUM(Z93:AF93)</f>
        <v>19</v>
      </c>
      <c r="U93" s="10" t="inlineStr">
        <is>
          <t>V4</t>
        </is>
      </c>
      <c r="V93" s="4" t="inlineStr">
        <is>
          <t>Device trading house founded 1976 with dealer and maker divisions; its site carries an animal hospital products tag.</t>
        </is>
      </c>
      <c r="W93" s="4" t="inlineStr">
        <is>
          <t>Imaging service capability for the vet clinics they already serve; start with SonoEye handhelds.</t>
        </is>
      </c>
      <c r="X93" s="4" t="inlineStr">
        <is>
          <t>Not checked (human list not in v17)</t>
        </is>
      </c>
      <c r="Y93" s="4" t="inlineStr">
        <is>
          <t>https://www.solve-net.com/info/tag/%E5%8B%95%E7%89%A9%E7%97%85%E9%99%A2%E5%90%91%E3%81%91%E8%A3%BD%E5%93%81/ ; https://prtimes.jp/main/html/rd/p/000000002.000185455.html ; https://www.facebook.com/solve.co.jp/ ; https://solve-net.com/company/Contact.html</t>
        </is>
      </c>
      <c r="Z93" s="4" t="n">
        <v>3</v>
      </c>
      <c r="AA93" s="4" t="n">
        <v>3</v>
      </c>
      <c r="AB93" s="4" t="n">
        <v>3</v>
      </c>
      <c r="AC93" s="4" t="n">
        <v>3</v>
      </c>
      <c r="AD93" s="4" t="n">
        <v>1</v>
      </c>
      <c r="AE93" s="4" t="n">
        <v>4</v>
      </c>
      <c r="AF93" s="4" t="n">
        <v>2</v>
      </c>
      <c r="AG93" s="4" t="inlineStr">
        <is>
          <t>Evidence backed</t>
        </is>
      </c>
    </row>
    <row r="94" ht="75" customHeight="1">
      <c r="A94" s="4" t="n">
        <v>90</v>
      </c>
      <c r="B94" s="4" t="inlineStr">
        <is>
          <t>Marubun Tsusho Co., Ltd.</t>
        </is>
      </c>
      <c r="C94" s="4" t="inlineStr">
        <is>
          <t>丸文通商株式会社</t>
        </is>
      </c>
      <c r="D94" s="4" t="inlineStr">
        <is>
          <t>Not found (NTA lookup blocked; dedupe by Japanese name)</t>
        </is>
      </c>
      <c r="E94" s="4" t="inlineStr">
        <is>
          <t>Ishikawa</t>
        </is>
      </c>
      <c r="F94" s="4" t="inlineStr">
        <is>
          <t>Chubu</t>
        </is>
      </c>
      <c r="G94" s="5" t="inlineStr">
        <is>
          <t>https://www.marubun-tsusyo.co.jp/</t>
        </is>
      </c>
      <c r="H94" s="4" t="inlineStr">
        <is>
          <t>Human device sales licences; 動物用 licence not confirmed</t>
        </is>
      </c>
      <c r="I94" s="4" t="inlineStr">
        <is>
          <t>Human multi brand lines (ultrasound brands not confirmed)</t>
        </is>
      </c>
      <c r="J94" s="4" t="inlineStr">
        <is>
          <t>Companion</t>
        </is>
      </c>
      <c r="K94" s="4" t="inlineStr">
        <is>
          <t>Hokuriku</t>
        </is>
      </c>
      <c r="L94" s="4" t="inlineStr">
        <is>
          <t>Not found</t>
        </is>
      </c>
      <c r="M94" s="4" t="inlineStr">
        <is>
          <t>n/a</t>
        </is>
      </c>
      <c r="N94" s="4" t="inlineStr">
        <is>
          <t>Not identified</t>
        </is>
      </c>
      <c r="O94" s="4" t="inlineStr">
        <is>
          <t>Not identified</t>
        </is>
      </c>
      <c r="P94" s="4" t="inlineStr">
        <is>
          <t>info@marubun-tsusyo.co.jp</t>
        </is>
      </c>
      <c r="Q94" s="4" t="inlineStr">
        <is>
          <t>076 269 1880</t>
        </is>
      </c>
      <c r="R94" s="4" t="inlineStr">
        <is>
          <t>Not identified</t>
        </is>
      </c>
      <c r="S94" s="4" t="inlineStr">
        <is>
          <t>Likely (third party listing); listed as representative email</t>
        </is>
      </c>
      <c r="T94" s="6">
        <f>SUM(Z94:AF94)</f>
        <v>18</v>
      </c>
      <c r="U94" s="10" t="inlineStr">
        <is>
          <t>V4</t>
        </is>
      </c>
      <c r="V94" s="4" t="inlineStr">
        <is>
          <t>QUALIFY FIRST: animal hospital sales not confirmed in sources. Trades imaging devices and analytical equipment.</t>
        </is>
      </c>
      <c r="W94" s="4" t="inlineStr">
        <is>
          <t>Open by asking whether they serve animal hospitals today; if yes, offer a vet line with no overlap to their human ultrasound brands.</t>
        </is>
      </c>
      <c r="X94" s="4" t="inlineStr">
        <is>
          <t>Not checked (human list not in v17)</t>
        </is>
      </c>
      <c r="Y94" s="4" t="inlineStr">
        <is>
          <t>https://baseconnect.in/companies/prefecture/4637ba90-383b-4656-8be1-ca34c7f7244f/keyword/89941b4e-2dd1-4848-8957-48af280a31e0 ; https://www.isico.or.jp/company/dgnet/1146.html ; https://www.marubun-tsusyo.co.jp/contact/</t>
        </is>
      </c>
      <c r="Z94" s="4" t="n">
        <v>2</v>
      </c>
      <c r="AA94" s="4" t="n">
        <v>4</v>
      </c>
      <c r="AB94" s="4" t="n">
        <v>3</v>
      </c>
      <c r="AC94" s="4" t="n">
        <v>2</v>
      </c>
      <c r="AD94" s="4" t="n">
        <v>1</v>
      </c>
      <c r="AE94" s="4" t="n">
        <v>4</v>
      </c>
      <c r="AF94" s="4" t="n">
        <v>2</v>
      </c>
      <c r="AG94" s="11" t="inlineStr">
        <is>
          <t>Qualify first</t>
        </is>
      </c>
    </row>
    <row r="95" ht="75" customHeight="1">
      <c r="A95" s="4" t="n">
        <v>91</v>
      </c>
      <c r="B95" s="4" t="inlineStr">
        <is>
          <t>Mobix Co., Ltd.</t>
        </is>
      </c>
      <c r="C95" s="4" t="inlineStr">
        <is>
          <t>株式会社モビックス</t>
        </is>
      </c>
      <c r="D95" s="4" t="inlineStr">
        <is>
          <t>Not found (NTA lookup blocked; dedupe by Japanese name)</t>
        </is>
      </c>
      <c r="E95" s="4" t="inlineStr">
        <is>
          <t>Gifu</t>
        </is>
      </c>
      <c r="F95" s="4" t="inlineStr">
        <is>
          <t>Chubu</t>
        </is>
      </c>
      <c r="G95" s="5" t="inlineStr">
        <is>
          <t>https://mobix-kk.com/</t>
        </is>
      </c>
      <c r="H95" s="4" t="inlineStr">
        <is>
          <t>Human device sales licences; 動物用 licence not confirmed</t>
        </is>
      </c>
      <c r="I95" s="4" t="inlineStr">
        <is>
          <t>Human multi brand lines (ultrasound brands not confirmed)</t>
        </is>
      </c>
      <c r="J95" s="4" t="inlineStr">
        <is>
          <t>Companion</t>
        </is>
      </c>
      <c r="K95" s="4" t="inlineStr">
        <is>
          <t>Gifu (Kakamigahara)</t>
        </is>
      </c>
      <c r="L95" s="4" t="inlineStr">
        <is>
          <t>Not found</t>
        </is>
      </c>
      <c r="M95" s="4" t="inlineStr">
        <is>
          <t>n/a</t>
        </is>
      </c>
      <c r="N95" s="4" t="inlineStr">
        <is>
          <t>Not identified</t>
        </is>
      </c>
      <c r="O95" s="4" t="inlineStr">
        <is>
          <t>Not identified</t>
        </is>
      </c>
      <c r="P95" s="4" t="inlineStr">
        <is>
          <t>Not published; inquiry form: https://mobix-kk.com/contact/</t>
        </is>
      </c>
      <c r="Q95" s="4" t="inlineStr">
        <is>
          <t>058 213 2255</t>
        </is>
      </c>
      <c r="R95" s="4" t="inlineStr">
        <is>
          <t>Not identified</t>
        </is>
      </c>
      <c r="S95" s="4" t="inlineStr">
        <is>
          <t>Company inquiry only (form)</t>
        </is>
      </c>
      <c r="T95" s="6">
        <f>SUM(Z95:AF95)</f>
        <v>18</v>
      </c>
      <c r="U95" s="10" t="inlineStr">
        <is>
          <t>V4</t>
        </is>
      </c>
      <c r="V95" s="4" t="inlineStr">
        <is>
          <t>QUALIFY FIRST: animal hospital sales not confirmed in sources. Sells CT, MRI and other imaging systems.</t>
        </is>
      </c>
      <c r="W95" s="4" t="inlineStr">
        <is>
          <t>Open by asking whether they serve animal hospitals today; if yes, offer a vet line with no overlap to their human ultrasound brands.</t>
        </is>
      </c>
      <c r="X95" s="4" t="inlineStr">
        <is>
          <t>Not checked (human list not in v17)</t>
        </is>
      </c>
      <c r="Y95" s="4" t="inlineStr">
        <is>
          <t>https://baseconnect.in/companies/prefecture/8de2e273-a5a8-45b9-8fc1-0fe6344d6843/keyword/14f3dcec-9cd5-4be5-84e1-ddccb7bd228c ; https://mobix-kk.com/contact/</t>
        </is>
      </c>
      <c r="Z95" s="4" t="n">
        <v>2</v>
      </c>
      <c r="AA95" s="4" t="n">
        <v>4</v>
      </c>
      <c r="AB95" s="4" t="n">
        <v>3</v>
      </c>
      <c r="AC95" s="4" t="n">
        <v>2</v>
      </c>
      <c r="AD95" s="4" t="n">
        <v>1</v>
      </c>
      <c r="AE95" s="4" t="n">
        <v>4</v>
      </c>
      <c r="AF95" s="4" t="n">
        <v>2</v>
      </c>
      <c r="AG95" s="11" t="inlineStr">
        <is>
          <t>Qualify first</t>
        </is>
      </c>
    </row>
    <row r="96" ht="75" customHeight="1">
      <c r="A96" s="4" t="n">
        <v>92</v>
      </c>
      <c r="B96" s="4" t="inlineStr">
        <is>
          <t>Pro Medical Co., Ltd.</t>
        </is>
      </c>
      <c r="C96" s="4" t="inlineStr">
        <is>
          <t>株式会社プロメディカル</t>
        </is>
      </c>
      <c r="D96" s="4" t="inlineStr">
        <is>
          <t>Not found (NTA lookup blocked; dedupe by Japanese name)</t>
        </is>
      </c>
      <c r="E96" s="4" t="inlineStr">
        <is>
          <t>Ishikawa</t>
        </is>
      </c>
      <c r="F96" s="4" t="inlineStr">
        <is>
          <t>Chubu</t>
        </is>
      </c>
      <c r="G96" s="5" t="inlineStr">
        <is>
          <t>https://promedi.co.jp/</t>
        </is>
      </c>
      <c r="H96" s="4" t="inlineStr">
        <is>
          <t>Human device sales licences; 動物用 licence not confirmed</t>
        </is>
      </c>
      <c r="I96" s="4" t="inlineStr">
        <is>
          <t>Human multi brand lines (ultrasound brands not confirmed)</t>
        </is>
      </c>
      <c r="J96" s="4" t="inlineStr">
        <is>
          <t>Companion</t>
        </is>
      </c>
      <c r="K96" s="4" t="inlineStr">
        <is>
          <t>Ishikawa</t>
        </is>
      </c>
      <c r="L96" s="4" t="inlineStr">
        <is>
          <t>Not found</t>
        </is>
      </c>
      <c r="M96" s="4" t="inlineStr">
        <is>
          <t>n/a</t>
        </is>
      </c>
      <c r="N96" s="4" t="inlineStr">
        <is>
          <t>Not identified</t>
        </is>
      </c>
      <c r="O96" s="4" t="inlineStr">
        <is>
          <t>Not identified</t>
        </is>
      </c>
      <c r="P96" s="4" t="inlineStr">
        <is>
          <t>Not published; phone only</t>
        </is>
      </c>
      <c r="Q96" s="4" t="inlineStr">
        <is>
          <t>076 233 5588</t>
        </is>
      </c>
      <c r="R96" s="4" t="inlineStr">
        <is>
          <t>Not identified</t>
        </is>
      </c>
      <c r="S96" s="4" t="inlineStr">
        <is>
          <t>Company inquiry only (phone)</t>
        </is>
      </c>
      <c r="T96" s="6">
        <f>SUM(Z96:AF96)</f>
        <v>18</v>
      </c>
      <c r="U96" s="10" t="inlineStr">
        <is>
          <t>V4</t>
        </is>
      </c>
      <c r="V96" s="4" t="inlineStr">
        <is>
          <t>QUALIFY FIRST: animal hospital sales not confirmed in sources. Sells X ray and ultrasound systems and surgical devices. FLAG: Sells ultrasound; brand conflict to check.</t>
        </is>
      </c>
      <c r="W96" s="4" t="inlineStr">
        <is>
          <t>Open by asking whether they serve animal hospitals today; if yes, offer a vet line with no overlap to their human ultrasound brands.</t>
        </is>
      </c>
      <c r="X96" s="4" t="inlineStr">
        <is>
          <t>Not checked (human list not in v17)</t>
        </is>
      </c>
      <c r="Y96" s="4" t="inlineStr">
        <is>
          <t>https://baseconnect.in/companies/prefecture/4637ba90-383b-4656-8be1-ca34c7f7244f/keyword/89941b4e-2dd1-4848-8957-48af280a31e0</t>
        </is>
      </c>
      <c r="Z96" s="4" t="n">
        <v>2</v>
      </c>
      <c r="AA96" s="4" t="n">
        <v>4</v>
      </c>
      <c r="AB96" s="4" t="n">
        <v>3</v>
      </c>
      <c r="AC96" s="4" t="n">
        <v>2</v>
      </c>
      <c r="AD96" s="4" t="n">
        <v>1</v>
      </c>
      <c r="AE96" s="4" t="n">
        <v>4</v>
      </c>
      <c r="AF96" s="4" t="n">
        <v>2</v>
      </c>
      <c r="AG96" s="11" t="inlineStr">
        <is>
          <t>Qualify first</t>
        </is>
      </c>
    </row>
    <row r="97" ht="75" customHeight="1">
      <c r="A97" s="4" t="n">
        <v>93</v>
      </c>
      <c r="B97" s="4" t="inlineStr">
        <is>
          <t>Ishiguro Medical System Co., Ltd.</t>
        </is>
      </c>
      <c r="C97" s="4" t="inlineStr">
        <is>
          <t>石黒メディカルシステム株式会社</t>
        </is>
      </c>
      <c r="D97" s="4" t="inlineStr">
        <is>
          <t>Not found (NTA lookup blocked; dedupe by Japanese name)</t>
        </is>
      </c>
      <c r="E97" s="4" t="inlineStr">
        <is>
          <t>Kyoto</t>
        </is>
      </c>
      <c r="F97" s="4" t="inlineStr">
        <is>
          <t>Kansai</t>
        </is>
      </c>
      <c r="G97" s="5" t="inlineStr">
        <is>
          <t>https://www.ishiguro-medical.jp/</t>
        </is>
      </c>
      <c r="H97" s="4" t="inlineStr">
        <is>
          <t>Human device sales licences; 動物用 licence not confirmed</t>
        </is>
      </c>
      <c r="I97" s="4" t="inlineStr">
        <is>
          <t>Human multi brand lines (ultrasound brands not confirmed)</t>
        </is>
      </c>
      <c r="J97" s="4" t="inlineStr">
        <is>
          <t>Companion</t>
        </is>
      </c>
      <c r="K97" s="4" t="inlineStr">
        <is>
          <t>Kyoto</t>
        </is>
      </c>
      <c r="L97" s="4" t="inlineStr">
        <is>
          <t>Not found</t>
        </is>
      </c>
      <c r="M97" s="4" t="inlineStr">
        <is>
          <t>n/a</t>
        </is>
      </c>
      <c r="N97" s="4" t="inlineStr">
        <is>
          <t>Not identified</t>
        </is>
      </c>
      <c r="O97" s="4" t="inlineStr">
        <is>
          <t>Not identified</t>
        </is>
      </c>
      <c r="P97" s="4" t="inlineStr">
        <is>
          <t>soumu@ishiguro-medical.jp</t>
        </is>
      </c>
      <c r="Q97" s="4" t="inlineStr">
        <is>
          <t>075 641 1496</t>
        </is>
      </c>
      <c r="R97" s="4" t="inlineStr">
        <is>
          <t>Not identified</t>
        </is>
      </c>
      <c r="S97" s="4" t="inlineStr">
        <is>
          <t>Likely (third party listing); general affairs</t>
        </is>
      </c>
      <c r="T97" s="6">
        <f>SUM(Z97:AF97)</f>
        <v>18</v>
      </c>
      <c r="U97" s="10" t="inlineStr">
        <is>
          <t>V4</t>
        </is>
      </c>
      <c r="V97" s="4" t="inlineStr">
        <is>
          <t>QUALIFY FIRST: animal hospital sales not confirmed in sources. Sells EMR systems and ultrasound devices.</t>
        </is>
      </c>
      <c r="W97" s="4" t="inlineStr">
        <is>
          <t>Open by asking whether they serve animal hospitals today; if yes, offer a vet line with no overlap to their human ultrasound brands.</t>
        </is>
      </c>
      <c r="X97" s="4" t="inlineStr">
        <is>
          <t>Not checked (human list not in v17)</t>
        </is>
      </c>
      <c r="Y97" s="4" t="inlineStr">
        <is>
          <t>https://baseconnect.in/companies/prefecture/63038c5a-e328-472b-b9cc-039738609ba7/category/b2358a1c-c4c6-46f4-a0b1-dee3a1b30a0b ; http://www.mia-kyoto.gr.jp/members/ishiguro.html</t>
        </is>
      </c>
      <c r="Z97" s="4" t="n">
        <v>2</v>
      </c>
      <c r="AA97" s="4" t="n">
        <v>4</v>
      </c>
      <c r="AB97" s="4" t="n">
        <v>3</v>
      </c>
      <c r="AC97" s="4" t="n">
        <v>2</v>
      </c>
      <c r="AD97" s="4" t="n">
        <v>1</v>
      </c>
      <c r="AE97" s="4" t="n">
        <v>4</v>
      </c>
      <c r="AF97" s="4" t="n">
        <v>2</v>
      </c>
      <c r="AG97" s="11" t="inlineStr">
        <is>
          <t>Qualify first</t>
        </is>
      </c>
    </row>
    <row r="98" ht="75" customHeight="1">
      <c r="A98" s="4" t="n">
        <v>94</v>
      </c>
      <c r="B98" s="4" t="inlineStr">
        <is>
          <t>Ship Healthcare Holdings, Inc.</t>
        </is>
      </c>
      <c r="C98" s="4" t="inlineStr">
        <is>
          <t>シップヘルスケアホールディングス株式会社</t>
        </is>
      </c>
      <c r="D98" s="4" t="inlineStr">
        <is>
          <t>Not found (NTA lookup blocked; dedupe by Japanese name)</t>
        </is>
      </c>
      <c r="E98" s="4" t="inlineStr">
        <is>
          <t>Osaka</t>
        </is>
      </c>
      <c r="F98" s="4" t="inlineStr">
        <is>
          <t>Kansai</t>
        </is>
      </c>
      <c r="G98" s="4" t="inlineStr">
        <is>
          <t>Not found</t>
        </is>
      </c>
      <c r="H98" s="4" t="inlineStr">
        <is>
          <t>Human device sales licences; 動物用 licence not confirmed</t>
        </is>
      </c>
      <c r="I98" s="4" t="inlineStr">
        <is>
          <t>Human multi brand lines (ultrasound brands not confirmed)</t>
        </is>
      </c>
      <c r="J98" s="4" t="inlineStr">
        <is>
          <t>Companion</t>
        </is>
      </c>
      <c r="K98" s="4" t="inlineStr">
        <is>
          <t>National</t>
        </is>
      </c>
      <c r="L98" s="4" t="inlineStr">
        <is>
          <t>Largest listed dealer group</t>
        </is>
      </c>
      <c r="M98" s="4" t="inlineStr">
        <is>
          <t>n/a</t>
        </is>
      </c>
      <c r="N98" s="4" t="inlineStr">
        <is>
          <t>Not identified</t>
        </is>
      </c>
      <c r="O98" s="4" t="inlineStr">
        <is>
          <t>Not identified</t>
        </is>
      </c>
      <c r="P98" s="4" t="inlineStr">
        <is>
          <t>Not searched (search budget)</t>
        </is>
      </c>
      <c r="Q98" s="4" t="inlineStr">
        <is>
          <t>Not found (use site)</t>
        </is>
      </c>
      <c r="R98" s="4" t="inlineStr">
        <is>
          <t>Not identified</t>
        </is>
      </c>
      <c r="S98" s="4" t="inlineStr">
        <is>
          <t>Unverified</t>
        </is>
      </c>
      <c r="T98" s="6">
        <f>SUM(Z98:AF98)</f>
        <v>18</v>
      </c>
      <c r="U98" s="10" t="inlineStr">
        <is>
          <t>V4</t>
        </is>
      </c>
      <c r="V98" s="4" t="inlineStr">
        <is>
          <t>QUALIFY FIRST: animal hospital sales not confirmed in sources. Largest listed device trading group; listed in a Baseconnect animal hospital operations category, unverified.</t>
        </is>
      </c>
      <c r="W98" s="4" t="inlineStr">
        <is>
          <t>Open by asking whether they serve animal hospitals today; if yes, offer a vet line with no overlap to their human ultrasound brands.</t>
        </is>
      </c>
      <c r="X98" s="4" t="inlineStr">
        <is>
          <t>Not checked (human list not in v17)</t>
        </is>
      </c>
      <c r="Y98" s="4" t="inlineStr">
        <is>
          <t>https://baseconnect.in/companies/keyword/4d87c1c6-1be0-402b-9086-9c71cd173036 ; https://strainer.jp/tags/medical-trading</t>
        </is>
      </c>
      <c r="Z98" s="4" t="n">
        <v>2</v>
      </c>
      <c r="AA98" s="4" t="n">
        <v>4</v>
      </c>
      <c r="AB98" s="4" t="n">
        <v>3</v>
      </c>
      <c r="AC98" s="4" t="n">
        <v>2</v>
      </c>
      <c r="AD98" s="4" t="n">
        <v>1</v>
      </c>
      <c r="AE98" s="4" t="n">
        <v>4</v>
      </c>
      <c r="AF98" s="4" t="n">
        <v>2</v>
      </c>
      <c r="AG98" s="11" t="inlineStr">
        <is>
          <t>Qualify first</t>
        </is>
      </c>
    </row>
    <row r="99" ht="75" customHeight="1">
      <c r="A99" s="4" t="n">
        <v>95</v>
      </c>
      <c r="B99" s="4" t="inlineStr">
        <is>
          <t>Keiyo Shinwa Ltd.</t>
        </is>
      </c>
      <c r="C99" s="4" t="inlineStr">
        <is>
          <t>有限会社京葉新和</t>
        </is>
      </c>
      <c r="D99" s="4" t="inlineStr">
        <is>
          <t>Not found (NTA lookup blocked; dedupe by Japanese name)</t>
        </is>
      </c>
      <c r="E99" s="4" t="inlineStr">
        <is>
          <t>Chiba</t>
        </is>
      </c>
      <c r="F99" s="4" t="inlineStr">
        <is>
          <t>Kanto</t>
        </is>
      </c>
      <c r="G99" s="4" t="inlineStr">
        <is>
          <t>Not found</t>
        </is>
      </c>
      <c r="H99" s="4" t="inlineStr">
        <is>
          <t>Human device sales licences; 動物用 licence not confirmed</t>
        </is>
      </c>
      <c r="I99" s="4" t="inlineStr">
        <is>
          <t>Human multi brand lines (ultrasound brands not confirmed)</t>
        </is>
      </c>
      <c r="J99" s="4" t="inlineStr">
        <is>
          <t>Companion</t>
        </is>
      </c>
      <c r="K99" s="4" t="inlineStr">
        <is>
          <t>Chiba</t>
        </is>
      </c>
      <c r="L99" s="4" t="inlineStr">
        <is>
          <t>Not found</t>
        </is>
      </c>
      <c r="M99" s="4" t="inlineStr">
        <is>
          <t>n/a</t>
        </is>
      </c>
      <c r="N99" s="4" t="inlineStr">
        <is>
          <t>Not identified</t>
        </is>
      </c>
      <c r="O99" s="4" t="inlineStr">
        <is>
          <t>Not identified</t>
        </is>
      </c>
      <c r="P99" s="4" t="inlineStr">
        <is>
          <t>Not searched (search budget)</t>
        </is>
      </c>
      <c r="Q99" s="4" t="inlineStr">
        <is>
          <t>Not found (use site)</t>
        </is>
      </c>
      <c r="R99" s="4" t="inlineStr">
        <is>
          <t>Not identified</t>
        </is>
      </c>
      <c r="S99" s="4" t="inlineStr">
        <is>
          <t>Unverified</t>
        </is>
      </c>
      <c r="T99" s="6">
        <f>SUM(Z99:AF99)</f>
        <v>18</v>
      </c>
      <c r="U99" s="10" t="inlineStr">
        <is>
          <t>V4</t>
        </is>
      </c>
      <c r="V99" s="4" t="inlineStr">
        <is>
          <t>QUALIFY FIRST: animal hospital sales not confirmed in sources. Installs and maintains CT and MRI; imaging service capability.</t>
        </is>
      </c>
      <c r="W99" s="4" t="inlineStr">
        <is>
          <t>Open by asking whether they serve animal hospitals today; if yes, offer a vet line with no overlap to their human ultrasound brands.</t>
        </is>
      </c>
      <c r="X99" s="4" t="inlineStr">
        <is>
          <t>Not checked (human list not in v17)</t>
        </is>
      </c>
      <c r="Y99" s="4" t="inlineStr">
        <is>
          <t>https://baseconnect.in/companies/prefecture/3420045f-8609-4232-9407-75407ae4e6e8/category/b2358a1c-c4c6-46f4-a0b1-dee3a1b30a0b</t>
        </is>
      </c>
      <c r="Z99" s="4" t="n">
        <v>2</v>
      </c>
      <c r="AA99" s="4" t="n">
        <v>4</v>
      </c>
      <c r="AB99" s="4" t="n">
        <v>3</v>
      </c>
      <c r="AC99" s="4" t="n">
        <v>2</v>
      </c>
      <c r="AD99" s="4" t="n">
        <v>1</v>
      </c>
      <c r="AE99" s="4" t="n">
        <v>4</v>
      </c>
      <c r="AF99" s="4" t="n">
        <v>2</v>
      </c>
      <c r="AG99" s="11" t="inlineStr">
        <is>
          <t>Qualify first</t>
        </is>
      </c>
    </row>
    <row r="100" ht="75" customHeight="1">
      <c r="A100" s="4" t="n">
        <v>96</v>
      </c>
      <c r="B100" s="4" t="inlineStr">
        <is>
          <t>Kuribara Iryo Kikaiten Co., Ltd.</t>
        </is>
      </c>
      <c r="C100" s="4" t="inlineStr">
        <is>
          <t>株式会社栗原医療器械店</t>
        </is>
      </c>
      <c r="D100" s="4" t="inlineStr">
        <is>
          <t>Not found (NTA lookup blocked; dedupe by Japanese name)</t>
        </is>
      </c>
      <c r="E100" s="4" t="inlineStr">
        <is>
          <t>Gunma</t>
        </is>
      </c>
      <c r="F100" s="4" t="inlineStr">
        <is>
          <t>Kanto</t>
        </is>
      </c>
      <c r="G100" s="5" t="inlineStr">
        <is>
          <t>https://www.kuribara.co.jp/</t>
        </is>
      </c>
      <c r="H100" s="4" t="inlineStr">
        <is>
          <t>Human device sales licences; 動物用 licence not confirmed</t>
        </is>
      </c>
      <c r="I100" s="4" t="inlineStr">
        <is>
          <t>Human multi brand lines (ultrasound brands not confirmed)</t>
        </is>
      </c>
      <c r="J100" s="4" t="inlineStr">
        <is>
          <t>Companion</t>
        </is>
      </c>
      <c r="K100" s="4" t="inlineStr">
        <is>
          <t>Kanto (ex Kanagawa) and Niigata</t>
        </is>
      </c>
      <c r="L100" s="4" t="inlineStr">
        <is>
          <t>Not found</t>
        </is>
      </c>
      <c r="M100" s="4" t="inlineStr">
        <is>
          <t>n/a</t>
        </is>
      </c>
      <c r="N100" s="4" t="inlineStr">
        <is>
          <t>Not identified</t>
        </is>
      </c>
      <c r="O100" s="4" t="inlineStr">
        <is>
          <t>Not identified</t>
        </is>
      </c>
      <c r="P100" s="4" t="inlineStr">
        <is>
          <t>Not published; phone only</t>
        </is>
      </c>
      <c r="Q100" s="4" t="inlineStr">
        <is>
          <t>0276 37 8181</t>
        </is>
      </c>
      <c r="R100" s="4" t="inlineStr">
        <is>
          <t>Not identified</t>
        </is>
      </c>
      <c r="S100" s="4" t="inlineStr">
        <is>
          <t>Company inquiry only (phone)</t>
        </is>
      </c>
      <c r="T100" s="6">
        <f>SUM(Z100:AF100)</f>
        <v>18</v>
      </c>
      <c r="U100" s="10" t="inlineStr">
        <is>
          <t>V4</t>
        </is>
      </c>
      <c r="V100" s="4" t="inlineStr">
        <is>
          <t>QUALIFY FIRST: animal hospital sales not confirmed in sources. Gunma dealer with radiology and ME equipment sales and maintenance across North Kanto and Niigata.</t>
        </is>
      </c>
      <c r="W100" s="4" t="inlineStr">
        <is>
          <t>Open by asking whether they serve animal hospitals today; if yes, offer a vet line with no overlap to their human ultrasound brands.</t>
        </is>
      </c>
      <c r="X100" s="4" t="inlineStr">
        <is>
          <t>Not checked (human list not in v17)</t>
        </is>
      </c>
      <c r="Y100" s="4" t="inlineStr">
        <is>
          <t>https://www.r-agent.com/company/c7230/ ; https://job.mynavi.jp/27/pc/search/corp207091/outline.html ; https://www.kuribara.co.jp/company/</t>
        </is>
      </c>
      <c r="Z100" s="4" t="n">
        <v>2</v>
      </c>
      <c r="AA100" s="4" t="n">
        <v>4</v>
      </c>
      <c r="AB100" s="4" t="n">
        <v>3</v>
      </c>
      <c r="AC100" s="4" t="n">
        <v>2</v>
      </c>
      <c r="AD100" s="4" t="n">
        <v>1</v>
      </c>
      <c r="AE100" s="4" t="n">
        <v>4</v>
      </c>
      <c r="AF100" s="4" t="n">
        <v>2</v>
      </c>
      <c r="AG100" s="11" t="inlineStr">
        <is>
          <t>Qualify first</t>
        </is>
      </c>
    </row>
    <row r="101" ht="75" customHeight="1">
      <c r="A101" s="4" t="n">
        <v>97</v>
      </c>
      <c r="B101" s="4" t="inlineStr">
        <is>
          <t>Kishiya Co., Ltd.</t>
        </is>
      </c>
      <c r="C101" s="4" t="inlineStr">
        <is>
          <t>株式会社キシヤ</t>
        </is>
      </c>
      <c r="D101" s="4" t="inlineStr">
        <is>
          <t>Not found (NTA lookup blocked; dedupe by Japanese name)</t>
        </is>
      </c>
      <c r="E101" s="4" t="inlineStr">
        <is>
          <t>Fukuoka</t>
        </is>
      </c>
      <c r="F101" s="4" t="inlineStr">
        <is>
          <t>Kyushu and Okinawa</t>
        </is>
      </c>
      <c r="G101" s="5" t="inlineStr">
        <is>
          <t>https://www.kishiya.co.jp</t>
        </is>
      </c>
      <c r="H101" s="4" t="inlineStr">
        <is>
          <t>Human device sales licences; 動物用 licence not confirmed</t>
        </is>
      </c>
      <c r="I101" s="4" t="inlineStr">
        <is>
          <t>Human multi brand lines (ultrasound brands not confirmed)</t>
        </is>
      </c>
      <c r="J101" s="4" t="inlineStr">
        <is>
          <t>Companion</t>
        </is>
      </c>
      <c r="K101" s="4" t="inlineStr">
        <is>
          <t>Kyushu</t>
        </is>
      </c>
      <c r="L101" s="4" t="inlineStr">
        <is>
          <t>Approx. JPY 68.4bn sales (Arrows column)</t>
        </is>
      </c>
      <c r="M101" s="4" t="inlineStr">
        <is>
          <t>n/a</t>
        </is>
      </c>
      <c r="N101" s="4" t="inlineStr">
        <is>
          <t>Not identified</t>
        </is>
      </c>
      <c r="O101" s="4" t="inlineStr">
        <is>
          <t>Not identified</t>
        </is>
      </c>
      <c r="P101" s="4" t="inlineStr">
        <is>
          <t>Not published; inquiry form: https://www.kishiya.co.jp/contact/input</t>
        </is>
      </c>
      <c r="Q101" s="4" t="inlineStr">
        <is>
          <t>092 622 8000</t>
        </is>
      </c>
      <c r="R101" s="4" t="inlineStr">
        <is>
          <t>Not identified</t>
        </is>
      </c>
      <c r="S101" s="4" t="inlineStr">
        <is>
          <t>Company inquiry only (form)</t>
        </is>
      </c>
      <c r="T101" s="6">
        <f>SUM(Z101:AF101)</f>
        <v>18</v>
      </c>
      <c r="U101" s="10" t="inlineStr">
        <is>
          <t>V4</t>
        </is>
      </c>
      <c r="V101" s="4" t="inlineStr">
        <is>
          <t>QUALIFY FIRST: animal hospital sales not confirmed in sources. Kyushu's leading device dealer selling and leasing CT and MRI; ninth largest dealer nationally.</t>
        </is>
      </c>
      <c r="W101" s="4" t="inlineStr">
        <is>
          <t>Open by asking whether they serve animal hospitals today; if yes, offer a vet line with no overlap to their human ultrasound brands.</t>
        </is>
      </c>
      <c r="X101" s="4" t="inlineStr">
        <is>
          <t>Not checked (human list not in v17)</t>
        </is>
      </c>
      <c r="Y101" s="4" t="inlineStr">
        <is>
          <t>https://www.kishiya.co.jp/group/ ; https://note.com/arrows_column/n/nd4fd35a1d8b1 ; https://www.kishiya.co.jp/contact/input</t>
        </is>
      </c>
      <c r="Z101" s="4" t="n">
        <v>2</v>
      </c>
      <c r="AA101" s="4" t="n">
        <v>4</v>
      </c>
      <c r="AB101" s="4" t="n">
        <v>3</v>
      </c>
      <c r="AC101" s="4" t="n">
        <v>2</v>
      </c>
      <c r="AD101" s="4" t="n">
        <v>1</v>
      </c>
      <c r="AE101" s="4" t="n">
        <v>4</v>
      </c>
      <c r="AF101" s="4" t="n">
        <v>2</v>
      </c>
      <c r="AG101" s="11" t="inlineStr">
        <is>
          <t>Qualify first</t>
        </is>
      </c>
    </row>
    <row r="102" ht="75" customHeight="1">
      <c r="A102" s="4" t="n">
        <v>98</v>
      </c>
      <c r="B102" s="4" t="inlineStr">
        <is>
          <t>Yamashita Ika Kikai Co., Ltd.</t>
        </is>
      </c>
      <c r="C102" s="4" t="inlineStr">
        <is>
          <t>山下医科器械株式会社</t>
        </is>
      </c>
      <c r="D102" s="4" t="inlineStr">
        <is>
          <t>Not found (NTA lookup blocked; dedupe by Japanese name)</t>
        </is>
      </c>
      <c r="E102" s="4" t="inlineStr">
        <is>
          <t>Fukuoka</t>
        </is>
      </c>
      <c r="F102" s="4" t="inlineStr">
        <is>
          <t>Kyushu and Okinawa</t>
        </is>
      </c>
      <c r="G102" s="5" t="inlineStr">
        <is>
          <t>https://www.yamashitaika.co.jp/</t>
        </is>
      </c>
      <c r="H102" s="4" t="inlineStr">
        <is>
          <t>Human device sales licences; 動物用 licence not confirmed</t>
        </is>
      </c>
      <c r="I102" s="4" t="inlineStr">
        <is>
          <t>Human multi brand lines (ultrasound brands not confirmed)</t>
        </is>
      </c>
      <c r="J102" s="4" t="inlineStr">
        <is>
          <t>Companion</t>
        </is>
      </c>
      <c r="K102" s="4" t="inlineStr">
        <is>
          <t>All Kyushu</t>
        </is>
      </c>
      <c r="L102" s="4" t="inlineStr">
        <is>
          <t>541 staff (May 2025)</t>
        </is>
      </c>
      <c r="M102" s="4" t="inlineStr">
        <is>
          <t>n/a</t>
        </is>
      </c>
      <c r="N102" s="4" t="inlineStr">
        <is>
          <t>Not identified</t>
        </is>
      </c>
      <c r="O102" s="4" t="inlineStr">
        <is>
          <t>Not identified</t>
        </is>
      </c>
      <c r="P102" s="4" t="inlineStr">
        <is>
          <t>Not published; phone only</t>
        </is>
      </c>
      <c r="Q102" s="4" t="inlineStr">
        <is>
          <t>092 402 2950</t>
        </is>
      </c>
      <c r="R102" s="4" t="inlineStr">
        <is>
          <t>Not identified</t>
        </is>
      </c>
      <c r="S102" s="4" t="inlineStr">
        <is>
          <t>Company inquiry only (phone)</t>
        </is>
      </c>
      <c r="T102" s="6">
        <f>SUM(Z102:AF102)</f>
        <v>18</v>
      </c>
      <c r="U102" s="10" t="inlineStr">
        <is>
          <t>V4</t>
        </is>
      </c>
      <c r="V102" s="4" t="inlineStr">
        <is>
          <t>QUALIFY FIRST: animal hospital sales not confirmed in sources. Kyushu top class device dealer founded 1926; 541 staff (May 2025).</t>
        </is>
      </c>
      <c r="W102" s="4" t="inlineStr">
        <is>
          <t>Open by asking whether they serve animal hospitals today; if yes, offer a vet line with no overlap to their human ultrasound brands.</t>
        </is>
      </c>
      <c r="X102" s="4" t="inlineStr">
        <is>
          <t>Not checked (human list not in v17)</t>
        </is>
      </c>
      <c r="Y102" s="4" t="inlineStr">
        <is>
          <t>https://job.mynavi.jp/27/pc/search/corp80535/outline.html ; https://kitaishihon.com/company/9265/story ; https://www.yamashitaika.co.jp/company/network/</t>
        </is>
      </c>
      <c r="Z102" s="4" t="n">
        <v>2</v>
      </c>
      <c r="AA102" s="4" t="n">
        <v>4</v>
      </c>
      <c r="AB102" s="4" t="n">
        <v>3</v>
      </c>
      <c r="AC102" s="4" t="n">
        <v>2</v>
      </c>
      <c r="AD102" s="4" t="n">
        <v>1</v>
      </c>
      <c r="AE102" s="4" t="n">
        <v>4</v>
      </c>
      <c r="AF102" s="4" t="n">
        <v>2</v>
      </c>
      <c r="AG102" s="11" t="inlineStr">
        <is>
          <t>Qualify first</t>
        </is>
      </c>
    </row>
    <row r="103" ht="75" customHeight="1">
      <c r="A103" s="4" t="n">
        <v>99</v>
      </c>
      <c r="B103" s="4" t="inlineStr">
        <is>
          <t>MAC Co., Ltd. (Sapporo)</t>
        </is>
      </c>
      <c r="C103" s="4" t="inlineStr">
        <is>
          <t>株式会社マック</t>
        </is>
      </c>
      <c r="D103" s="4" t="inlineStr">
        <is>
          <t>Not found (NTA lookup blocked; dedupe by Japanese name)</t>
        </is>
      </c>
      <c r="E103" s="4" t="inlineStr">
        <is>
          <t>Hokkaido</t>
        </is>
      </c>
      <c r="F103" s="4" t="inlineStr">
        <is>
          <t>Tohoku and Hokkaido</t>
        </is>
      </c>
      <c r="G103" s="5" t="inlineStr">
        <is>
          <t>https://www.mac-inc.co.jp/</t>
        </is>
      </c>
      <c r="H103" s="4" t="inlineStr">
        <is>
          <t>Human device sales licences; 動物用 licence not confirmed</t>
        </is>
      </c>
      <c r="I103" s="4" t="inlineStr">
        <is>
          <t>Human multi brand lines (ultrasound brands not confirmed)</t>
        </is>
      </c>
      <c r="J103" s="4" t="inlineStr">
        <is>
          <t>Companion</t>
        </is>
      </c>
      <c r="K103" s="4" t="inlineStr">
        <is>
          <t>Hokkaido</t>
        </is>
      </c>
      <c r="L103" s="4" t="inlineStr">
        <is>
          <t>Not found</t>
        </is>
      </c>
      <c r="M103" s="4" t="inlineStr">
        <is>
          <t>n/a</t>
        </is>
      </c>
      <c r="N103" s="4" t="inlineStr">
        <is>
          <t>Not identified</t>
        </is>
      </c>
      <c r="O103" s="4" t="inlineStr">
        <is>
          <t>Not identified</t>
        </is>
      </c>
      <c r="P103" s="4" t="inlineStr">
        <is>
          <t>Not published; phone only</t>
        </is>
      </c>
      <c r="Q103" s="4" t="inlineStr">
        <is>
          <t>011 241 3181</t>
        </is>
      </c>
      <c r="R103" s="4" t="inlineStr">
        <is>
          <t>Not identified</t>
        </is>
      </c>
      <c r="S103" s="4" t="inlineStr">
        <is>
          <t>Company inquiry only (phone); SECOM group</t>
        </is>
      </c>
      <c r="T103" s="6">
        <f>SUM(Z103:AF103)</f>
        <v>18</v>
      </c>
      <c r="U103" s="10" t="inlineStr">
        <is>
          <t>V4</t>
        </is>
      </c>
      <c r="V103" s="4" t="inlineStr">
        <is>
          <t>QUALIFY FIRST: animal hospital sales not confirmed in sources. Sapporo dealer selling CT and other imaging plus consumables (1984).</t>
        </is>
      </c>
      <c r="W103" s="4" t="inlineStr">
        <is>
          <t>Open by asking whether they serve animal hospitals today; if yes, offer a vet line with no overlap to their human ultrasound brands.</t>
        </is>
      </c>
      <c r="X103" s="4" t="inlineStr">
        <is>
          <t>Not checked (human list not in v17)</t>
        </is>
      </c>
      <c r="Y103" s="4" t="inlineStr">
        <is>
          <t>https://baseconnect.in/companies/prefecture/9ebb3838-effc-47da-b634-994957a78319/keyword/14f3dcec-9cd5-4be5-84e1-ddccb7bd228c</t>
        </is>
      </c>
      <c r="Z103" s="4" t="n">
        <v>2</v>
      </c>
      <c r="AA103" s="4" t="n">
        <v>4</v>
      </c>
      <c r="AB103" s="4" t="n">
        <v>3</v>
      </c>
      <c r="AC103" s="4" t="n">
        <v>2</v>
      </c>
      <c r="AD103" s="4" t="n">
        <v>1</v>
      </c>
      <c r="AE103" s="4" t="n">
        <v>4</v>
      </c>
      <c r="AF103" s="4" t="n">
        <v>2</v>
      </c>
      <c r="AG103" s="11" t="inlineStr">
        <is>
          <t>Qualify first</t>
        </is>
      </c>
    </row>
    <row r="104" ht="75" customHeight="1">
      <c r="A104" s="4" t="n">
        <v>100</v>
      </c>
      <c r="B104" s="4" t="inlineStr">
        <is>
          <t>As Science Co., Ltd.</t>
        </is>
      </c>
      <c r="C104" s="4" t="inlineStr">
        <is>
          <t>アズサイエンス株式会社</t>
        </is>
      </c>
      <c r="D104" s="4" t="inlineStr">
        <is>
          <t>Not found (NTA lookup blocked; dedupe by Japanese name)</t>
        </is>
      </c>
      <c r="E104" s="4" t="inlineStr">
        <is>
          <t>Nagano</t>
        </is>
      </c>
      <c r="F104" s="4" t="inlineStr">
        <is>
          <t>Chubu</t>
        </is>
      </c>
      <c r="G104" s="4" t="inlineStr">
        <is>
          <t>Not found</t>
        </is>
      </c>
      <c r="H104" s="4" t="inlineStr">
        <is>
          <t>Human device sales licences; 動物用 licence not confirmed</t>
        </is>
      </c>
      <c r="I104" s="4" t="inlineStr">
        <is>
          <t>Human multi brand lines (ultrasound brands not confirmed)</t>
        </is>
      </c>
      <c r="J104" s="4" t="inlineStr">
        <is>
          <t>Companion</t>
        </is>
      </c>
      <c r="K104" s="4" t="inlineStr">
        <is>
          <t>Nagano (Matsumoto)</t>
        </is>
      </c>
      <c r="L104" s="4" t="inlineStr">
        <is>
          <t>Not found</t>
        </is>
      </c>
      <c r="M104" s="4" t="inlineStr">
        <is>
          <t>n/a</t>
        </is>
      </c>
      <c r="N104" s="4" t="inlineStr">
        <is>
          <t>Not identified</t>
        </is>
      </c>
      <c r="O104" s="4" t="inlineStr">
        <is>
          <t>Not identified</t>
        </is>
      </c>
      <c r="P104" s="4" t="inlineStr">
        <is>
          <t>Not searched (search budget)</t>
        </is>
      </c>
      <c r="Q104" s="4" t="inlineStr">
        <is>
          <t>Not found (use site)</t>
        </is>
      </c>
      <c r="R104" s="4" t="inlineStr">
        <is>
          <t>Not identified</t>
        </is>
      </c>
      <c r="S104" s="4" t="inlineStr">
        <is>
          <t>Unverified</t>
        </is>
      </c>
      <c r="T104" s="6">
        <f>SUM(Z104:AF104)</f>
        <v>17</v>
      </c>
      <c r="U104" s="10" t="inlineStr">
        <is>
          <t>V4</t>
        </is>
      </c>
      <c r="V104" s="4" t="inlineStr">
        <is>
          <t>QUALIFY FIRST: animal hospital sales not confirmed in sources. Nagano device and lab wholesaler.</t>
        </is>
      </c>
      <c r="W104" s="4" t="inlineStr">
        <is>
          <t>Open by asking whether they serve animal hospitals today; if yes, offer a vet line with no overlap to their human ultrasound brands.</t>
        </is>
      </c>
      <c r="X104" s="4" t="inlineStr">
        <is>
          <t>Not checked (human list not in v17)</t>
        </is>
      </c>
      <c r="Y104" s="4" t="inlineStr">
        <is>
          <t>https://baseconnect.in/companies/prefecture/47b312cd-84c4-4e89-951a-b56344bc774e/keyword/89941b4e-2dd1-4848-8957-48af280a31e0</t>
        </is>
      </c>
      <c r="Z104" s="4" t="n">
        <v>2</v>
      </c>
      <c r="AA104" s="4" t="n">
        <v>3</v>
      </c>
      <c r="AB104" s="4" t="n">
        <v>3</v>
      </c>
      <c r="AC104" s="4" t="n">
        <v>2</v>
      </c>
      <c r="AD104" s="4" t="n">
        <v>1</v>
      </c>
      <c r="AE104" s="4" t="n">
        <v>4</v>
      </c>
      <c r="AF104" s="4" t="n">
        <v>2</v>
      </c>
      <c r="AG104" s="11" t="inlineStr">
        <is>
          <t>Qualify first</t>
        </is>
      </c>
    </row>
    <row r="105" ht="75" customHeight="1">
      <c r="A105" s="4" t="n">
        <v>101</v>
      </c>
      <c r="B105" s="4" t="inlineStr">
        <is>
          <t>Fukuda Denshi Chubu Sales Co., Ltd.</t>
        </is>
      </c>
      <c r="C105" s="4" t="inlineStr">
        <is>
          <t>フクダ電子中部販売株式会社</t>
        </is>
      </c>
      <c r="D105" s="4" t="inlineStr">
        <is>
          <t>Not found (NTA lookup blocked; dedupe by Japanese name)</t>
        </is>
      </c>
      <c r="E105" s="4" t="inlineStr">
        <is>
          <t>Aichi</t>
        </is>
      </c>
      <c r="F105" s="4" t="inlineStr">
        <is>
          <t>Chubu</t>
        </is>
      </c>
      <c r="G105" s="4" t="inlineStr">
        <is>
          <t>Not found</t>
        </is>
      </c>
      <c r="H105" s="4" t="inlineStr">
        <is>
          <t>Human device sales licences; 動物用 licence not confirmed</t>
        </is>
      </c>
      <c r="I105" s="4" t="inlineStr">
        <is>
          <t>Human multi brand lines (ultrasound brands not confirmed)</t>
        </is>
      </c>
      <c r="J105" s="4" t="inlineStr">
        <is>
          <t>Companion</t>
        </is>
      </c>
      <c r="K105" s="4" t="inlineStr">
        <is>
          <t>Tokai</t>
        </is>
      </c>
      <c r="L105" s="4" t="inlineStr">
        <is>
          <t>Not found</t>
        </is>
      </c>
      <c r="M105" s="4" t="inlineStr">
        <is>
          <t>n/a</t>
        </is>
      </c>
      <c r="N105" s="4" t="inlineStr">
        <is>
          <t>Not identified</t>
        </is>
      </c>
      <c r="O105" s="4" t="inlineStr">
        <is>
          <t>Not identified</t>
        </is>
      </c>
      <c r="P105" s="4" t="inlineStr">
        <is>
          <t>Not searched (search budget)</t>
        </is>
      </c>
      <c r="Q105" s="4" t="inlineStr">
        <is>
          <t>Not found (use site)</t>
        </is>
      </c>
      <c r="R105" s="4" t="inlineStr">
        <is>
          <t>Not identified</t>
        </is>
      </c>
      <c r="S105" s="4" t="inlineStr">
        <is>
          <t>Unverified</t>
        </is>
      </c>
      <c r="T105" s="6">
        <f>SUM(Z105:AF105)</f>
        <v>17</v>
      </c>
      <c r="U105" s="10" t="inlineStr">
        <is>
          <t>V4</t>
        </is>
      </c>
      <c r="V105" s="4" t="inlineStr">
        <is>
          <t>QUALIFY FIRST: animal hospital sales not confirmed in sources. Fukuda Denshi sales company in Tokai.</t>
        </is>
      </c>
      <c r="W105" s="4" t="inlineStr">
        <is>
          <t>Open by asking whether they serve animal hospitals today; if yes, offer a vet line with no overlap to their human ultrasound brands.</t>
        </is>
      </c>
      <c r="X105" s="4" t="inlineStr">
        <is>
          <t>Not checked (human list not in v17)</t>
        </is>
      </c>
      <c r="Y105" s="4" t="inlineStr">
        <is>
          <t>https://www.nikkei.com/compass/search/Y2F0ZWdvcnk9Y29tcGFueSZyZWdpb249MjMmaW5kdXN0cnlTPTA1MzI</t>
        </is>
      </c>
      <c r="Z105" s="4" t="n">
        <v>2</v>
      </c>
      <c r="AA105" s="4" t="n">
        <v>3</v>
      </c>
      <c r="AB105" s="4" t="n">
        <v>3</v>
      </c>
      <c r="AC105" s="4" t="n">
        <v>2</v>
      </c>
      <c r="AD105" s="4" t="n">
        <v>1</v>
      </c>
      <c r="AE105" s="4" t="n">
        <v>4</v>
      </c>
      <c r="AF105" s="4" t="n">
        <v>2</v>
      </c>
      <c r="AG105" s="11" t="inlineStr">
        <is>
          <t>Qualify first</t>
        </is>
      </c>
    </row>
    <row r="106" ht="75" customHeight="1">
      <c r="A106" s="4" t="n">
        <v>102</v>
      </c>
      <c r="B106" s="4" t="inlineStr">
        <is>
          <t>Fukuda Denshi Niigata Sales Co., Ltd.</t>
        </is>
      </c>
      <c r="C106" s="4" t="inlineStr">
        <is>
          <t>フクダ電子新潟販売株式会社</t>
        </is>
      </c>
      <c r="D106" s="4" t="inlineStr">
        <is>
          <t>Not found (NTA lookup blocked; dedupe by Japanese name)</t>
        </is>
      </c>
      <c r="E106" s="4" t="inlineStr">
        <is>
          <t>Niigata</t>
        </is>
      </c>
      <c r="F106" s="4" t="inlineStr">
        <is>
          <t>Chubu</t>
        </is>
      </c>
      <c r="G106" s="4" t="inlineStr">
        <is>
          <t>Not found</t>
        </is>
      </c>
      <c r="H106" s="4" t="inlineStr">
        <is>
          <t>Human device sales licences; 動物用 licence not confirmed</t>
        </is>
      </c>
      <c r="I106" s="4" t="inlineStr">
        <is>
          <t>Human multi brand lines (ultrasound brands not confirmed)</t>
        </is>
      </c>
      <c r="J106" s="4" t="inlineStr">
        <is>
          <t>Companion</t>
        </is>
      </c>
      <c r="K106" s="4" t="inlineStr">
        <is>
          <t>Niigata</t>
        </is>
      </c>
      <c r="L106" s="4" t="inlineStr">
        <is>
          <t>Not found</t>
        </is>
      </c>
      <c r="M106" s="4" t="inlineStr">
        <is>
          <t>n/a</t>
        </is>
      </c>
      <c r="N106" s="4" t="inlineStr">
        <is>
          <t>Not identified</t>
        </is>
      </c>
      <c r="O106" s="4" t="inlineStr">
        <is>
          <t>Not identified</t>
        </is>
      </c>
      <c r="P106" s="4" t="inlineStr">
        <is>
          <t>Not searched (search budget)</t>
        </is>
      </c>
      <c r="Q106" s="4" t="inlineStr">
        <is>
          <t>Not found (use site)</t>
        </is>
      </c>
      <c r="R106" s="4" t="inlineStr">
        <is>
          <t>Not identified</t>
        </is>
      </c>
      <c r="S106" s="4" t="inlineStr">
        <is>
          <t>Unverified</t>
        </is>
      </c>
      <c r="T106" s="6">
        <f>SUM(Z106:AF106)</f>
        <v>17</v>
      </c>
      <c r="U106" s="10" t="inlineStr">
        <is>
          <t>V4</t>
        </is>
      </c>
      <c r="V106" s="4" t="inlineStr">
        <is>
          <t>QUALIFY FIRST: animal hospital sales not confirmed in sources. Fukuda Denshi sales company in Niigata.</t>
        </is>
      </c>
      <c r="W106" s="4" t="inlineStr">
        <is>
          <t>Open by asking whether they serve animal hospitals today; if yes, offer a vet line with no overlap to their human ultrasound brands.</t>
        </is>
      </c>
      <c r="X106" s="4" t="inlineStr">
        <is>
          <t>Not checked (human list not in v17)</t>
        </is>
      </c>
      <c r="Y106" s="4" t="inlineStr">
        <is>
          <t>https://baseconnect.in/companies/prefecture/3cf97f91-8b39-4cdb-981b-d035b0176b65/keyword/89941b4e-2dd1-4848-8957-48af280a31e0</t>
        </is>
      </c>
      <c r="Z106" s="4" t="n">
        <v>2</v>
      </c>
      <c r="AA106" s="4" t="n">
        <v>3</v>
      </c>
      <c r="AB106" s="4" t="n">
        <v>3</v>
      </c>
      <c r="AC106" s="4" t="n">
        <v>2</v>
      </c>
      <c r="AD106" s="4" t="n">
        <v>1</v>
      </c>
      <c r="AE106" s="4" t="n">
        <v>4</v>
      </c>
      <c r="AF106" s="4" t="n">
        <v>2</v>
      </c>
      <c r="AG106" s="11" t="inlineStr">
        <is>
          <t>Qualify first</t>
        </is>
      </c>
    </row>
    <row r="107" ht="75" customHeight="1">
      <c r="A107" s="4" t="n">
        <v>103</v>
      </c>
      <c r="B107" s="4" t="inlineStr">
        <is>
          <t>Fukuda Denshi Sangi Sales Co., Ltd.</t>
        </is>
      </c>
      <c r="C107" s="4" t="inlineStr">
        <is>
          <t>フクダ電子三岐販売株式会社</t>
        </is>
      </c>
      <c r="D107" s="4" t="inlineStr">
        <is>
          <t>Not found (NTA lookup blocked; dedupe by Japanese name)</t>
        </is>
      </c>
      <c r="E107" s="4" t="inlineStr">
        <is>
          <t>Gifu</t>
        </is>
      </c>
      <c r="F107" s="4" t="inlineStr">
        <is>
          <t>Chubu</t>
        </is>
      </c>
      <c r="G107" s="4" t="inlineStr">
        <is>
          <t>Not found</t>
        </is>
      </c>
      <c r="H107" s="4" t="inlineStr">
        <is>
          <t>Human device sales licences; 動物用 licence not confirmed</t>
        </is>
      </c>
      <c r="I107" s="4" t="inlineStr">
        <is>
          <t>Human multi brand lines (ultrasound brands not confirmed)</t>
        </is>
      </c>
      <c r="J107" s="4" t="inlineStr">
        <is>
          <t>Companion</t>
        </is>
      </c>
      <c r="K107" s="4" t="inlineStr">
        <is>
          <t>Gifu and Mie</t>
        </is>
      </c>
      <c r="L107" s="4" t="inlineStr">
        <is>
          <t>Not found</t>
        </is>
      </c>
      <c r="M107" s="4" t="inlineStr">
        <is>
          <t>n/a</t>
        </is>
      </c>
      <c r="N107" s="4" t="inlineStr">
        <is>
          <t>Not identified</t>
        </is>
      </c>
      <c r="O107" s="4" t="inlineStr">
        <is>
          <t>Not identified</t>
        </is>
      </c>
      <c r="P107" s="4" t="inlineStr">
        <is>
          <t>Not searched (search budget)</t>
        </is>
      </c>
      <c r="Q107" s="4" t="inlineStr">
        <is>
          <t>Not found (use site)</t>
        </is>
      </c>
      <c r="R107" s="4" t="inlineStr">
        <is>
          <t>Not identified</t>
        </is>
      </c>
      <c r="S107" s="4" t="inlineStr">
        <is>
          <t>Unverified</t>
        </is>
      </c>
      <c r="T107" s="6">
        <f>SUM(Z107:AF107)</f>
        <v>17</v>
      </c>
      <c r="U107" s="10" t="inlineStr">
        <is>
          <t>V4</t>
        </is>
      </c>
      <c r="V107" s="4" t="inlineStr">
        <is>
          <t>QUALIFY FIRST: animal hospital sales not confirmed in sources. Fukuda Denshi sales and rental company.</t>
        </is>
      </c>
      <c r="W107" s="4" t="inlineStr">
        <is>
          <t>Open by asking whether they serve animal hospitals today; if yes, offer a vet line with no overlap to their human ultrasound brands.</t>
        </is>
      </c>
      <c r="X107" s="4" t="inlineStr">
        <is>
          <t>Not checked (human list not in v17)</t>
        </is>
      </c>
      <c r="Y107" s="4" t="inlineStr">
        <is>
          <t>https://baseconnect.in/companies/prefecture/8de2e273-a5a8-45b9-8fc1-0fe6344d6843/keyword/14f3dcec-9cd5-4be5-84e1-ddccb7bd228c</t>
        </is>
      </c>
      <c r="Z107" s="4" t="n">
        <v>2</v>
      </c>
      <c r="AA107" s="4" t="n">
        <v>3</v>
      </c>
      <c r="AB107" s="4" t="n">
        <v>3</v>
      </c>
      <c r="AC107" s="4" t="n">
        <v>2</v>
      </c>
      <c r="AD107" s="4" t="n">
        <v>1</v>
      </c>
      <c r="AE107" s="4" t="n">
        <v>4</v>
      </c>
      <c r="AF107" s="4" t="n">
        <v>2</v>
      </c>
      <c r="AG107" s="11" t="inlineStr">
        <is>
          <t>Qualify first</t>
        </is>
      </c>
    </row>
    <row r="108" ht="75" customHeight="1">
      <c r="A108" s="4" t="n">
        <v>104</v>
      </c>
      <c r="B108" s="4" t="inlineStr">
        <is>
          <t>Good Life Design Co., Ltd.</t>
        </is>
      </c>
      <c r="C108" s="4" t="inlineStr">
        <is>
          <t>株式会社グッドライフデザイン</t>
        </is>
      </c>
      <c r="D108" s="4" t="inlineStr">
        <is>
          <t>Not found (NTA lookup blocked; dedupe by Japanese name)</t>
        </is>
      </c>
      <c r="E108" s="4" t="inlineStr">
        <is>
          <t>Aichi</t>
        </is>
      </c>
      <c r="F108" s="4" t="inlineStr">
        <is>
          <t>Chubu</t>
        </is>
      </c>
      <c r="G108" s="4" t="inlineStr">
        <is>
          <t>Not found</t>
        </is>
      </c>
      <c r="H108" s="4" t="inlineStr">
        <is>
          <t>Human device sales licences; 動物用 licence not confirmed</t>
        </is>
      </c>
      <c r="I108" s="4" t="inlineStr">
        <is>
          <t>Human multi brand lines (ultrasound brands not confirmed)</t>
        </is>
      </c>
      <c r="J108" s="4" t="inlineStr">
        <is>
          <t>Companion</t>
        </is>
      </c>
      <c r="K108" s="4" t="inlineStr">
        <is>
          <t>Aichi</t>
        </is>
      </c>
      <c r="L108" s="4" t="inlineStr">
        <is>
          <t>Not found</t>
        </is>
      </c>
      <c r="M108" s="4" t="inlineStr">
        <is>
          <t>n/a</t>
        </is>
      </c>
      <c r="N108" s="4" t="inlineStr">
        <is>
          <t>Not identified</t>
        </is>
      </c>
      <c r="O108" s="4" t="inlineStr">
        <is>
          <t>Not identified</t>
        </is>
      </c>
      <c r="P108" s="4" t="inlineStr">
        <is>
          <t>Not searched (search budget)</t>
        </is>
      </c>
      <c r="Q108" s="4" t="inlineStr">
        <is>
          <t>Not found (use site)</t>
        </is>
      </c>
      <c r="R108" s="4" t="inlineStr">
        <is>
          <t>Not identified</t>
        </is>
      </c>
      <c r="S108" s="4" t="inlineStr">
        <is>
          <t>Unverified</t>
        </is>
      </c>
      <c r="T108" s="6">
        <f>SUM(Z108:AF108)</f>
        <v>17</v>
      </c>
      <c r="U108" s="10" t="inlineStr">
        <is>
          <t>V4</t>
        </is>
      </c>
      <c r="V108" s="4" t="inlineStr">
        <is>
          <t>QUALIFY FIRST: animal hospital sales not confirmed in sources. Aichi device and supplies wholesaler.</t>
        </is>
      </c>
      <c r="W108" s="4" t="inlineStr">
        <is>
          <t>Open by asking whether they serve animal hospitals today; if yes, offer a vet line with no overlap to their human ultrasound brands.</t>
        </is>
      </c>
      <c r="X108" s="4" t="inlineStr">
        <is>
          <t>Not checked (human list not in v17)</t>
        </is>
      </c>
      <c r="Y108" s="4" t="inlineStr">
        <is>
          <t>https://www.nikkei.com/compass/search/Y2F0ZWdvcnk9Y29tcGFueSZyZWdpb249MjMmaW5kdXN0cnlTPTA1MzI</t>
        </is>
      </c>
      <c r="Z108" s="4" t="n">
        <v>2</v>
      </c>
      <c r="AA108" s="4" t="n">
        <v>3</v>
      </c>
      <c r="AB108" s="4" t="n">
        <v>3</v>
      </c>
      <c r="AC108" s="4" t="n">
        <v>2</v>
      </c>
      <c r="AD108" s="4" t="n">
        <v>1</v>
      </c>
      <c r="AE108" s="4" t="n">
        <v>4</v>
      </c>
      <c r="AF108" s="4" t="n">
        <v>2</v>
      </c>
      <c r="AG108" s="11" t="inlineStr">
        <is>
          <t>Qualify first</t>
        </is>
      </c>
    </row>
    <row r="109" ht="75" customHeight="1">
      <c r="A109" s="4" t="n">
        <v>105</v>
      </c>
      <c r="B109" s="4" t="inlineStr">
        <is>
          <t>Hashino Medical Co., Ltd.</t>
        </is>
      </c>
      <c r="C109" s="4" t="inlineStr">
        <is>
          <t>株式会社端野メディカル</t>
        </is>
      </c>
      <c r="D109" s="4" t="inlineStr">
        <is>
          <t>Not found (NTA lookup blocked; dedupe by Japanese name)</t>
        </is>
      </c>
      <c r="E109" s="4" t="inlineStr">
        <is>
          <t>Fukui</t>
        </is>
      </c>
      <c r="F109" s="4" t="inlineStr">
        <is>
          <t>Chubu</t>
        </is>
      </c>
      <c r="G109" s="4" t="inlineStr">
        <is>
          <t>Not found</t>
        </is>
      </c>
      <c r="H109" s="4" t="inlineStr">
        <is>
          <t>Human device sales licences; 動物用 licence not confirmed</t>
        </is>
      </c>
      <c r="I109" s="4" t="inlineStr">
        <is>
          <t>Human multi brand lines (ultrasound brands not confirmed)</t>
        </is>
      </c>
      <c r="J109" s="4" t="inlineStr">
        <is>
          <t>Companion</t>
        </is>
      </c>
      <c r="K109" s="4" t="inlineStr">
        <is>
          <t>Fukui</t>
        </is>
      </c>
      <c r="L109" s="4" t="inlineStr">
        <is>
          <t>Not found</t>
        </is>
      </c>
      <c r="M109" s="4" t="inlineStr">
        <is>
          <t>n/a</t>
        </is>
      </c>
      <c r="N109" s="4" t="inlineStr">
        <is>
          <t>Not identified</t>
        </is>
      </c>
      <c r="O109" s="4" t="inlineStr">
        <is>
          <t>Not identified</t>
        </is>
      </c>
      <c r="P109" s="4" t="inlineStr">
        <is>
          <t>Not searched (search budget)</t>
        </is>
      </c>
      <c r="Q109" s="4" t="inlineStr">
        <is>
          <t>Not found (use site)</t>
        </is>
      </c>
      <c r="R109" s="4" t="inlineStr">
        <is>
          <t>Not identified</t>
        </is>
      </c>
      <c r="S109" s="4" t="inlineStr">
        <is>
          <t>Unverified</t>
        </is>
      </c>
      <c r="T109" s="6">
        <f>SUM(Z109:AF109)</f>
        <v>17</v>
      </c>
      <c r="U109" s="10" t="inlineStr">
        <is>
          <t>V4</t>
        </is>
      </c>
      <c r="V109" s="4" t="inlineStr">
        <is>
          <t>QUALIFY FIRST: animal hospital sales not confirmed in sources. Fukui device wholesaler.</t>
        </is>
      </c>
      <c r="W109" s="4" t="inlineStr">
        <is>
          <t>Open by asking whether they serve animal hospitals today; if yes, offer a vet line with no overlap to their human ultrasound brands.</t>
        </is>
      </c>
      <c r="X109" s="4" t="inlineStr">
        <is>
          <t>Not checked (human list not in v17)</t>
        </is>
      </c>
      <c r="Y109" s="4" t="inlineStr">
        <is>
          <t>https://baseconnect.in/companies/prefecture/aed784f6-cd06-4f72-95d9-876e82d37385/keyword/89941b4e-2dd1-4848-8957-48af280a31e0</t>
        </is>
      </c>
      <c r="Z109" s="4" t="n">
        <v>2</v>
      </c>
      <c r="AA109" s="4" t="n">
        <v>3</v>
      </c>
      <c r="AB109" s="4" t="n">
        <v>3</v>
      </c>
      <c r="AC109" s="4" t="n">
        <v>2</v>
      </c>
      <c r="AD109" s="4" t="n">
        <v>1</v>
      </c>
      <c r="AE109" s="4" t="n">
        <v>4</v>
      </c>
      <c r="AF109" s="4" t="n">
        <v>2</v>
      </c>
      <c r="AG109" s="11" t="inlineStr">
        <is>
          <t>Qualify first</t>
        </is>
      </c>
    </row>
    <row r="110" ht="75" customHeight="1">
      <c r="A110" s="4" t="n">
        <v>106</v>
      </c>
      <c r="B110" s="4" t="inlineStr">
        <is>
          <t>Himec Co., Ltd.</t>
        </is>
      </c>
      <c r="C110" s="4" t="inlineStr">
        <is>
          <t>株式会社ハイメック</t>
        </is>
      </c>
      <c r="D110" s="4" t="inlineStr">
        <is>
          <t>Not found (NTA lookup blocked; dedupe by Japanese name)</t>
        </is>
      </c>
      <c r="E110" s="4" t="inlineStr">
        <is>
          <t>Toyama</t>
        </is>
      </c>
      <c r="F110" s="4" t="inlineStr">
        <is>
          <t>Chubu</t>
        </is>
      </c>
      <c r="G110" s="5" t="inlineStr">
        <is>
          <t>http://www.kk-himec.co.jp/</t>
        </is>
      </c>
      <c r="H110" s="4" t="inlineStr">
        <is>
          <t>Human device sales licences; 動物用 licence not confirmed</t>
        </is>
      </c>
      <c r="I110" s="4" t="inlineStr">
        <is>
          <t>Human multi brand lines (ultrasound brands not confirmed)</t>
        </is>
      </c>
      <c r="J110" s="4" t="inlineStr">
        <is>
          <t>Companion</t>
        </is>
      </c>
      <c r="K110" s="4" t="inlineStr">
        <is>
          <t>Toyama</t>
        </is>
      </c>
      <c r="L110" s="4" t="inlineStr">
        <is>
          <t>Not found</t>
        </is>
      </c>
      <c r="M110" s="4" t="inlineStr">
        <is>
          <t>n/a</t>
        </is>
      </c>
      <c r="N110" s="4" t="inlineStr">
        <is>
          <t>Not identified</t>
        </is>
      </c>
      <c r="O110" s="4" t="inlineStr">
        <is>
          <t>Not identified</t>
        </is>
      </c>
      <c r="P110" s="4" t="inlineStr">
        <is>
          <t>himec@tam.ne.jp</t>
        </is>
      </c>
      <c r="Q110" s="4" t="inlineStr">
        <is>
          <t>076 424 3880</t>
        </is>
      </c>
      <c r="R110" s="4" t="inlineStr">
        <is>
          <t>Not identified</t>
        </is>
      </c>
      <c r="S110" s="4" t="inlineStr">
        <is>
          <t>Verified (published on own site, read via search); not the Ogaki company HIMEC (himec jp.com)</t>
        </is>
      </c>
      <c r="T110" s="6">
        <f>SUM(Z110:AF110)</f>
        <v>17</v>
      </c>
      <c r="U110" s="10" t="inlineStr">
        <is>
          <t>V4</t>
        </is>
      </c>
      <c r="V110" s="4" t="inlineStr">
        <is>
          <t>QUALIFY FIRST: animal hospital sales not confirmed in sources. Toyama device dealer.</t>
        </is>
      </c>
      <c r="W110" s="4" t="inlineStr">
        <is>
          <t>Open by asking whether they serve animal hospitals today; if yes, offer a vet line with no overlap to their human ultrasound brands.</t>
        </is>
      </c>
      <c r="X110" s="4" t="inlineStr">
        <is>
          <t>Not checked (human list not in v17)</t>
        </is>
      </c>
      <c r="Y110" s="4" t="inlineStr">
        <is>
          <t>https://baseconnect.in/companies/prefecture/31ffefed-1183-4eba-a6d9-4182a6136e50/keyword/14f3dcec-9cd5-4be5-84e1-ddccb7bd228c ; http://www.kk-himec.co.jp/gaiyo.html</t>
        </is>
      </c>
      <c r="Z110" s="4" t="n">
        <v>2</v>
      </c>
      <c r="AA110" s="4" t="n">
        <v>3</v>
      </c>
      <c r="AB110" s="4" t="n">
        <v>3</v>
      </c>
      <c r="AC110" s="4" t="n">
        <v>2</v>
      </c>
      <c r="AD110" s="4" t="n">
        <v>1</v>
      </c>
      <c r="AE110" s="4" t="n">
        <v>4</v>
      </c>
      <c r="AF110" s="4" t="n">
        <v>2</v>
      </c>
      <c r="AG110" s="11" t="inlineStr">
        <is>
          <t>Qualify first</t>
        </is>
      </c>
    </row>
    <row r="111" ht="75" customHeight="1">
      <c r="A111" s="4" t="n">
        <v>107</v>
      </c>
      <c r="B111" s="4" t="inlineStr">
        <is>
          <t>Hokuriku Bio Co., Ltd.</t>
        </is>
      </c>
      <c r="C111" s="4" t="inlineStr">
        <is>
          <t>北陸バイオ株式会社</t>
        </is>
      </c>
      <c r="D111" s="4" t="inlineStr">
        <is>
          <t>Not found (NTA lookup blocked; dedupe by Japanese name)</t>
        </is>
      </c>
      <c r="E111" s="4" t="inlineStr">
        <is>
          <t>Toyama</t>
        </is>
      </c>
      <c r="F111" s="4" t="inlineStr">
        <is>
          <t>Chubu</t>
        </is>
      </c>
      <c r="G111" s="4" t="inlineStr">
        <is>
          <t>Not found</t>
        </is>
      </c>
      <c r="H111" s="4" t="inlineStr">
        <is>
          <t>Human device sales licences; 動物用 licence not confirmed</t>
        </is>
      </c>
      <c r="I111" s="4" t="inlineStr">
        <is>
          <t>Human multi brand lines (ultrasound brands not confirmed)</t>
        </is>
      </c>
      <c r="J111" s="4" t="inlineStr">
        <is>
          <t>Companion</t>
        </is>
      </c>
      <c r="K111" s="4" t="inlineStr">
        <is>
          <t>Toyama and Ishikawa</t>
        </is>
      </c>
      <c r="L111" s="4" t="inlineStr">
        <is>
          <t>Not found</t>
        </is>
      </c>
      <c r="M111" s="4" t="inlineStr">
        <is>
          <t>n/a</t>
        </is>
      </c>
      <c r="N111" s="4" t="inlineStr">
        <is>
          <t>Not identified</t>
        </is>
      </c>
      <c r="O111" s="4" t="inlineStr">
        <is>
          <t>Not identified</t>
        </is>
      </c>
      <c r="P111" s="4" t="inlineStr">
        <is>
          <t>Not published; phone only</t>
        </is>
      </c>
      <c r="Q111" s="4" t="inlineStr">
        <is>
          <t>076 442 7544</t>
        </is>
      </c>
      <c r="R111" s="4" t="inlineStr">
        <is>
          <t>Not identified</t>
        </is>
      </c>
      <c r="S111" s="4" t="inlineStr">
        <is>
          <t>Company inquiry only (phone)</t>
        </is>
      </c>
      <c r="T111" s="6">
        <f>SUM(Z111:AF111)</f>
        <v>17</v>
      </c>
      <c r="U111" s="10" t="inlineStr">
        <is>
          <t>V4</t>
        </is>
      </c>
      <c r="V111" s="4" t="inlineStr">
        <is>
          <t>QUALIFY FIRST: animal hospital sales not confirmed in sources. Sells and repairs devices for hospitals and practices. FLAG: HQ prefecture inferred from listing.</t>
        </is>
      </c>
      <c r="W111" s="4" t="inlineStr">
        <is>
          <t>Open by asking whether they serve animal hospitals today; if yes, offer a vet line with no overlap to their human ultrasound brands.</t>
        </is>
      </c>
      <c r="X111" s="4" t="inlineStr">
        <is>
          <t>Not checked (human list not in v17)</t>
        </is>
      </c>
      <c r="Y111" s="4" t="inlineStr">
        <is>
          <t>https://baseconnect.in/companies/prefecture/31ffefed-1183-4eba-a6d9-4182a6136e50/keyword/14f3dcec-9cd5-4be5-84e1-ddccb7bd228c</t>
        </is>
      </c>
      <c r="Z111" s="4" t="n">
        <v>2</v>
      </c>
      <c r="AA111" s="4" t="n">
        <v>3</v>
      </c>
      <c r="AB111" s="4" t="n">
        <v>3</v>
      </c>
      <c r="AC111" s="4" t="n">
        <v>2</v>
      </c>
      <c r="AD111" s="4" t="n">
        <v>1</v>
      </c>
      <c r="AE111" s="4" t="n">
        <v>4</v>
      </c>
      <c r="AF111" s="4" t="n">
        <v>2</v>
      </c>
      <c r="AG111" s="11" t="inlineStr">
        <is>
          <t>Qualify first</t>
        </is>
      </c>
    </row>
    <row r="112" ht="75" customHeight="1">
      <c r="A112" s="4" t="n">
        <v>108</v>
      </c>
      <c r="B112" s="4" t="inlineStr">
        <is>
          <t>Inoue Seiki Co., Ltd.</t>
        </is>
      </c>
      <c r="C112" s="4" t="inlineStr">
        <is>
          <t>井上精機株式会社</t>
        </is>
      </c>
      <c r="D112" s="4" t="inlineStr">
        <is>
          <t>Not found (NTA lookup blocked; dedupe by Japanese name)</t>
        </is>
      </c>
      <c r="E112" s="4" t="inlineStr">
        <is>
          <t>Gifu</t>
        </is>
      </c>
      <c r="F112" s="4" t="inlineStr">
        <is>
          <t>Chubu</t>
        </is>
      </c>
      <c r="G112" s="4" t="inlineStr">
        <is>
          <t>Not found</t>
        </is>
      </c>
      <c r="H112" s="4" t="inlineStr">
        <is>
          <t>Human device sales licences; 動物用 licence not confirmed</t>
        </is>
      </c>
      <c r="I112" s="4" t="inlineStr">
        <is>
          <t>Human multi brand lines (ultrasound brands not confirmed)</t>
        </is>
      </c>
      <c r="J112" s="4" t="inlineStr">
        <is>
          <t>Companion</t>
        </is>
      </c>
      <c r="K112" s="4" t="inlineStr">
        <is>
          <t>Gifu</t>
        </is>
      </c>
      <c r="L112" s="4" t="inlineStr">
        <is>
          <t>Not found</t>
        </is>
      </c>
      <c r="M112" s="4" t="inlineStr">
        <is>
          <t>n/a</t>
        </is>
      </c>
      <c r="N112" s="4" t="inlineStr">
        <is>
          <t>Not identified</t>
        </is>
      </c>
      <c r="O112" s="4" t="inlineStr">
        <is>
          <t>Not identified</t>
        </is>
      </c>
      <c r="P112" s="4" t="inlineStr">
        <is>
          <t>Not searched (search budget)</t>
        </is>
      </c>
      <c r="Q112" s="4" t="inlineStr">
        <is>
          <t>Not found (use site)</t>
        </is>
      </c>
      <c r="R112" s="4" t="inlineStr">
        <is>
          <t>Not identified</t>
        </is>
      </c>
      <c r="S112" s="4" t="inlineStr">
        <is>
          <t>Unverified</t>
        </is>
      </c>
      <c r="T112" s="6">
        <f>SUM(Z112:AF112)</f>
        <v>17</v>
      </c>
      <c r="U112" s="10" t="inlineStr">
        <is>
          <t>V4</t>
        </is>
      </c>
      <c r="V112" s="4" t="inlineStr">
        <is>
          <t>QUALIFY FIRST: animal hospital sales not confirmed in sources. Gifu device trading house founded 1933.</t>
        </is>
      </c>
      <c r="W112" s="4" t="inlineStr">
        <is>
          <t>Open by asking whether they serve animal hospitals today; if yes, offer a vet line with no overlap to their human ultrasound brands.</t>
        </is>
      </c>
      <c r="X112" s="4" t="inlineStr">
        <is>
          <t>Not checked (human list not in v17)</t>
        </is>
      </c>
      <c r="Y112" s="4" t="inlineStr">
        <is>
          <t>https://tenshoku.mynavi.jp/company/list/i02090/</t>
        </is>
      </c>
      <c r="Z112" s="4" t="n">
        <v>2</v>
      </c>
      <c r="AA112" s="4" t="n">
        <v>3</v>
      </c>
      <c r="AB112" s="4" t="n">
        <v>3</v>
      </c>
      <c r="AC112" s="4" t="n">
        <v>2</v>
      </c>
      <c r="AD112" s="4" t="n">
        <v>1</v>
      </c>
      <c r="AE112" s="4" t="n">
        <v>4</v>
      </c>
      <c r="AF112" s="4" t="n">
        <v>2</v>
      </c>
      <c r="AG112" s="11" t="inlineStr">
        <is>
          <t>Qualify first</t>
        </is>
      </c>
    </row>
    <row r="113" ht="75" customHeight="1">
      <c r="A113" s="4" t="n">
        <v>109</v>
      </c>
      <c r="B113" s="4" t="inlineStr">
        <is>
          <t>Ito Iryoki Co., Ltd.</t>
        </is>
      </c>
      <c r="C113" s="4" t="inlineStr">
        <is>
          <t>伊藤医療器株式会社</t>
        </is>
      </c>
      <c r="D113" s="4" t="inlineStr">
        <is>
          <t>Not found (NTA lookup blocked; dedupe by Japanese name)</t>
        </is>
      </c>
      <c r="E113" s="4" t="inlineStr">
        <is>
          <t>Fukui</t>
        </is>
      </c>
      <c r="F113" s="4" t="inlineStr">
        <is>
          <t>Chubu</t>
        </is>
      </c>
      <c r="G113" s="4" t="inlineStr">
        <is>
          <t>Not found</t>
        </is>
      </c>
      <c r="H113" s="4" t="inlineStr">
        <is>
          <t>Human device sales licences; 動物用 licence not confirmed</t>
        </is>
      </c>
      <c r="I113" s="4" t="inlineStr">
        <is>
          <t>Human multi brand lines (ultrasound brands not confirmed)</t>
        </is>
      </c>
      <c r="J113" s="4" t="inlineStr">
        <is>
          <t>Companion</t>
        </is>
      </c>
      <c r="K113" s="4" t="inlineStr">
        <is>
          <t>Fukui</t>
        </is>
      </c>
      <c r="L113" s="4" t="inlineStr">
        <is>
          <t>Not found</t>
        </is>
      </c>
      <c r="M113" s="4" t="inlineStr">
        <is>
          <t>n/a</t>
        </is>
      </c>
      <c r="N113" s="4" t="inlineStr">
        <is>
          <t>Not identified</t>
        </is>
      </c>
      <c r="O113" s="4" t="inlineStr">
        <is>
          <t>Not identified</t>
        </is>
      </c>
      <c r="P113" s="4" t="inlineStr">
        <is>
          <t>Not searched (search budget)</t>
        </is>
      </c>
      <c r="Q113" s="4" t="inlineStr">
        <is>
          <t>Not found (use site)</t>
        </is>
      </c>
      <c r="R113" s="4" t="inlineStr">
        <is>
          <t>Not identified</t>
        </is>
      </c>
      <c r="S113" s="4" t="inlineStr">
        <is>
          <t>Unverified</t>
        </is>
      </c>
      <c r="T113" s="6">
        <f>SUM(Z113:AF113)</f>
        <v>17</v>
      </c>
      <c r="U113" s="10" t="inlineStr">
        <is>
          <t>V4</t>
        </is>
      </c>
      <c r="V113" s="4" t="inlineStr">
        <is>
          <t>QUALIFY FIRST: animal hospital sales not confirmed in sources. Fukui device wholesaler.</t>
        </is>
      </c>
      <c r="W113" s="4" t="inlineStr">
        <is>
          <t>Open by asking whether they serve animal hospitals today; if yes, offer a vet line with no overlap to their human ultrasound brands.</t>
        </is>
      </c>
      <c r="X113" s="4" t="inlineStr">
        <is>
          <t>Not checked (human list not in v17)</t>
        </is>
      </c>
      <c r="Y113" s="4" t="inlineStr">
        <is>
          <t>https://baseconnect.in/companies/prefecture/aed784f6-cd06-4f72-95d9-876e82d37385/keyword/89941b4e-2dd1-4848-8957-48af280a31e0</t>
        </is>
      </c>
      <c r="Z113" s="4" t="n">
        <v>2</v>
      </c>
      <c r="AA113" s="4" t="n">
        <v>3</v>
      </c>
      <c r="AB113" s="4" t="n">
        <v>3</v>
      </c>
      <c r="AC113" s="4" t="n">
        <v>2</v>
      </c>
      <c r="AD113" s="4" t="n">
        <v>1</v>
      </c>
      <c r="AE113" s="4" t="n">
        <v>4</v>
      </c>
      <c r="AF113" s="4" t="n">
        <v>2</v>
      </c>
      <c r="AG113" s="11" t="inlineStr">
        <is>
          <t>Qualify first</t>
        </is>
      </c>
    </row>
    <row r="114" ht="75" customHeight="1">
      <c r="A114" s="4" t="n">
        <v>110</v>
      </c>
      <c r="B114" s="4" t="inlineStr">
        <is>
          <t>Knowledge Medical Co., Ltd.</t>
        </is>
      </c>
      <c r="C114" s="4" t="inlineStr">
        <is>
          <t>ナレッジメディカル株式会社</t>
        </is>
      </c>
      <c r="D114" s="4" t="inlineStr">
        <is>
          <t>Not found (NTA lookup blocked; dedupe by Japanese name)</t>
        </is>
      </c>
      <c r="E114" s="4" t="inlineStr">
        <is>
          <t>Ishikawa</t>
        </is>
      </c>
      <c r="F114" s="4" t="inlineStr">
        <is>
          <t>Chubu</t>
        </is>
      </c>
      <c r="G114" s="5" t="inlineStr">
        <is>
          <t>https://www.knowmed.jp/</t>
        </is>
      </c>
      <c r="H114" s="4" t="inlineStr">
        <is>
          <t>Human device sales licences; 動物用 licence not confirmed</t>
        </is>
      </c>
      <c r="I114" s="4" t="inlineStr">
        <is>
          <t>Human multi brand lines (ultrasound brands not confirmed)</t>
        </is>
      </c>
      <c r="J114" s="4" t="inlineStr">
        <is>
          <t>Companion</t>
        </is>
      </c>
      <c r="K114" s="4" t="inlineStr">
        <is>
          <t>Ishikawa and Hokuriku</t>
        </is>
      </c>
      <c r="L114" s="4" t="inlineStr">
        <is>
          <t>Not found</t>
        </is>
      </c>
      <c r="M114" s="4" t="inlineStr">
        <is>
          <t>n/a</t>
        </is>
      </c>
      <c r="N114" s="4" t="inlineStr">
        <is>
          <t>Not identified</t>
        </is>
      </c>
      <c r="O114" s="4" t="inlineStr">
        <is>
          <t>Not identified</t>
        </is>
      </c>
      <c r="P114" s="4" t="inlineStr">
        <is>
          <t>Not published; inquiry form: https://www.knowmed.jp/contact/</t>
        </is>
      </c>
      <c r="Q114" s="4" t="inlineStr">
        <is>
          <t>076 251 5502</t>
        </is>
      </c>
      <c r="R114" s="4" t="inlineStr">
        <is>
          <t>Not identified</t>
        </is>
      </c>
      <c r="S114" s="4" t="inlineStr">
        <is>
          <t>Company inquiry only (form)</t>
        </is>
      </c>
      <c r="T114" s="6">
        <f>SUM(Z114:AF114)</f>
        <v>17</v>
      </c>
      <c r="U114" s="10" t="inlineStr">
        <is>
          <t>V4</t>
        </is>
      </c>
      <c r="V114" s="4" t="inlineStr">
        <is>
          <t>QUALIFY FIRST: animal hospital sales not confirmed in sources. Hokuriku medical device trading company.</t>
        </is>
      </c>
      <c r="W114" s="4" t="inlineStr">
        <is>
          <t>Open by asking whether they serve animal hospitals today; if yes, offer a vet line with no overlap to their human ultrasound brands.</t>
        </is>
      </c>
      <c r="X114" s="4" t="inlineStr">
        <is>
          <t>Not checked (human list not in v17)</t>
        </is>
      </c>
      <c r="Y114" s="4" t="inlineStr">
        <is>
          <t>https://tenshoku.mynavi.jp/company/list/i02090/ ; https://www.knowmed.jp/contact/</t>
        </is>
      </c>
      <c r="Z114" s="4" t="n">
        <v>2</v>
      </c>
      <c r="AA114" s="4" t="n">
        <v>3</v>
      </c>
      <c r="AB114" s="4" t="n">
        <v>3</v>
      </c>
      <c r="AC114" s="4" t="n">
        <v>2</v>
      </c>
      <c r="AD114" s="4" t="n">
        <v>1</v>
      </c>
      <c r="AE114" s="4" t="n">
        <v>4</v>
      </c>
      <c r="AF114" s="4" t="n">
        <v>2</v>
      </c>
      <c r="AG114" s="11" t="inlineStr">
        <is>
          <t>Qualify first</t>
        </is>
      </c>
    </row>
    <row r="115" ht="75" customHeight="1">
      <c r="A115" s="4" t="n">
        <v>111</v>
      </c>
      <c r="B115" s="4" t="inlineStr">
        <is>
          <t>Kyowa Ika Kikai Co., Ltd.</t>
        </is>
      </c>
      <c r="C115" s="4" t="inlineStr">
        <is>
          <t>協和医科器械株式会社</t>
        </is>
      </c>
      <c r="D115" s="4" t="inlineStr">
        <is>
          <t>Not found (NTA lookup blocked; dedupe by Japanese name)</t>
        </is>
      </c>
      <c r="E115" s="4" t="inlineStr">
        <is>
          <t>Shizuoka</t>
        </is>
      </c>
      <c r="F115" s="4" t="inlineStr">
        <is>
          <t>Chubu</t>
        </is>
      </c>
      <c r="G115" s="5" t="inlineStr">
        <is>
          <t>https://www.kyowaika.co.jp</t>
        </is>
      </c>
      <c r="H115" s="4" t="inlineStr">
        <is>
          <t>Human device sales licences; 動物用 licence not confirmed</t>
        </is>
      </c>
      <c r="I115" s="4" t="inlineStr">
        <is>
          <t>Human multi brand lines (ultrasound brands not confirmed)</t>
        </is>
      </c>
      <c r="J115" s="4" t="inlineStr">
        <is>
          <t>Companion</t>
        </is>
      </c>
      <c r="K115" s="4" t="inlineStr">
        <is>
          <t>Shizuoka, Kanagawa, Aichi, Gifu</t>
        </is>
      </c>
      <c r="L115" s="4" t="inlineStr">
        <is>
          <t>Not found</t>
        </is>
      </c>
      <c r="M115" s="4" t="inlineStr">
        <is>
          <t>n/a</t>
        </is>
      </c>
      <c r="N115" s="4" t="inlineStr">
        <is>
          <t>Not identified</t>
        </is>
      </c>
      <c r="O115" s="4" t="inlineStr">
        <is>
          <t>Not identified</t>
        </is>
      </c>
      <c r="P115" s="4" t="inlineStr">
        <is>
          <t>Not published; inquiry form: https://www.kyowaika.co.jp/contact/</t>
        </is>
      </c>
      <c r="Q115" s="4" t="inlineStr">
        <is>
          <t>054 655 6611</t>
        </is>
      </c>
      <c r="R115" s="4" t="inlineStr">
        <is>
          <t>Not identified</t>
        </is>
      </c>
      <c r="S115" s="4" t="inlineStr">
        <is>
          <t>Company inquiry only (form)</t>
        </is>
      </c>
      <c r="T115" s="6">
        <f>SUM(Z115:AF115)</f>
        <v>17</v>
      </c>
      <c r="U115" s="10" t="inlineStr">
        <is>
          <t>V4</t>
        </is>
      </c>
      <c r="V115" s="4" t="inlineStr">
        <is>
          <t>QUALIFY FIRST: animal hospital sales not confirmed in sources. Shizuoka device dealer founded 1959 (Medius group) spanning four prefectures.</t>
        </is>
      </c>
      <c r="W115" s="4" t="inlineStr">
        <is>
          <t>Open by asking whether they serve animal hospitals today; if yes, offer a vet line with no overlap to their human ultrasound brands.</t>
        </is>
      </c>
      <c r="X115" s="4" t="inlineStr">
        <is>
          <t>Not checked (human list not in v17)</t>
        </is>
      </c>
      <c r="Y115" s="4" t="inlineStr">
        <is>
          <t>https://logokit.com/brands/kyowaika.co.jp ; https://batonz.jp/sell_cases/5197 ; https://www.kyowaika.co.jp/contact/</t>
        </is>
      </c>
      <c r="Z115" s="4" t="n">
        <v>2</v>
      </c>
      <c r="AA115" s="4" t="n">
        <v>3</v>
      </c>
      <c r="AB115" s="4" t="n">
        <v>3</v>
      </c>
      <c r="AC115" s="4" t="n">
        <v>2</v>
      </c>
      <c r="AD115" s="4" t="n">
        <v>1</v>
      </c>
      <c r="AE115" s="4" t="n">
        <v>4</v>
      </c>
      <c r="AF115" s="4" t="n">
        <v>2</v>
      </c>
      <c r="AG115" s="11" t="inlineStr">
        <is>
          <t>Qualify first</t>
        </is>
      </c>
    </row>
    <row r="116" ht="75" customHeight="1">
      <c r="A116" s="4" t="n">
        <v>112</v>
      </c>
      <c r="B116" s="4" t="inlineStr">
        <is>
          <t>Medisapo Co., Ltd.</t>
        </is>
      </c>
      <c r="C116" s="4" t="inlineStr">
        <is>
          <t>株式会社メディサポ</t>
        </is>
      </c>
      <c r="D116" s="4" t="inlineStr">
        <is>
          <t>Not found (NTA lookup blocked; dedupe by Japanese name)</t>
        </is>
      </c>
      <c r="E116" s="4" t="inlineStr">
        <is>
          <t>Aichi</t>
        </is>
      </c>
      <c r="F116" s="4" t="inlineStr">
        <is>
          <t>Chubu</t>
        </is>
      </c>
      <c r="G116" s="4" t="inlineStr">
        <is>
          <t>Not found</t>
        </is>
      </c>
      <c r="H116" s="4" t="inlineStr">
        <is>
          <t>Human device sales licences; 動物用 licence not confirmed</t>
        </is>
      </c>
      <c r="I116" s="4" t="inlineStr">
        <is>
          <t>Human multi brand lines (ultrasound brands not confirmed)</t>
        </is>
      </c>
      <c r="J116" s="4" t="inlineStr">
        <is>
          <t>Companion</t>
        </is>
      </c>
      <c r="K116" s="4" t="inlineStr">
        <is>
          <t>Aichi (Agui)</t>
        </is>
      </c>
      <c r="L116" s="4" t="inlineStr">
        <is>
          <t>Not found</t>
        </is>
      </c>
      <c r="M116" s="4" t="inlineStr">
        <is>
          <t>n/a</t>
        </is>
      </c>
      <c r="N116" s="4" t="inlineStr">
        <is>
          <t>Not identified</t>
        </is>
      </c>
      <c r="O116" s="4" t="inlineStr">
        <is>
          <t>Not identified</t>
        </is>
      </c>
      <c r="P116" s="4" t="inlineStr">
        <is>
          <t>Not searched (search budget)</t>
        </is>
      </c>
      <c r="Q116" s="4" t="inlineStr">
        <is>
          <t>Not found (use site)</t>
        </is>
      </c>
      <c r="R116" s="4" t="inlineStr">
        <is>
          <t>Not identified</t>
        </is>
      </c>
      <c r="S116" s="4" t="inlineStr">
        <is>
          <t>Unverified</t>
        </is>
      </c>
      <c r="T116" s="6">
        <f>SUM(Z116:AF116)</f>
        <v>17</v>
      </c>
      <c r="U116" s="10" t="inlineStr">
        <is>
          <t>V4</t>
        </is>
      </c>
      <c r="V116" s="4" t="inlineStr">
        <is>
          <t>QUALIFY FIRST: animal hospital sales not confirmed in sources. Wholesaler of drugs and high control devices.</t>
        </is>
      </c>
      <c r="W116" s="4" t="inlineStr">
        <is>
          <t>Open by asking whether they serve animal hospitals today; if yes, offer a vet line with no overlap to their human ultrasound brands.</t>
        </is>
      </c>
      <c r="X116" s="4" t="inlineStr">
        <is>
          <t>Not checked (human list not in v17)</t>
        </is>
      </c>
      <c r="Y116" s="4" t="inlineStr">
        <is>
          <t>https://baseconnect.in/companies/prefecture/60622468-79bd-4eef-86f8-cb69d1ef09f0/keyword/14f3dcec-9cd5-4be5-84e1-ddccb7bd228c</t>
        </is>
      </c>
      <c r="Z116" s="4" t="n">
        <v>2</v>
      </c>
      <c r="AA116" s="4" t="n">
        <v>3</v>
      </c>
      <c r="AB116" s="4" t="n">
        <v>3</v>
      </c>
      <c r="AC116" s="4" t="n">
        <v>2</v>
      </c>
      <c r="AD116" s="4" t="n">
        <v>1</v>
      </c>
      <c r="AE116" s="4" t="n">
        <v>4</v>
      </c>
      <c r="AF116" s="4" t="n">
        <v>2</v>
      </c>
      <c r="AG116" s="11" t="inlineStr">
        <is>
          <t>Qualify first</t>
        </is>
      </c>
    </row>
    <row r="117" ht="75" customHeight="1">
      <c r="A117" s="4" t="n">
        <v>113</v>
      </c>
      <c r="B117" s="4" t="inlineStr">
        <is>
          <t>Meisho Co., Ltd.</t>
        </is>
      </c>
      <c r="C117" s="4" t="inlineStr">
        <is>
          <t>株式会社明祥</t>
        </is>
      </c>
      <c r="D117" s="4" t="inlineStr">
        <is>
          <t>Not found (NTA lookup blocked; dedupe by Japanese name)</t>
        </is>
      </c>
      <c r="E117" s="4" t="inlineStr">
        <is>
          <t>Ishikawa</t>
        </is>
      </c>
      <c r="F117" s="4" t="inlineStr">
        <is>
          <t>Chubu</t>
        </is>
      </c>
      <c r="G117" s="5" t="inlineStr">
        <is>
          <t>https://www.mshhs.com/</t>
        </is>
      </c>
      <c r="H117" s="4" t="inlineStr">
        <is>
          <t>Human device sales licences; 動物用 licence not confirmed</t>
        </is>
      </c>
      <c r="I117" s="4" t="inlineStr">
        <is>
          <t>Human multi brand lines (ultrasound brands not confirmed)</t>
        </is>
      </c>
      <c r="J117" s="4" t="inlineStr">
        <is>
          <t>Companion</t>
        </is>
      </c>
      <c r="K117" s="4" t="inlineStr">
        <is>
          <t>Ishikawa (Kanazawa)</t>
        </is>
      </c>
      <c r="L117" s="4" t="inlineStr">
        <is>
          <t>Not found</t>
        </is>
      </c>
      <c r="M117" s="4" t="inlineStr">
        <is>
          <t>n/a</t>
        </is>
      </c>
      <c r="N117" s="4" t="inlineStr">
        <is>
          <t>Not identified</t>
        </is>
      </c>
      <c r="O117" s="4" t="inlineStr">
        <is>
          <t>Not identified</t>
        </is>
      </c>
      <c r="P117" s="4" t="inlineStr">
        <is>
          <t>Not published; phone only</t>
        </is>
      </c>
      <c r="Q117" s="4" t="inlineStr">
        <is>
          <t>076 266 4141</t>
        </is>
      </c>
      <c r="R117" s="4" t="inlineStr">
        <is>
          <t>Not identified</t>
        </is>
      </c>
      <c r="S117" s="4" t="inlineStr">
        <is>
          <t>Company inquiry only (phone); Alfresa group</t>
        </is>
      </c>
      <c r="T117" s="6">
        <f>SUM(Z117:AF117)</f>
        <v>17</v>
      </c>
      <c r="U117" s="10" t="inlineStr">
        <is>
          <t>V4</t>
        </is>
      </c>
      <c r="V117" s="4" t="inlineStr">
        <is>
          <t>QUALIFY FIRST: animal hospital sales not confirmed in sources. Kanazawa medical equipment wholesaler.</t>
        </is>
      </c>
      <c r="W117" s="4" t="inlineStr">
        <is>
          <t>Open by asking whether they serve animal hospitals today; if yes, offer a vet line with no overlap to their human ultrasound brands.</t>
        </is>
      </c>
      <c r="X117" s="4" t="inlineStr">
        <is>
          <t>Not checked (human list not in v17)</t>
        </is>
      </c>
      <c r="Y117" s="4" t="inlineStr">
        <is>
          <t>https://baseconnect.in/companies/prefecture/4637ba90-383b-4656-8be1-ca34c7f7244f/keyword/89941b4e-2dd1-4848-8957-48af280a31e0 ; https://www.mshhs.com/profile</t>
        </is>
      </c>
      <c r="Z117" s="4" t="n">
        <v>2</v>
      </c>
      <c r="AA117" s="4" t="n">
        <v>3</v>
      </c>
      <c r="AB117" s="4" t="n">
        <v>3</v>
      </c>
      <c r="AC117" s="4" t="n">
        <v>2</v>
      </c>
      <c r="AD117" s="4" t="n">
        <v>1</v>
      </c>
      <c r="AE117" s="4" t="n">
        <v>4</v>
      </c>
      <c r="AF117" s="4" t="n">
        <v>2</v>
      </c>
      <c r="AG117" s="11" t="inlineStr">
        <is>
          <t>Qualify first</t>
        </is>
      </c>
    </row>
    <row r="118" ht="75" customHeight="1">
      <c r="A118" s="4" t="n">
        <v>114</v>
      </c>
      <c r="B118" s="4" t="inlineStr">
        <is>
          <t>Miwa Kikai Co., Ltd.</t>
        </is>
      </c>
      <c r="C118" s="4" t="inlineStr">
        <is>
          <t>株式会社三輪器械</t>
        </is>
      </c>
      <c r="D118" s="4" t="inlineStr">
        <is>
          <t>Not found (NTA lookup blocked; dedupe by Japanese name)</t>
        </is>
      </c>
      <c r="E118" s="4" t="inlineStr">
        <is>
          <t>Aichi</t>
        </is>
      </c>
      <c r="F118" s="4" t="inlineStr">
        <is>
          <t>Chubu</t>
        </is>
      </c>
      <c r="G118" s="4" t="inlineStr">
        <is>
          <t>Not found</t>
        </is>
      </c>
      <c r="H118" s="4" t="inlineStr">
        <is>
          <t>Human device sales licences; 動物用 licence not confirmed</t>
        </is>
      </c>
      <c r="I118" s="4" t="inlineStr">
        <is>
          <t>Human multi brand lines (ultrasound brands not confirmed)</t>
        </is>
      </c>
      <c r="J118" s="4" t="inlineStr">
        <is>
          <t>Companion</t>
        </is>
      </c>
      <c r="K118" s="4" t="inlineStr">
        <is>
          <t>Tokai</t>
        </is>
      </c>
      <c r="L118" s="4" t="inlineStr">
        <is>
          <t>Not found</t>
        </is>
      </c>
      <c r="M118" s="4" t="inlineStr">
        <is>
          <t>n/a</t>
        </is>
      </c>
      <c r="N118" s="4" t="inlineStr">
        <is>
          <t>Not identified</t>
        </is>
      </c>
      <c r="O118" s="4" t="inlineStr">
        <is>
          <t>Not identified</t>
        </is>
      </c>
      <c r="P118" s="4" t="inlineStr">
        <is>
          <t>Not searched (search budget)</t>
        </is>
      </c>
      <c r="Q118" s="4" t="inlineStr">
        <is>
          <t>Not found (use site)</t>
        </is>
      </c>
      <c r="R118" s="4" t="inlineStr">
        <is>
          <t>Not identified</t>
        </is>
      </c>
      <c r="S118" s="4" t="inlineStr">
        <is>
          <t>Unverified</t>
        </is>
      </c>
      <c r="T118" s="6">
        <f>SUM(Z118:AF118)</f>
        <v>17</v>
      </c>
      <c r="U118" s="10" t="inlineStr">
        <is>
          <t>V4</t>
        </is>
      </c>
      <c r="V118" s="4" t="inlineStr">
        <is>
          <t>QUALIFY FIRST: animal hospital sales not confirmed in sources. Tokai medical trading house strong in endoscopy.</t>
        </is>
      </c>
      <c r="W118" s="4" t="inlineStr">
        <is>
          <t>Open by asking whether they serve animal hospitals today; if yes, offer a vet line with no overlap to their human ultrasound brands.</t>
        </is>
      </c>
      <c r="X118" s="4" t="inlineStr">
        <is>
          <t>Not checked (human list not in v17)</t>
        </is>
      </c>
      <c r="Y118" s="4" t="inlineStr">
        <is>
          <t>https://www.navitime.co.jp/category/0516/23/?tags=010190</t>
        </is>
      </c>
      <c r="Z118" s="4" t="n">
        <v>2</v>
      </c>
      <c r="AA118" s="4" t="n">
        <v>3</v>
      </c>
      <c r="AB118" s="4" t="n">
        <v>3</v>
      </c>
      <c r="AC118" s="4" t="n">
        <v>2</v>
      </c>
      <c r="AD118" s="4" t="n">
        <v>1</v>
      </c>
      <c r="AE118" s="4" t="n">
        <v>4</v>
      </c>
      <c r="AF118" s="4" t="n">
        <v>2</v>
      </c>
      <c r="AG118" s="11" t="inlineStr">
        <is>
          <t>Qualify first</t>
        </is>
      </c>
    </row>
    <row r="119" ht="75" customHeight="1">
      <c r="A119" s="4" t="n">
        <v>115</v>
      </c>
      <c r="B119" s="4" t="inlineStr">
        <is>
          <t>Okano Yakuhin Co., Ltd.</t>
        </is>
      </c>
      <c r="C119" s="4" t="inlineStr">
        <is>
          <t>岡野薬品株式会社</t>
        </is>
      </c>
      <c r="D119" s="4" t="inlineStr">
        <is>
          <t>Not found (NTA lookup blocked; dedupe by Japanese name)</t>
        </is>
      </c>
      <c r="E119" s="4" t="inlineStr">
        <is>
          <t>Nagano</t>
        </is>
      </c>
      <c r="F119" s="4" t="inlineStr">
        <is>
          <t>Chubu</t>
        </is>
      </c>
      <c r="G119" s="4" t="inlineStr">
        <is>
          <t>Not found</t>
        </is>
      </c>
      <c r="H119" s="4" t="inlineStr">
        <is>
          <t>Human device sales licences; 動物用 licence not confirmed</t>
        </is>
      </c>
      <c r="I119" s="4" t="inlineStr">
        <is>
          <t>Human multi brand lines (ultrasound brands not confirmed)</t>
        </is>
      </c>
      <c r="J119" s="4" t="inlineStr">
        <is>
          <t>Companion</t>
        </is>
      </c>
      <c r="K119" s="4" t="inlineStr">
        <is>
          <t>Nagano and Yamanashi</t>
        </is>
      </c>
      <c r="L119" s="4" t="inlineStr">
        <is>
          <t>Not found</t>
        </is>
      </c>
      <c r="M119" s="4" t="inlineStr">
        <is>
          <t>n/a</t>
        </is>
      </c>
      <c r="N119" s="4" t="inlineStr">
        <is>
          <t>Not identified</t>
        </is>
      </c>
      <c r="O119" s="4" t="inlineStr">
        <is>
          <t>Not identified</t>
        </is>
      </c>
      <c r="P119" s="4" t="inlineStr">
        <is>
          <t>Not searched (search budget)</t>
        </is>
      </c>
      <c r="Q119" s="4" t="inlineStr">
        <is>
          <t>Not found (use site)</t>
        </is>
      </c>
      <c r="R119" s="4" t="inlineStr">
        <is>
          <t>Not identified</t>
        </is>
      </c>
      <c r="S119" s="4" t="inlineStr">
        <is>
          <t>Unverified</t>
        </is>
      </c>
      <c r="T119" s="6">
        <f>SUM(Z119:AF119)</f>
        <v>17</v>
      </c>
      <c r="U119" s="10" t="inlineStr">
        <is>
          <t>V4</t>
        </is>
      </c>
      <c r="V119" s="4" t="inlineStr">
        <is>
          <t>QUALIFY FIRST: animal hospital sales not confirmed in sources. Pharma wholesaler to hospitals and pharmacies in Nagano and Yamanashi.</t>
        </is>
      </c>
      <c r="W119" s="4" t="inlineStr">
        <is>
          <t>Open by asking whether they serve animal hospitals today; if yes, offer a vet line with no overlap to their human ultrasound brands.</t>
        </is>
      </c>
      <c r="X119" s="4" t="inlineStr">
        <is>
          <t>Not checked (human list not in v17)</t>
        </is>
      </c>
      <c r="Y119" s="4" t="inlineStr">
        <is>
          <t>https://baseconnect.in/companies/prefecture/47b312cd-84c4-4e89-951a-b56344bc774e/keyword/89941b4e-2dd1-4848-8957-48af280a31e0</t>
        </is>
      </c>
      <c r="Z119" s="4" t="n">
        <v>2</v>
      </c>
      <c r="AA119" s="4" t="n">
        <v>3</v>
      </c>
      <c r="AB119" s="4" t="n">
        <v>3</v>
      </c>
      <c r="AC119" s="4" t="n">
        <v>2</v>
      </c>
      <c r="AD119" s="4" t="n">
        <v>1</v>
      </c>
      <c r="AE119" s="4" t="n">
        <v>4</v>
      </c>
      <c r="AF119" s="4" t="n">
        <v>2</v>
      </c>
      <c r="AG119" s="11" t="inlineStr">
        <is>
          <t>Qualify first</t>
        </is>
      </c>
    </row>
    <row r="120" ht="75" customHeight="1">
      <c r="A120" s="4" t="n">
        <v>116</v>
      </c>
      <c r="B120" s="4" t="inlineStr">
        <is>
          <t>Ono Iryoki Co., Ltd.</t>
        </is>
      </c>
      <c r="C120" s="4" t="inlineStr">
        <is>
          <t>小野医療器株式会社</t>
        </is>
      </c>
      <c r="D120" s="4" t="inlineStr">
        <is>
          <t>Not found (NTA lookup blocked; dedupe by Japanese name)</t>
        </is>
      </c>
      <c r="E120" s="4" t="inlineStr">
        <is>
          <t>Toyama</t>
        </is>
      </c>
      <c r="F120" s="4" t="inlineStr">
        <is>
          <t>Chubu</t>
        </is>
      </c>
      <c r="G120" s="4" t="inlineStr">
        <is>
          <t>Not found</t>
        </is>
      </c>
      <c r="H120" s="4" t="inlineStr">
        <is>
          <t>Human device sales licences; 動物用 licence not confirmed</t>
        </is>
      </c>
      <c r="I120" s="4" t="inlineStr">
        <is>
          <t>Human multi brand lines (ultrasound brands not confirmed)</t>
        </is>
      </c>
      <c r="J120" s="4" t="inlineStr">
        <is>
          <t>Companion</t>
        </is>
      </c>
      <c r="K120" s="4" t="inlineStr">
        <is>
          <t>Toyama (Tonami)</t>
        </is>
      </c>
      <c r="L120" s="4" t="inlineStr">
        <is>
          <t>Not found</t>
        </is>
      </c>
      <c r="M120" s="4" t="inlineStr">
        <is>
          <t>n/a</t>
        </is>
      </c>
      <c r="N120" s="4" t="inlineStr">
        <is>
          <t>Not identified</t>
        </is>
      </c>
      <c r="O120" s="4" t="inlineStr">
        <is>
          <t>Not identified</t>
        </is>
      </c>
      <c r="P120" s="4" t="inlineStr">
        <is>
          <t>Not searched (search budget)</t>
        </is>
      </c>
      <c r="Q120" s="4" t="inlineStr">
        <is>
          <t>Not found (use site)</t>
        </is>
      </c>
      <c r="R120" s="4" t="inlineStr">
        <is>
          <t>Not identified</t>
        </is>
      </c>
      <c r="S120" s="4" t="inlineStr">
        <is>
          <t>Unverified</t>
        </is>
      </c>
      <c r="T120" s="6">
        <f>SUM(Z120:AF120)</f>
        <v>17</v>
      </c>
      <c r="U120" s="10" t="inlineStr">
        <is>
          <t>V4</t>
        </is>
      </c>
      <c r="V120" s="4" t="inlineStr">
        <is>
          <t>QUALIFY FIRST: animal hospital sales not confirmed in sources. Toyama device dealer.</t>
        </is>
      </c>
      <c r="W120" s="4" t="inlineStr">
        <is>
          <t>Open by asking whether they serve animal hospitals today; if yes, offer a vet line with no overlap to their human ultrasound brands.</t>
        </is>
      </c>
      <c r="X120" s="4" t="inlineStr">
        <is>
          <t>Not checked (human list not in v17)</t>
        </is>
      </c>
      <c r="Y120" s="4" t="inlineStr">
        <is>
          <t>https://baseconnect.in/companies/prefecture/31ffefed-1183-4eba-a6d9-4182a6136e50/keyword/14f3dcec-9cd5-4be5-84e1-ddccb7bd228c</t>
        </is>
      </c>
      <c r="Z120" s="4" t="n">
        <v>2</v>
      </c>
      <c r="AA120" s="4" t="n">
        <v>3</v>
      </c>
      <c r="AB120" s="4" t="n">
        <v>3</v>
      </c>
      <c r="AC120" s="4" t="n">
        <v>2</v>
      </c>
      <c r="AD120" s="4" t="n">
        <v>1</v>
      </c>
      <c r="AE120" s="4" t="n">
        <v>4</v>
      </c>
      <c r="AF120" s="4" t="n">
        <v>2</v>
      </c>
      <c r="AG120" s="11" t="inlineStr">
        <is>
          <t>Qualify first</t>
        </is>
      </c>
    </row>
    <row r="121" ht="75" customHeight="1">
      <c r="A121" s="4" t="n">
        <v>117</v>
      </c>
      <c r="B121" s="4" t="inlineStr">
        <is>
          <t>Shiraishi Yakuhin Co., Ltd.</t>
        </is>
      </c>
      <c r="C121" s="4" t="inlineStr">
        <is>
          <t>白石薬品株式会社</t>
        </is>
      </c>
      <c r="D121" s="4" t="inlineStr">
        <is>
          <t>Not found (NTA lookup blocked; dedupe by Japanese name)</t>
        </is>
      </c>
      <c r="E121" s="4" t="inlineStr">
        <is>
          <t>Aichi</t>
        </is>
      </c>
      <c r="F121" s="4" t="inlineStr">
        <is>
          <t>Chubu</t>
        </is>
      </c>
      <c r="G121" s="4" t="inlineStr">
        <is>
          <t>Not found</t>
        </is>
      </c>
      <c r="H121" s="4" t="inlineStr">
        <is>
          <t>Human device sales licences; 動物用 licence not confirmed</t>
        </is>
      </c>
      <c r="I121" s="4" t="inlineStr">
        <is>
          <t>Human multi brand lines (ultrasound brands not confirmed)</t>
        </is>
      </c>
      <c r="J121" s="4" t="inlineStr">
        <is>
          <t>Companion</t>
        </is>
      </c>
      <c r="K121" s="4" t="inlineStr">
        <is>
          <t>Aichi</t>
        </is>
      </c>
      <c r="L121" s="4" t="inlineStr">
        <is>
          <t>Not found</t>
        </is>
      </c>
      <c r="M121" s="4" t="inlineStr">
        <is>
          <t>n/a</t>
        </is>
      </c>
      <c r="N121" s="4" t="inlineStr">
        <is>
          <t>Not identified</t>
        </is>
      </c>
      <c r="O121" s="4" t="inlineStr">
        <is>
          <t>Not identified</t>
        </is>
      </c>
      <c r="P121" s="4" t="inlineStr">
        <is>
          <t>Not searched (search budget)</t>
        </is>
      </c>
      <c r="Q121" s="4" t="inlineStr">
        <is>
          <t>Not found (use site)</t>
        </is>
      </c>
      <c r="R121" s="4" t="inlineStr">
        <is>
          <t>Not identified</t>
        </is>
      </c>
      <c r="S121" s="4" t="inlineStr">
        <is>
          <t>Unverified</t>
        </is>
      </c>
      <c r="T121" s="6">
        <f>SUM(Z121:AF121)</f>
        <v>17</v>
      </c>
      <c r="U121" s="10" t="inlineStr">
        <is>
          <t>V4</t>
        </is>
      </c>
      <c r="V121" s="4" t="inlineStr">
        <is>
          <t>QUALIFY FIRST: animal hospital sales not confirmed in sources. Nagoya area medical device and supplies trader.</t>
        </is>
      </c>
      <c r="W121" s="4" t="inlineStr">
        <is>
          <t>Open by asking whether they serve animal hospitals today; if yes, offer a vet line with no overlap to their human ultrasound brands.</t>
        </is>
      </c>
      <c r="X121" s="4" t="inlineStr">
        <is>
          <t>Not checked (human list not in v17)</t>
        </is>
      </c>
      <c r="Y121" s="4" t="inlineStr">
        <is>
          <t>https://www.navitime.co.jp/category/0516/23/?tags=010190</t>
        </is>
      </c>
      <c r="Z121" s="4" t="n">
        <v>2</v>
      </c>
      <c r="AA121" s="4" t="n">
        <v>3</v>
      </c>
      <c r="AB121" s="4" t="n">
        <v>3</v>
      </c>
      <c r="AC121" s="4" t="n">
        <v>2</v>
      </c>
      <c r="AD121" s="4" t="n">
        <v>1</v>
      </c>
      <c r="AE121" s="4" t="n">
        <v>4</v>
      </c>
      <c r="AF121" s="4" t="n">
        <v>2</v>
      </c>
      <c r="AG121" s="11" t="inlineStr">
        <is>
          <t>Qualify first</t>
        </is>
      </c>
    </row>
    <row r="122" ht="75" customHeight="1">
      <c r="A122" s="4" t="n">
        <v>118</v>
      </c>
      <c r="B122" s="4" t="inlineStr">
        <is>
          <t>Shizuoka Ika Kikai Co., Ltd.</t>
        </is>
      </c>
      <c r="C122" s="4" t="inlineStr">
        <is>
          <t>株式会社静岡医科器械</t>
        </is>
      </c>
      <c r="D122" s="4" t="inlineStr">
        <is>
          <t>Not found (NTA lookup blocked; dedupe by Japanese name)</t>
        </is>
      </c>
      <c r="E122" s="4" t="inlineStr">
        <is>
          <t>Shizuoka</t>
        </is>
      </c>
      <c r="F122" s="4" t="inlineStr">
        <is>
          <t>Chubu</t>
        </is>
      </c>
      <c r="G122" s="5" t="inlineStr">
        <is>
          <t>http://www.shizuokaika.co.jp/</t>
        </is>
      </c>
      <c r="H122" s="4" t="inlineStr">
        <is>
          <t>Human device sales licences; 動物用 licence not confirmed</t>
        </is>
      </c>
      <c r="I122" s="4" t="inlineStr">
        <is>
          <t>Human multi brand lines (ultrasound brands not confirmed)</t>
        </is>
      </c>
      <c r="J122" s="4" t="inlineStr">
        <is>
          <t>Companion</t>
        </is>
      </c>
      <c r="K122" s="4" t="inlineStr">
        <is>
          <t>Shizuoka</t>
        </is>
      </c>
      <c r="L122" s="4" t="inlineStr">
        <is>
          <t>Not found</t>
        </is>
      </c>
      <c r="M122" s="4" t="inlineStr">
        <is>
          <t>n/a</t>
        </is>
      </c>
      <c r="N122" s="4" t="inlineStr">
        <is>
          <t>Not identified</t>
        </is>
      </c>
      <c r="O122" s="4" t="inlineStr">
        <is>
          <t>Not identified</t>
        </is>
      </c>
      <c r="P122" s="4" t="inlineStr">
        <is>
          <t>Not published; phone only</t>
        </is>
      </c>
      <c r="Q122" s="4" t="inlineStr">
        <is>
          <t>054 257 0403</t>
        </is>
      </c>
      <c r="R122" s="4" t="inlineStr">
        <is>
          <t>Not identified</t>
        </is>
      </c>
      <c r="S122" s="4" t="inlineStr">
        <is>
          <t>Company inquiry only (phone)</t>
        </is>
      </c>
      <c r="T122" s="6">
        <f>SUM(Z122:AF122)</f>
        <v>17</v>
      </c>
      <c r="U122" s="10" t="inlineStr">
        <is>
          <t>V4</t>
        </is>
      </c>
      <c r="V122" s="4" t="inlineStr">
        <is>
          <t>QUALIFY FIRST: animal hospital sales not confirmed in sources. General devices, dialysis and consumables.</t>
        </is>
      </c>
      <c r="W122" s="4" t="inlineStr">
        <is>
          <t>Open by asking whether they serve animal hospitals today; if yes, offer a vet line with no overlap to their human ultrasound brands.</t>
        </is>
      </c>
      <c r="X122" s="4" t="inlineStr">
        <is>
          <t>Not checked (human list not in v17)</t>
        </is>
      </c>
      <c r="Y122" s="4" t="inlineStr">
        <is>
          <t>http://www.shizuokaika.co.jp/</t>
        </is>
      </c>
      <c r="Z122" s="4" t="n">
        <v>2</v>
      </c>
      <c r="AA122" s="4" t="n">
        <v>3</v>
      </c>
      <c r="AB122" s="4" t="n">
        <v>3</v>
      </c>
      <c r="AC122" s="4" t="n">
        <v>2</v>
      </c>
      <c r="AD122" s="4" t="n">
        <v>1</v>
      </c>
      <c r="AE122" s="4" t="n">
        <v>4</v>
      </c>
      <c r="AF122" s="4" t="n">
        <v>2</v>
      </c>
      <c r="AG122" s="11" t="inlineStr">
        <is>
          <t>Qualify first</t>
        </is>
      </c>
    </row>
    <row r="123" ht="75" customHeight="1">
      <c r="A123" s="4" t="n">
        <v>119</v>
      </c>
      <c r="B123" s="4" t="inlineStr">
        <is>
          <t>Suzuken Co., Ltd.</t>
        </is>
      </c>
      <c r="C123" s="4" t="inlineStr">
        <is>
          <t>株式会社スズケン</t>
        </is>
      </c>
      <c r="D123" s="4" t="inlineStr">
        <is>
          <t>Not found (NTA lookup blocked; dedupe by Japanese name)</t>
        </is>
      </c>
      <c r="E123" s="4" t="inlineStr">
        <is>
          <t>Aichi</t>
        </is>
      </c>
      <c r="F123" s="4" t="inlineStr">
        <is>
          <t>Chubu</t>
        </is>
      </c>
      <c r="G123" s="4" t="inlineStr">
        <is>
          <t>Not found</t>
        </is>
      </c>
      <c r="H123" s="4" t="inlineStr">
        <is>
          <t>Human device sales licences; 動物用 licence not confirmed</t>
        </is>
      </c>
      <c r="I123" s="4" t="inlineStr">
        <is>
          <t>Human multi brand lines (ultrasound brands not confirmed)</t>
        </is>
      </c>
      <c r="J123" s="4" t="inlineStr">
        <is>
          <t>Companion</t>
        </is>
      </c>
      <c r="K123" s="4" t="inlineStr">
        <is>
          <t>National</t>
        </is>
      </c>
      <c r="L123" s="4" t="inlineStr">
        <is>
          <t>Large</t>
        </is>
      </c>
      <c r="M123" s="4" t="inlineStr">
        <is>
          <t>n/a</t>
        </is>
      </c>
      <c r="N123" s="4" t="inlineStr">
        <is>
          <t>Not identified</t>
        </is>
      </c>
      <c r="O123" s="4" t="inlineStr">
        <is>
          <t>Not identified</t>
        </is>
      </c>
      <c r="P123" s="4" t="inlineStr">
        <is>
          <t>Not searched (search budget)</t>
        </is>
      </c>
      <c r="Q123" s="4" t="inlineStr">
        <is>
          <t>Not found (use site)</t>
        </is>
      </c>
      <c r="R123" s="4" t="inlineStr">
        <is>
          <t>Not identified</t>
        </is>
      </c>
      <c r="S123" s="4" t="inlineStr">
        <is>
          <t>Unverified</t>
        </is>
      </c>
      <c r="T123" s="6">
        <f>SUM(Z123:AF123)</f>
        <v>17</v>
      </c>
      <c r="U123" s="10" t="inlineStr">
        <is>
          <t>V4</t>
        </is>
      </c>
      <c r="V123" s="4" t="inlineStr">
        <is>
          <t>QUALIFY FIRST: animal hospital sales not confirmed in sources. Major pharma and device wholesaler (Nagoya HQ) with branches nationwide.</t>
        </is>
      </c>
      <c r="W123" s="4" t="inlineStr">
        <is>
          <t>Open by asking whether they serve animal hospitals today; if yes, offer a vet line with no overlap to their human ultrasound brands.</t>
        </is>
      </c>
      <c r="X123" s="4" t="inlineStr">
        <is>
          <t>Not checked (human list not in v17)</t>
        </is>
      </c>
      <c r="Y123" s="4" t="inlineStr">
        <is>
          <t>https://www.navitime.co.jp/category/0516/28110/?tags=010447</t>
        </is>
      </c>
      <c r="Z123" s="4" t="n">
        <v>2</v>
      </c>
      <c r="AA123" s="4" t="n">
        <v>3</v>
      </c>
      <c r="AB123" s="4" t="n">
        <v>3</v>
      </c>
      <c r="AC123" s="4" t="n">
        <v>2</v>
      </c>
      <c r="AD123" s="4" t="n">
        <v>1</v>
      </c>
      <c r="AE123" s="4" t="n">
        <v>4</v>
      </c>
      <c r="AF123" s="4" t="n">
        <v>2</v>
      </c>
      <c r="AG123" s="11" t="inlineStr">
        <is>
          <t>Qualify first</t>
        </is>
      </c>
    </row>
    <row r="124" ht="75" customHeight="1">
      <c r="A124" s="4" t="n">
        <v>120</v>
      </c>
      <c r="B124" s="4" t="inlineStr">
        <is>
          <t>Tomei Tosmec Co., Ltd.</t>
        </is>
      </c>
      <c r="C124" s="4" t="inlineStr">
        <is>
          <t>東名トスメック株式会社</t>
        </is>
      </c>
      <c r="D124" s="4" t="inlineStr">
        <is>
          <t>Not found (NTA lookup blocked; dedupe by Japanese name)</t>
        </is>
      </c>
      <c r="E124" s="4" t="inlineStr">
        <is>
          <t>Aichi</t>
        </is>
      </c>
      <c r="F124" s="4" t="inlineStr">
        <is>
          <t>Chubu</t>
        </is>
      </c>
      <c r="G124" s="5" t="inlineStr">
        <is>
          <t>https://www.t-t-m.co.jp/TTM_WEB/</t>
        </is>
      </c>
      <c r="H124" s="4" t="inlineStr">
        <is>
          <t>Human device sales licences; 動物用 licence not confirmed</t>
        </is>
      </c>
      <c r="I124" s="4" t="inlineStr">
        <is>
          <t>Human multi brand lines (ultrasound brands not confirmed)</t>
        </is>
      </c>
      <c r="J124" s="4" t="inlineStr">
        <is>
          <t>Companion</t>
        </is>
      </c>
      <c r="K124" s="4" t="inlineStr">
        <is>
          <t>Aichi</t>
        </is>
      </c>
      <c r="L124" s="4" t="inlineStr">
        <is>
          <t>Not found</t>
        </is>
      </c>
      <c r="M124" s="4" t="inlineStr">
        <is>
          <t>n/a</t>
        </is>
      </c>
      <c r="N124" s="4" t="inlineStr">
        <is>
          <t>Not identified</t>
        </is>
      </c>
      <c r="O124" s="4" t="inlineStr">
        <is>
          <t>Not identified</t>
        </is>
      </c>
      <c r="P124" s="4" t="inlineStr">
        <is>
          <t>Not published; inquiry form: https://www.t-t-m.co.jp/TTM_WEB/profile</t>
        </is>
      </c>
      <c r="Q124" s="4" t="inlineStr">
        <is>
          <t>052 733 2588</t>
        </is>
      </c>
      <c r="R124" s="4" t="inlineStr">
        <is>
          <t>Not identified</t>
        </is>
      </c>
      <c r="S124" s="4" t="inlineStr">
        <is>
          <t>Company inquiry only (form)</t>
        </is>
      </c>
      <c r="T124" s="6">
        <f>SUM(Z124:AF124)</f>
        <v>17</v>
      </c>
      <c r="U124" s="10" t="inlineStr">
        <is>
          <t>V4</t>
        </is>
      </c>
      <c r="V124" s="4" t="inlineStr">
        <is>
          <t>QUALIFY FIRST: animal hospital sales not confirmed in sources. Nagoya area device trading house.</t>
        </is>
      </c>
      <c r="W124" s="4" t="inlineStr">
        <is>
          <t>Open by asking whether they serve animal hospitals today; if yes, offer a vet line with no overlap to their human ultrasound brands.</t>
        </is>
      </c>
      <c r="X124" s="4" t="inlineStr">
        <is>
          <t>Not checked (human list not in v17)</t>
        </is>
      </c>
      <c r="Y124" s="4" t="inlineStr">
        <is>
          <t>https://www.navitime.co.jp/category/0516/23/?tags=010190 ; https://www.t-t-m.co.jp/TTM_WEB/profile</t>
        </is>
      </c>
      <c r="Z124" s="4" t="n">
        <v>2</v>
      </c>
      <c r="AA124" s="4" t="n">
        <v>3</v>
      </c>
      <c r="AB124" s="4" t="n">
        <v>3</v>
      </c>
      <c r="AC124" s="4" t="n">
        <v>2</v>
      </c>
      <c r="AD124" s="4" t="n">
        <v>1</v>
      </c>
      <c r="AE124" s="4" t="n">
        <v>4</v>
      </c>
      <c r="AF124" s="4" t="n">
        <v>2</v>
      </c>
      <c r="AG124" s="11" t="inlineStr">
        <is>
          <t>Qualify first</t>
        </is>
      </c>
    </row>
    <row r="125" ht="75" customHeight="1">
      <c r="A125" s="4" t="n">
        <v>121</v>
      </c>
      <c r="B125" s="4" t="inlineStr">
        <is>
          <t>Touzai Iyoki Co., Ltd.</t>
        </is>
      </c>
      <c r="C125" s="4" t="inlineStr">
        <is>
          <t>東西医用器株式会社</t>
        </is>
      </c>
      <c r="D125" s="4" t="inlineStr">
        <is>
          <t>Not found (NTA lookup blocked; dedupe by Japanese name)</t>
        </is>
      </c>
      <c r="E125" s="4" t="inlineStr">
        <is>
          <t>Shizuoka</t>
        </is>
      </c>
      <c r="F125" s="4" t="inlineStr">
        <is>
          <t>Chubu</t>
        </is>
      </c>
      <c r="G125" s="5" t="inlineStr">
        <is>
          <t>https://touzai-iyouki.com/</t>
        </is>
      </c>
      <c r="H125" s="4" t="inlineStr">
        <is>
          <t>Human device sales licences; 動物用 licence not confirmed</t>
        </is>
      </c>
      <c r="I125" s="4" t="inlineStr">
        <is>
          <t>Human multi brand lines (ultrasound brands not confirmed)</t>
        </is>
      </c>
      <c r="J125" s="4" t="inlineStr">
        <is>
          <t>Companion</t>
        </is>
      </c>
      <c r="K125" s="4" t="inlineStr">
        <is>
          <t>Shizuoka, Hamamatsu, Fuji, Numazu</t>
        </is>
      </c>
      <c r="L125" s="4" t="inlineStr">
        <is>
          <t>Not found</t>
        </is>
      </c>
      <c r="M125" s="4" t="inlineStr">
        <is>
          <t>n/a</t>
        </is>
      </c>
      <c r="N125" s="4" t="inlineStr">
        <is>
          <t>Not identified</t>
        </is>
      </c>
      <c r="O125" s="4" t="inlineStr">
        <is>
          <t>Not identified</t>
        </is>
      </c>
      <c r="P125" s="4" t="inlineStr">
        <is>
          <t>Not published; phone only</t>
        </is>
      </c>
      <c r="Q125" s="4" t="inlineStr">
        <is>
          <t>054 245 5746</t>
        </is>
      </c>
      <c r="R125" s="4" t="inlineStr">
        <is>
          <t>Not identified</t>
        </is>
      </c>
      <c r="S125" s="4" t="inlineStr">
        <is>
          <t>Company inquiry only (phone)</t>
        </is>
      </c>
      <c r="T125" s="6">
        <f>SUM(Z125:AF125)</f>
        <v>17</v>
      </c>
      <c r="U125" s="10" t="inlineStr">
        <is>
          <t>V4</t>
        </is>
      </c>
      <c r="V125" s="4" t="inlineStr">
        <is>
          <t>QUALIFY FIRST: animal hospital sales not confirmed in sources. Shizuoka device trading house.</t>
        </is>
      </c>
      <c r="W125" s="4" t="inlineStr">
        <is>
          <t>Open by asking whether they serve animal hospitals today; if yes, offer a vet line with no overlap to their human ultrasound brands.</t>
        </is>
      </c>
      <c r="X125" s="4" t="inlineStr">
        <is>
          <t>Not checked (human list not in v17)</t>
        </is>
      </c>
      <c r="Y125" s="4" t="inlineStr">
        <is>
          <t>https://touzai-iyouki.com/</t>
        </is>
      </c>
      <c r="Z125" s="4" t="n">
        <v>2</v>
      </c>
      <c r="AA125" s="4" t="n">
        <v>3</v>
      </c>
      <c r="AB125" s="4" t="n">
        <v>3</v>
      </c>
      <c r="AC125" s="4" t="n">
        <v>2</v>
      </c>
      <c r="AD125" s="4" t="n">
        <v>1</v>
      </c>
      <c r="AE125" s="4" t="n">
        <v>4</v>
      </c>
      <c r="AF125" s="4" t="n">
        <v>2</v>
      </c>
      <c r="AG125" s="11" t="inlineStr">
        <is>
          <t>Qualify first</t>
        </is>
      </c>
    </row>
    <row r="126" ht="75" customHeight="1">
      <c r="A126" s="4" t="n">
        <v>122</v>
      </c>
      <c r="B126" s="4" t="inlineStr">
        <is>
          <t>Withmedic Co., Ltd.</t>
        </is>
      </c>
      <c r="C126" s="4" t="inlineStr">
        <is>
          <t>ウィズメディック株式会社</t>
        </is>
      </c>
      <c r="D126" s="4" t="inlineStr">
        <is>
          <t>Not found (NTA lookup blocked; dedupe by Japanese name)</t>
        </is>
      </c>
      <c r="E126" s="4" t="inlineStr">
        <is>
          <t>Aichi</t>
        </is>
      </c>
      <c r="F126" s="4" t="inlineStr">
        <is>
          <t>Chubu</t>
        </is>
      </c>
      <c r="G126" s="4" t="inlineStr">
        <is>
          <t>Not found</t>
        </is>
      </c>
      <c r="H126" s="4" t="inlineStr">
        <is>
          <t>Human device sales licences; 動物用 licence not confirmed</t>
        </is>
      </c>
      <c r="I126" s="4" t="inlineStr">
        <is>
          <t>Human multi brand lines (ultrasound brands not confirmed)</t>
        </is>
      </c>
      <c r="J126" s="4" t="inlineStr">
        <is>
          <t>Companion</t>
        </is>
      </c>
      <c r="K126" s="4" t="inlineStr">
        <is>
          <t>Aichi (Ichinomiya)</t>
        </is>
      </c>
      <c r="L126" s="4" t="inlineStr">
        <is>
          <t>Not found</t>
        </is>
      </c>
      <c r="M126" s="4" t="inlineStr">
        <is>
          <t>n/a</t>
        </is>
      </c>
      <c r="N126" s="4" t="inlineStr">
        <is>
          <t>Not identified</t>
        </is>
      </c>
      <c r="O126" s="4" t="inlineStr">
        <is>
          <t>Not identified</t>
        </is>
      </c>
      <c r="P126" s="4" t="inlineStr">
        <is>
          <t>Not searched (search budget)</t>
        </is>
      </c>
      <c r="Q126" s="4" t="inlineStr">
        <is>
          <t>Not found (use site)</t>
        </is>
      </c>
      <c r="R126" s="4" t="inlineStr">
        <is>
          <t>Not identified</t>
        </is>
      </c>
      <c r="S126" s="4" t="inlineStr">
        <is>
          <t>Unverified</t>
        </is>
      </c>
      <c r="T126" s="6">
        <f>SUM(Z126:AF126)</f>
        <v>17</v>
      </c>
      <c r="U126" s="10" t="inlineStr">
        <is>
          <t>V4</t>
        </is>
      </c>
      <c r="V126" s="4" t="inlineStr">
        <is>
          <t>QUALIFY FIRST: animal hospital sales not confirmed in sources. Orthopaedic and cardiology device wholesaler.</t>
        </is>
      </c>
      <c r="W126" s="4" t="inlineStr">
        <is>
          <t>Open by asking whether they serve animal hospitals today; if yes, offer a vet line with no overlap to their human ultrasound brands.</t>
        </is>
      </c>
      <c r="X126" s="4" t="inlineStr">
        <is>
          <t>Not checked (human list not in v17)</t>
        </is>
      </c>
      <c r="Y126" s="4" t="inlineStr">
        <is>
          <t>https://baseconnect.in/companies/prefecture/60622468-79bd-4eef-86f8-cb69d1ef09f0/keyword/14f3dcec-9cd5-4be5-84e1-ddccb7bd228c</t>
        </is>
      </c>
      <c r="Z126" s="4" t="n">
        <v>2</v>
      </c>
      <c r="AA126" s="4" t="n">
        <v>3</v>
      </c>
      <c r="AB126" s="4" t="n">
        <v>3</v>
      </c>
      <c r="AC126" s="4" t="n">
        <v>2</v>
      </c>
      <c r="AD126" s="4" t="n">
        <v>1</v>
      </c>
      <c r="AE126" s="4" t="n">
        <v>4</v>
      </c>
      <c r="AF126" s="4" t="n">
        <v>2</v>
      </c>
      <c r="AG126" s="11" t="inlineStr">
        <is>
          <t>Qualify first</t>
        </is>
      </c>
    </row>
    <row r="127" ht="75" customHeight="1">
      <c r="A127" s="4" t="n">
        <v>123</v>
      </c>
      <c r="B127" s="4" t="inlineStr">
        <is>
          <t>Yagami Inc.</t>
        </is>
      </c>
      <c r="C127" s="4" t="inlineStr">
        <is>
          <t>株式会社八神製作所</t>
        </is>
      </c>
      <c r="D127" s="4" t="inlineStr">
        <is>
          <t>Not found (NTA lookup blocked; dedupe by Japanese name)</t>
        </is>
      </c>
      <c r="E127" s="4" t="inlineStr">
        <is>
          <t>Aichi</t>
        </is>
      </c>
      <c r="F127" s="4" t="inlineStr">
        <is>
          <t>Chubu</t>
        </is>
      </c>
      <c r="G127" s="5" t="inlineStr">
        <is>
          <t>https://www.yagami.co.jp/</t>
        </is>
      </c>
      <c r="H127" s="4" t="inlineStr">
        <is>
          <t>Human device sales licences; 動物用 licence not confirmed</t>
        </is>
      </c>
      <c r="I127" s="4" t="inlineStr">
        <is>
          <t>Human multi brand lines (ultrasound brands not confirmed)</t>
        </is>
      </c>
      <c r="J127" s="4" t="inlineStr">
        <is>
          <t>Companion</t>
        </is>
      </c>
      <c r="K127" s="4" t="inlineStr">
        <is>
          <t>Tokai</t>
        </is>
      </c>
      <c r="L127" s="4" t="inlineStr">
        <is>
          <t>Second largest dealer by sales (Arrows column)</t>
        </is>
      </c>
      <c r="M127" s="4" t="inlineStr">
        <is>
          <t>n/a</t>
        </is>
      </c>
      <c r="N127" s="4" t="inlineStr">
        <is>
          <t>Not identified</t>
        </is>
      </c>
      <c r="O127" s="4" t="inlineStr">
        <is>
          <t>Not identified</t>
        </is>
      </c>
      <c r="P127" s="4" t="inlineStr">
        <is>
          <t>Not published; inquiry form: https://www.yagami.co.jp/company/profile/</t>
        </is>
      </c>
      <c r="Q127" s="4" t="inlineStr">
        <is>
          <t>052 251 6671</t>
        </is>
      </c>
      <c r="R127" s="4" t="inlineStr">
        <is>
          <t>Not identified</t>
        </is>
      </c>
      <c r="S127" s="4" t="inlineStr">
        <is>
          <t>Company inquiry only (form)</t>
        </is>
      </c>
      <c r="T127" s="6">
        <f>SUM(Z127:AF127)</f>
        <v>17</v>
      </c>
      <c r="U127" s="10" t="inlineStr">
        <is>
          <t>V4</t>
        </is>
      </c>
      <c r="V127" s="4" t="inlineStr">
        <is>
          <t>QUALIFY FIRST: animal hospital sales not confirmed in sources. Nagoya device trading house founded 1945 with maintenance and rental; second largest dealer by sales.</t>
        </is>
      </c>
      <c r="W127" s="4" t="inlineStr">
        <is>
          <t>Open by asking whether they serve animal hospitals today; if yes, offer a vet line with no overlap to their human ultrasound brands.</t>
        </is>
      </c>
      <c r="X127" s="4" t="inlineStr">
        <is>
          <t>Not checked (human list not in v17)</t>
        </is>
      </c>
      <c r="Y127" s="4" t="inlineStr">
        <is>
          <t>https://note.com/arrows_column/n/nd4fd35a1d8b1 ; https://mynavi-agent.jp/corpdetail/12476/ ; https://www.yagami.co.jp/company/profile/</t>
        </is>
      </c>
      <c r="Z127" s="4" t="n">
        <v>2</v>
      </c>
      <c r="AA127" s="4" t="n">
        <v>3</v>
      </c>
      <c r="AB127" s="4" t="n">
        <v>3</v>
      </c>
      <c r="AC127" s="4" t="n">
        <v>2</v>
      </c>
      <c r="AD127" s="4" t="n">
        <v>1</v>
      </c>
      <c r="AE127" s="4" t="n">
        <v>4</v>
      </c>
      <c r="AF127" s="4" t="n">
        <v>2</v>
      </c>
      <c r="AG127" s="11" t="inlineStr">
        <is>
          <t>Qualify first</t>
        </is>
      </c>
    </row>
    <row r="128" ht="75" customHeight="1">
      <c r="A128" s="4" t="n">
        <v>124</v>
      </c>
      <c r="B128" s="4" t="inlineStr">
        <is>
          <t>Astis Co., Ltd.</t>
        </is>
      </c>
      <c r="C128" s="4" t="inlineStr">
        <is>
          <t>株式会社アスティス</t>
        </is>
      </c>
      <c r="D128" s="4" t="inlineStr">
        <is>
          <t>Not found (NTA lookup blocked; dedupe by Japanese name)</t>
        </is>
      </c>
      <c r="E128" s="4" t="inlineStr">
        <is>
          <t>Ehime</t>
        </is>
      </c>
      <c r="F128" s="4" t="inlineStr">
        <is>
          <t>Chugoku and Shikoku</t>
        </is>
      </c>
      <c r="G128" s="5" t="inlineStr">
        <is>
          <t>https://astis.co.jp/</t>
        </is>
      </c>
      <c r="H128" s="4" t="inlineStr">
        <is>
          <t>Human device sales licences; 動物用 licence not confirmed</t>
        </is>
      </c>
      <c r="I128" s="4" t="inlineStr">
        <is>
          <t>Human multi brand lines (ultrasound brands not confirmed)</t>
        </is>
      </c>
      <c r="J128" s="4" t="inlineStr">
        <is>
          <t>Companion</t>
        </is>
      </c>
      <c r="K128" s="4" t="inlineStr">
        <is>
          <t>All four Shikoku prefectures</t>
        </is>
      </c>
      <c r="L128" s="4" t="inlineStr">
        <is>
          <t>Not found</t>
        </is>
      </c>
      <c r="M128" s="4" t="inlineStr">
        <is>
          <t>n/a</t>
        </is>
      </c>
      <c r="N128" s="4" t="inlineStr">
        <is>
          <t>Not identified</t>
        </is>
      </c>
      <c r="O128" s="4" t="inlineStr">
        <is>
          <t>Not identified</t>
        </is>
      </c>
      <c r="P128" s="4" t="inlineStr">
        <is>
          <t>Not published; inquiry form: https://astis.co.jp/about/office/</t>
        </is>
      </c>
      <c r="Q128" s="4" t="inlineStr">
        <is>
          <t>089 960 9001</t>
        </is>
      </c>
      <c r="R128" s="4" t="inlineStr">
        <is>
          <t>Not identified</t>
        </is>
      </c>
      <c r="S128" s="4" t="inlineStr">
        <is>
          <t>Company inquiry only (form)</t>
        </is>
      </c>
      <c r="T128" s="6">
        <f>SUM(Z128:AF128)</f>
        <v>17</v>
      </c>
      <c r="U128" s="10" t="inlineStr">
        <is>
          <t>V4</t>
        </is>
      </c>
      <c r="V128" s="4" t="inlineStr">
        <is>
          <t>QUALIFY FIRST: animal hospital sales not confirmed in sources. Matsuyama pharma and device wholesaler with clinic opening support.</t>
        </is>
      </c>
      <c r="W128" s="4" t="inlineStr">
        <is>
          <t>Open by asking whether they serve animal hospitals today; if yes, offer a vet line with no overlap to their human ultrasound brands.</t>
        </is>
      </c>
      <c r="X128" s="4" t="inlineStr">
        <is>
          <t>Not checked (human list not in v17)</t>
        </is>
      </c>
      <c r="Y128" s="4" t="inlineStr">
        <is>
          <t>https://astis.co.jp/ ; https://astis.co.jp/about/office/</t>
        </is>
      </c>
      <c r="Z128" s="4" t="n">
        <v>2</v>
      </c>
      <c r="AA128" s="4" t="n">
        <v>3</v>
      </c>
      <c r="AB128" s="4" t="n">
        <v>3</v>
      </c>
      <c r="AC128" s="4" t="n">
        <v>2</v>
      </c>
      <c r="AD128" s="4" t="n">
        <v>1</v>
      </c>
      <c r="AE128" s="4" t="n">
        <v>4</v>
      </c>
      <c r="AF128" s="4" t="n">
        <v>2</v>
      </c>
      <c r="AG128" s="11" t="inlineStr">
        <is>
          <t>Qualify first</t>
        </is>
      </c>
    </row>
    <row r="129" ht="75" customHeight="1">
      <c r="A129" s="4" t="n">
        <v>125</v>
      </c>
      <c r="B129" s="4" t="inlineStr">
        <is>
          <t>Eiko Co., Ltd.</t>
        </is>
      </c>
      <c r="C129" s="4" t="inlineStr">
        <is>
          <t>株式会社栄弘</t>
        </is>
      </c>
      <c r="D129" s="4" t="inlineStr">
        <is>
          <t>Not found (NTA lookup blocked; dedupe by Japanese name)</t>
        </is>
      </c>
      <c r="E129" s="4" t="inlineStr">
        <is>
          <t>Tokushima</t>
        </is>
      </c>
      <c r="F129" s="4" t="inlineStr">
        <is>
          <t>Chugoku and Shikoku</t>
        </is>
      </c>
      <c r="G129" s="5" t="inlineStr">
        <is>
          <t>https://eiko165.co.jp/</t>
        </is>
      </c>
      <c r="H129" s="4" t="inlineStr">
        <is>
          <t>Human device sales licences; 動物用 licence not confirmed</t>
        </is>
      </c>
      <c r="I129" s="4" t="inlineStr">
        <is>
          <t>Human multi brand lines (ultrasound brands not confirmed)</t>
        </is>
      </c>
      <c r="J129" s="4" t="inlineStr">
        <is>
          <t>Companion</t>
        </is>
      </c>
      <c r="K129" s="4" t="inlineStr">
        <is>
          <t>Tokushima, Kagawa, Awaji</t>
        </is>
      </c>
      <c r="L129" s="4" t="inlineStr">
        <is>
          <t>Not found</t>
        </is>
      </c>
      <c r="M129" s="4" t="inlineStr">
        <is>
          <t>n/a</t>
        </is>
      </c>
      <c r="N129" s="4" t="inlineStr">
        <is>
          <t>Not identified</t>
        </is>
      </c>
      <c r="O129" s="4" t="inlineStr">
        <is>
          <t>Not identified</t>
        </is>
      </c>
      <c r="P129" s="4" t="inlineStr">
        <is>
          <t>Not published; inquiry form: https://eiko165.co.jp/contact</t>
        </is>
      </c>
      <c r="Q129" s="4" t="inlineStr">
        <is>
          <t>088 625 1715</t>
        </is>
      </c>
      <c r="R129" s="4" t="inlineStr">
        <is>
          <t>Not identified</t>
        </is>
      </c>
      <c r="S129" s="4" t="inlineStr">
        <is>
          <t>Company inquiry only (form)</t>
        </is>
      </c>
      <c r="T129" s="6">
        <f>SUM(Z129:AF129)</f>
        <v>17</v>
      </c>
      <c r="U129" s="10" t="inlineStr">
        <is>
          <t>V4</t>
        </is>
      </c>
      <c r="V129" s="4" t="inlineStr">
        <is>
          <t>QUALIFY FIRST: animal hospital sales not confirmed in sources. Pharma and device wholesaler rooted in Tokushima.</t>
        </is>
      </c>
      <c r="W129" s="4" t="inlineStr">
        <is>
          <t>Open by asking whether they serve animal hospitals today; if yes, offer a vet line with no overlap to their human ultrasound brands.</t>
        </is>
      </c>
      <c r="X129" s="4" t="inlineStr">
        <is>
          <t>Not checked (human list not in v17)</t>
        </is>
      </c>
      <c r="Y129" s="4" t="inlineStr">
        <is>
          <t>https://eiko165.co.jp/ ; https://eiko165.co.jp/contact</t>
        </is>
      </c>
      <c r="Z129" s="4" t="n">
        <v>2</v>
      </c>
      <c r="AA129" s="4" t="n">
        <v>3</v>
      </c>
      <c r="AB129" s="4" t="n">
        <v>3</v>
      </c>
      <c r="AC129" s="4" t="n">
        <v>2</v>
      </c>
      <c r="AD129" s="4" t="n">
        <v>1</v>
      </c>
      <c r="AE129" s="4" t="n">
        <v>4</v>
      </c>
      <c r="AF129" s="4" t="n">
        <v>2</v>
      </c>
      <c r="AG129" s="11" t="inlineStr">
        <is>
          <t>Qualify first</t>
        </is>
      </c>
    </row>
    <row r="130" ht="75" customHeight="1">
      <c r="A130" s="4" t="n">
        <v>126</v>
      </c>
      <c r="B130" s="4" t="inlineStr">
        <is>
          <t>Evals Co., Ltd.</t>
        </is>
      </c>
      <c r="C130" s="4" t="inlineStr">
        <is>
          <t>株式会社エバルス</t>
        </is>
      </c>
      <c r="D130" s="4" t="inlineStr">
        <is>
          <t>Not found (NTA lookup blocked; dedupe by Japanese name)</t>
        </is>
      </c>
      <c r="E130" s="4" t="inlineStr">
        <is>
          <t>Hiroshima</t>
        </is>
      </c>
      <c r="F130" s="4" t="inlineStr">
        <is>
          <t>Chugoku and Shikoku</t>
        </is>
      </c>
      <c r="G130" s="4" t="inlineStr">
        <is>
          <t>Not found</t>
        </is>
      </c>
      <c r="H130" s="4" t="inlineStr">
        <is>
          <t>Human device sales licences; 動物用 licence not confirmed</t>
        </is>
      </c>
      <c r="I130" s="4" t="inlineStr">
        <is>
          <t>Human multi brand lines (ultrasound brands not confirmed)</t>
        </is>
      </c>
      <c r="J130" s="4" t="inlineStr">
        <is>
          <t>Companion</t>
        </is>
      </c>
      <c r="K130" s="4" t="inlineStr">
        <is>
          <t>Chugoku</t>
        </is>
      </c>
      <c r="L130" s="4" t="inlineStr">
        <is>
          <t>Not found</t>
        </is>
      </c>
      <c r="M130" s="4" t="inlineStr">
        <is>
          <t>n/a</t>
        </is>
      </c>
      <c r="N130" s="4" t="inlineStr">
        <is>
          <t>Not identified</t>
        </is>
      </c>
      <c r="O130" s="4" t="inlineStr">
        <is>
          <t>Not identified</t>
        </is>
      </c>
      <c r="P130" s="4" t="inlineStr">
        <is>
          <t>Not searched (search budget)</t>
        </is>
      </c>
      <c r="Q130" s="4" t="inlineStr">
        <is>
          <t>Not found (use site)</t>
        </is>
      </c>
      <c r="R130" s="4" t="inlineStr">
        <is>
          <t>Not identified</t>
        </is>
      </c>
      <c r="S130" s="4" t="inlineStr">
        <is>
          <t>Unverified</t>
        </is>
      </c>
      <c r="T130" s="6">
        <f>SUM(Z130:AF130)</f>
        <v>17</v>
      </c>
      <c r="U130" s="10" t="inlineStr">
        <is>
          <t>V4</t>
        </is>
      </c>
      <c r="V130" s="4" t="inlineStr">
        <is>
          <t>QUALIFY FIRST: animal hospital sales not confirmed in sources. Hiroshima pharma and device wholesaler.</t>
        </is>
      </c>
      <c r="W130" s="4" t="inlineStr">
        <is>
          <t>Open by asking whether they serve animal hospitals today; if yes, offer a vet line with no overlap to their human ultrasound brands.</t>
        </is>
      </c>
      <c r="X130" s="4" t="inlineStr">
        <is>
          <t>Not checked (human list not in v17)</t>
        </is>
      </c>
      <c r="Y130" s="4" t="inlineStr">
        <is>
          <t>https://www.fukuda.co.jp/company/lt/lt_area05.html</t>
        </is>
      </c>
      <c r="Z130" s="4" t="n">
        <v>2</v>
      </c>
      <c r="AA130" s="4" t="n">
        <v>3</v>
      </c>
      <c r="AB130" s="4" t="n">
        <v>3</v>
      </c>
      <c r="AC130" s="4" t="n">
        <v>2</v>
      </c>
      <c r="AD130" s="4" t="n">
        <v>1</v>
      </c>
      <c r="AE130" s="4" t="n">
        <v>4</v>
      </c>
      <c r="AF130" s="4" t="n">
        <v>2</v>
      </c>
      <c r="AG130" s="11" t="inlineStr">
        <is>
          <t>Qualify first</t>
        </is>
      </c>
    </row>
    <row r="131" ht="75" customHeight="1">
      <c r="A131" s="4" t="n">
        <v>127</v>
      </c>
      <c r="B131" s="4" t="inlineStr">
        <is>
          <t>Goyo Iryoki Co., Ltd.</t>
        </is>
      </c>
      <c r="C131" s="4" t="inlineStr">
        <is>
          <t>五洋医療器株式会社</t>
        </is>
      </c>
      <c r="D131" s="4" t="inlineStr">
        <is>
          <t>Not found (NTA lookup blocked; dedupe by Japanese name)</t>
        </is>
      </c>
      <c r="E131" s="4" t="inlineStr">
        <is>
          <t>Hiroshima</t>
        </is>
      </c>
      <c r="F131" s="4" t="inlineStr">
        <is>
          <t>Chugoku and Shikoku</t>
        </is>
      </c>
      <c r="G131" s="4" t="inlineStr">
        <is>
          <t>Not found</t>
        </is>
      </c>
      <c r="H131" s="4" t="inlineStr">
        <is>
          <t>Human device sales licences; 動物用 licence not confirmed</t>
        </is>
      </c>
      <c r="I131" s="4" t="inlineStr">
        <is>
          <t>Human multi brand lines (ultrasound brands not confirmed)</t>
        </is>
      </c>
      <c r="J131" s="4" t="inlineStr">
        <is>
          <t>Companion</t>
        </is>
      </c>
      <c r="K131" s="4" t="inlineStr">
        <is>
          <t>Fukuyama, Hiroshima</t>
        </is>
      </c>
      <c r="L131" s="4" t="inlineStr">
        <is>
          <t>Not found</t>
        </is>
      </c>
      <c r="M131" s="4" t="inlineStr">
        <is>
          <t>n/a</t>
        </is>
      </c>
      <c r="N131" s="4" t="inlineStr">
        <is>
          <t>Not identified</t>
        </is>
      </c>
      <c r="O131" s="4" t="inlineStr">
        <is>
          <t>Not identified</t>
        </is>
      </c>
      <c r="P131" s="4" t="inlineStr">
        <is>
          <t>Not published; phone only</t>
        </is>
      </c>
      <c r="Q131" s="4" t="inlineStr">
        <is>
          <t>Not found (use site)</t>
        </is>
      </c>
      <c r="R131" s="4" t="inlineStr">
        <is>
          <t>Not identified</t>
        </is>
      </c>
      <c r="S131" s="4" t="inlineStr">
        <is>
          <t>Unverified (searched; no contact found)</t>
        </is>
      </c>
      <c r="T131" s="6">
        <f>SUM(Z131:AF131)</f>
        <v>17</v>
      </c>
      <c r="U131" s="10" t="inlineStr">
        <is>
          <t>V4</t>
        </is>
      </c>
      <c r="V131" s="4" t="inlineStr">
        <is>
          <t>QUALIFY FIRST: animal hospital sales not confirmed in sources. Fukuyama device dealer.</t>
        </is>
      </c>
      <c r="W131" s="4" t="inlineStr">
        <is>
          <t>Open by asking whether they serve animal hospitals today; if yes, offer a vet line with no overlap to their human ultrasound brands.</t>
        </is>
      </c>
      <c r="X131" s="4" t="inlineStr">
        <is>
          <t>Not checked (human list not in v17)</t>
        </is>
      </c>
      <c r="Y131" s="4" t="inlineStr">
        <is>
          <t>https://www.fukuda.co.jp/company/lt/lt_area05.html</t>
        </is>
      </c>
      <c r="Z131" s="4" t="n">
        <v>2</v>
      </c>
      <c r="AA131" s="4" t="n">
        <v>3</v>
      </c>
      <c r="AB131" s="4" t="n">
        <v>3</v>
      </c>
      <c r="AC131" s="4" t="n">
        <v>2</v>
      </c>
      <c r="AD131" s="4" t="n">
        <v>1</v>
      </c>
      <c r="AE131" s="4" t="n">
        <v>4</v>
      </c>
      <c r="AF131" s="4" t="n">
        <v>2</v>
      </c>
      <c r="AG131" s="11" t="inlineStr">
        <is>
          <t>Qualify first</t>
        </is>
      </c>
    </row>
    <row r="132" ht="75" customHeight="1">
      <c r="A132" s="4" t="n">
        <v>128</v>
      </c>
      <c r="B132" s="4" t="inlineStr">
        <is>
          <t>Kawanishi Co., Ltd.</t>
        </is>
      </c>
      <c r="C132" s="4" t="inlineStr">
        <is>
          <t>株式会社カワニシ</t>
        </is>
      </c>
      <c r="D132" s="4" t="inlineStr">
        <is>
          <t>Not found (NTA lookup blocked; dedupe by Japanese name)</t>
        </is>
      </c>
      <c r="E132" s="4" t="inlineStr">
        <is>
          <t>Okayama</t>
        </is>
      </c>
      <c r="F132" s="4" t="inlineStr">
        <is>
          <t>Chugoku and Shikoku</t>
        </is>
      </c>
      <c r="G132" s="5" t="inlineStr">
        <is>
          <t>https://www.kawanishi-md.co.jp/kw/</t>
        </is>
      </c>
      <c r="H132" s="4" t="inlineStr">
        <is>
          <t>Human device sales licences; 動物用 licence not confirmed</t>
        </is>
      </c>
      <c r="I132" s="4" t="inlineStr">
        <is>
          <t>Human multi brand lines (ultrasound brands not confirmed)</t>
        </is>
      </c>
      <c r="J132" s="4" t="inlineStr">
        <is>
          <t>Companion</t>
        </is>
      </c>
      <c r="K132" s="4" t="inlineStr">
        <is>
          <t>Chugoku and Shikoku</t>
        </is>
      </c>
      <c r="L132" s="4" t="inlineStr">
        <is>
          <t>727 staff (Jun 2025)</t>
        </is>
      </c>
      <c r="M132" s="4" t="inlineStr">
        <is>
          <t>n/a</t>
        </is>
      </c>
      <c r="N132" s="4" t="inlineStr">
        <is>
          <t>Not identified</t>
        </is>
      </c>
      <c r="O132" s="4" t="inlineStr">
        <is>
          <t>Not identified</t>
        </is>
      </c>
      <c r="P132" s="4" t="inlineStr">
        <is>
          <t>Not published; phone only</t>
        </is>
      </c>
      <c r="Q132" s="4" t="inlineStr">
        <is>
          <t>086 241 9241</t>
        </is>
      </c>
      <c r="R132" s="4" t="inlineStr">
        <is>
          <t>Not identified</t>
        </is>
      </c>
      <c r="S132" s="4" t="inlineStr">
        <is>
          <t>Company inquiry only (phone)</t>
        </is>
      </c>
      <c r="T132" s="6">
        <f>SUM(Z132:AF132)</f>
        <v>17</v>
      </c>
      <c r="U132" s="10" t="inlineStr">
        <is>
          <t>V4</t>
        </is>
      </c>
      <c r="V132" s="4" t="inlineStr">
        <is>
          <t>QUALIFY FIRST: animal hospital sales not confirmed in sources. Number one device dealer in Chugoku and Shikoku (Orba group), founded 1921, 727 staff.</t>
        </is>
      </c>
      <c r="W132" s="4" t="inlineStr">
        <is>
          <t>Open by asking whether they serve animal hospitals today; if yes, offer a vet line with no overlap to their human ultrasound brands.</t>
        </is>
      </c>
      <c r="X132" s="4" t="inlineStr">
        <is>
          <t>Not checked (human list not in v17)</t>
        </is>
      </c>
      <c r="Y132" s="4" t="inlineStr">
        <is>
          <t>https://kitaishihon.com/company/2689/story ; http://www.kawanishi-md.co.jp/kw/about/</t>
        </is>
      </c>
      <c r="Z132" s="4" t="n">
        <v>2</v>
      </c>
      <c r="AA132" s="4" t="n">
        <v>3</v>
      </c>
      <c r="AB132" s="4" t="n">
        <v>3</v>
      </c>
      <c r="AC132" s="4" t="n">
        <v>2</v>
      </c>
      <c r="AD132" s="4" t="n">
        <v>1</v>
      </c>
      <c r="AE132" s="4" t="n">
        <v>4</v>
      </c>
      <c r="AF132" s="4" t="n">
        <v>2</v>
      </c>
      <c r="AG132" s="11" t="inlineStr">
        <is>
          <t>Qualify first</t>
        </is>
      </c>
    </row>
    <row r="133" ht="75" customHeight="1">
      <c r="A133" s="4" t="n">
        <v>129</v>
      </c>
      <c r="B133" s="4" t="inlineStr">
        <is>
          <t>Nishi Nihon Medical Link Co., Ltd.</t>
        </is>
      </c>
      <c r="C133" s="4" t="inlineStr">
        <is>
          <t>西日本メディカルリンク株式会社</t>
        </is>
      </c>
      <c r="D133" s="4" t="inlineStr">
        <is>
          <t>Not found (NTA lookup blocked; dedupe by Japanese name)</t>
        </is>
      </c>
      <c r="E133" s="4" t="inlineStr">
        <is>
          <t>Okayama</t>
        </is>
      </c>
      <c r="F133" s="4" t="inlineStr">
        <is>
          <t>Chugoku and Shikoku</t>
        </is>
      </c>
      <c r="G133" s="5" t="inlineStr">
        <is>
          <t>https://jml-west.jp/</t>
        </is>
      </c>
      <c r="H133" s="4" t="inlineStr">
        <is>
          <t>Human device sales licences; 動物用 licence not confirmed</t>
        </is>
      </c>
      <c r="I133" s="4" t="inlineStr">
        <is>
          <t>Human multi brand lines (ultrasound brands not confirmed)</t>
        </is>
      </c>
      <c r="J133" s="4" t="inlineStr">
        <is>
          <t>Companion</t>
        </is>
      </c>
      <c r="K133" s="4" t="inlineStr">
        <is>
          <t>Okayama</t>
        </is>
      </c>
      <c r="L133" s="4" t="inlineStr">
        <is>
          <t>Not found</t>
        </is>
      </c>
      <c r="M133" s="4" t="inlineStr">
        <is>
          <t>n/a</t>
        </is>
      </c>
      <c r="N133" s="4" t="inlineStr">
        <is>
          <t>Not identified</t>
        </is>
      </c>
      <c r="O133" s="4" t="inlineStr">
        <is>
          <t>Not identified</t>
        </is>
      </c>
      <c r="P133" s="4" t="inlineStr">
        <is>
          <t>Not published; phone only</t>
        </is>
      </c>
      <c r="Q133" s="4" t="inlineStr">
        <is>
          <t>Not found (use site)</t>
        </is>
      </c>
      <c r="R133" s="4" t="inlineStr">
        <is>
          <t>Not identified</t>
        </is>
      </c>
      <c r="S133" s="4" t="inlineStr">
        <is>
          <t>Unverified (searched; no contact published in results)</t>
        </is>
      </c>
      <c r="T133" s="6">
        <f>SUM(Z133:AF133)</f>
        <v>17</v>
      </c>
      <c r="U133" s="10" t="inlineStr">
        <is>
          <t>V4</t>
        </is>
      </c>
      <c r="V133" s="4" t="inlineStr">
        <is>
          <t>QUALIFY FIRST: animal hospital sales not confirmed in sources. Okayama device dealer listed in Fukuda Denshi's dealer page.</t>
        </is>
      </c>
      <c r="W133" s="4" t="inlineStr">
        <is>
          <t>Open by asking whether they serve animal hospitals today; if yes, offer a vet line with no overlap to their human ultrasound brands.</t>
        </is>
      </c>
      <c r="X133" s="4" t="inlineStr">
        <is>
          <t>Not checked (human list not in v17)</t>
        </is>
      </c>
      <c r="Y133" s="4" t="inlineStr">
        <is>
          <t>https://www.fukuda.co.jp/company/lt/lt_area05.html ; https://www.nikkei.com/compass/company/sRwxtV33ViYqGAU9AffVch</t>
        </is>
      </c>
      <c r="Z133" s="4" t="n">
        <v>2</v>
      </c>
      <c r="AA133" s="4" t="n">
        <v>3</v>
      </c>
      <c r="AB133" s="4" t="n">
        <v>3</v>
      </c>
      <c r="AC133" s="4" t="n">
        <v>2</v>
      </c>
      <c r="AD133" s="4" t="n">
        <v>1</v>
      </c>
      <c r="AE133" s="4" t="n">
        <v>4</v>
      </c>
      <c r="AF133" s="4" t="n">
        <v>2</v>
      </c>
      <c r="AG133" s="11" t="inlineStr">
        <is>
          <t>Qualify first</t>
        </is>
      </c>
    </row>
    <row r="134" ht="75" customHeight="1">
      <c r="A134" s="4" t="n">
        <v>130</v>
      </c>
      <c r="B134" s="4" t="inlineStr">
        <is>
          <t>Seiel Co., Ltd.</t>
        </is>
      </c>
      <c r="C134" s="4" t="inlineStr">
        <is>
          <t>株式会社セイエル</t>
        </is>
      </c>
      <c r="D134" s="4" t="inlineStr">
        <is>
          <t>Not found (NTA lookup blocked; dedupe by Japanese name)</t>
        </is>
      </c>
      <c r="E134" s="4" t="inlineStr">
        <is>
          <t>Hiroshima</t>
        </is>
      </c>
      <c r="F134" s="4" t="inlineStr">
        <is>
          <t>Chugoku and Shikoku</t>
        </is>
      </c>
      <c r="G134" s="4" t="inlineStr">
        <is>
          <t>Not found</t>
        </is>
      </c>
      <c r="H134" s="4" t="inlineStr">
        <is>
          <t>Human device sales licences; 動物用 licence not confirmed</t>
        </is>
      </c>
      <c r="I134" s="4" t="inlineStr">
        <is>
          <t>Human multi brand lines (ultrasound brands not confirmed)</t>
        </is>
      </c>
      <c r="J134" s="4" t="inlineStr">
        <is>
          <t>Companion</t>
        </is>
      </c>
      <c r="K134" s="4" t="inlineStr">
        <is>
          <t>Hiroshima</t>
        </is>
      </c>
      <c r="L134" s="4" t="inlineStr">
        <is>
          <t>Not found</t>
        </is>
      </c>
      <c r="M134" s="4" t="inlineStr">
        <is>
          <t>n/a</t>
        </is>
      </c>
      <c r="N134" s="4" t="inlineStr">
        <is>
          <t>Not identified</t>
        </is>
      </c>
      <c r="O134" s="4" t="inlineStr">
        <is>
          <t>Not identified</t>
        </is>
      </c>
      <c r="P134" s="4" t="inlineStr">
        <is>
          <t>Not published; phone only</t>
        </is>
      </c>
      <c r="Q134" s="4" t="inlineStr">
        <is>
          <t>082 278 1912</t>
        </is>
      </c>
      <c r="R134" s="4" t="inlineStr">
        <is>
          <t>Not identified</t>
        </is>
      </c>
      <c r="S134" s="4" t="inlineStr">
        <is>
          <t>Company inquiry only (phone)</t>
        </is>
      </c>
      <c r="T134" s="6">
        <f>SUM(Z134:AF134)</f>
        <v>17</v>
      </c>
      <c r="U134" s="10" t="inlineStr">
        <is>
          <t>V4</t>
        </is>
      </c>
      <c r="V134" s="4" t="inlineStr">
        <is>
          <t>QUALIFY FIRST: animal hospital sales not confirmed in sources. Hiroshima device dealer.</t>
        </is>
      </c>
      <c r="W134" s="4" t="inlineStr">
        <is>
          <t>Open by asking whether they serve animal hospitals today; if yes, offer a vet line with no overlap to their human ultrasound brands.</t>
        </is>
      </c>
      <c r="X134" s="4" t="inlineStr">
        <is>
          <t>Not checked (human list not in v17)</t>
        </is>
      </c>
      <c r="Y134" s="4" t="inlineStr">
        <is>
          <t>https://www.fukuda.co.jp/company/lt/lt_area05.html ; https://www.gogo-jobcafe-shimane.jp/job/company/907782</t>
        </is>
      </c>
      <c r="Z134" s="4" t="n">
        <v>2</v>
      </c>
      <c r="AA134" s="4" t="n">
        <v>3</v>
      </c>
      <c r="AB134" s="4" t="n">
        <v>3</v>
      </c>
      <c r="AC134" s="4" t="n">
        <v>2</v>
      </c>
      <c r="AD134" s="4" t="n">
        <v>1</v>
      </c>
      <c r="AE134" s="4" t="n">
        <v>4</v>
      </c>
      <c r="AF134" s="4" t="n">
        <v>2</v>
      </c>
      <c r="AG134" s="11" t="inlineStr">
        <is>
          <t>Qualify first</t>
        </is>
      </c>
    </row>
    <row r="135" ht="75" customHeight="1">
      <c r="A135" s="4" t="n">
        <v>131</v>
      </c>
      <c r="B135" s="4" t="inlineStr">
        <is>
          <t>Shikoku Iryoki Co., Ltd.</t>
        </is>
      </c>
      <c r="C135" s="4" t="inlineStr">
        <is>
          <t>四国医療器株式会社</t>
        </is>
      </c>
      <c r="D135" s="4" t="inlineStr">
        <is>
          <t>Not found (NTA lookup blocked; dedupe by Japanese name)</t>
        </is>
      </c>
      <c r="E135" s="4" t="inlineStr">
        <is>
          <t>Kagawa</t>
        </is>
      </c>
      <c r="F135" s="4" t="inlineStr">
        <is>
          <t>Chugoku and Shikoku</t>
        </is>
      </c>
      <c r="G135" s="5" t="inlineStr">
        <is>
          <t>https://shikokuiryoki.com/</t>
        </is>
      </c>
      <c r="H135" s="4" t="inlineStr">
        <is>
          <t>Human device sales licences; 動物用 licence not confirmed</t>
        </is>
      </c>
      <c r="I135" s="4" t="inlineStr">
        <is>
          <t>Human multi brand lines (ultrasound brands not confirmed)</t>
        </is>
      </c>
      <c r="J135" s="4" t="inlineStr">
        <is>
          <t>Companion</t>
        </is>
      </c>
      <c r="K135" s="4" t="inlineStr">
        <is>
          <t>All four Shikoku prefectures</t>
        </is>
      </c>
      <c r="L135" s="4" t="inlineStr">
        <is>
          <t>Not found</t>
        </is>
      </c>
      <c r="M135" s="4" t="inlineStr">
        <is>
          <t>n/a</t>
        </is>
      </c>
      <c r="N135" s="4" t="inlineStr">
        <is>
          <t>Not identified</t>
        </is>
      </c>
      <c r="O135" s="4" t="inlineStr">
        <is>
          <t>Not identified</t>
        </is>
      </c>
      <c r="P135" s="4" t="inlineStr">
        <is>
          <t>info@shikokuiryoki.com</t>
        </is>
      </c>
      <c r="Q135" s="4" t="inlineStr">
        <is>
          <t>087 851 3318</t>
        </is>
      </c>
      <c r="R135" s="4" t="inlineStr">
        <is>
          <t>Not identified</t>
        </is>
      </c>
      <c r="S135" s="4" t="inlineStr">
        <is>
          <t>Likely (third party listing); may be old</t>
        </is>
      </c>
      <c r="T135" s="6">
        <f>SUM(Z135:AF135)</f>
        <v>17</v>
      </c>
      <c r="U135" s="10" t="inlineStr">
        <is>
          <t>V4</t>
        </is>
      </c>
      <c r="V135" s="4" t="inlineStr">
        <is>
          <t>QUALIFY FIRST: animal hospital sales not confirmed in sources. Takamatsu device and lab equipment trader; JR Shikoku group partner since Mar 2025.</t>
        </is>
      </c>
      <c r="W135" s="4" t="inlineStr">
        <is>
          <t>Open by asking whether they serve animal hospitals today; if yes, offer a vet line with no overlap to their human ultrasound brands.</t>
        </is>
      </c>
      <c r="X135" s="4" t="inlineStr">
        <is>
          <t>Not checked (human list not in v17)</t>
        </is>
      </c>
      <c r="Y135" s="4" t="inlineStr">
        <is>
          <t>https://shikokuiryoki.com/about/ ; https://wskagawa.jp/index.php?exec=detail&amp;kigyo_key=13-0096&amp;prog=pub_kigyo ; https://sia-japan.com/company_list/731/ ; https://shikokuiryoki.com/contact/</t>
        </is>
      </c>
      <c r="Z135" s="4" t="n">
        <v>2</v>
      </c>
      <c r="AA135" s="4" t="n">
        <v>3</v>
      </c>
      <c r="AB135" s="4" t="n">
        <v>3</v>
      </c>
      <c r="AC135" s="4" t="n">
        <v>2</v>
      </c>
      <c r="AD135" s="4" t="n">
        <v>1</v>
      </c>
      <c r="AE135" s="4" t="n">
        <v>4</v>
      </c>
      <c r="AF135" s="4" t="n">
        <v>2</v>
      </c>
      <c r="AG135" s="11" t="inlineStr">
        <is>
          <t>Qualify first</t>
        </is>
      </c>
    </row>
    <row r="136" ht="75" customHeight="1">
      <c r="A136" s="4" t="n">
        <v>132</v>
      </c>
      <c r="B136" s="4" t="inlineStr">
        <is>
          <t>TS Alfresa Co., Ltd.</t>
        </is>
      </c>
      <c r="C136" s="4" t="inlineStr">
        <is>
          <t>ティーエスアルフレッサ株式会社</t>
        </is>
      </c>
      <c r="D136" s="4" t="inlineStr">
        <is>
          <t>Not found (NTA lookup blocked; dedupe by Japanese name)</t>
        </is>
      </c>
      <c r="E136" s="4" t="inlineStr">
        <is>
          <t>Hiroshima</t>
        </is>
      </c>
      <c r="F136" s="4" t="inlineStr">
        <is>
          <t>Chugoku and Shikoku</t>
        </is>
      </c>
      <c r="G136" s="4" t="inlineStr">
        <is>
          <t>Not found</t>
        </is>
      </c>
      <c r="H136" s="4" t="inlineStr">
        <is>
          <t>Human device sales licences; 動物用 licence not confirmed</t>
        </is>
      </c>
      <c r="I136" s="4" t="inlineStr">
        <is>
          <t>Human multi brand lines (ultrasound brands not confirmed)</t>
        </is>
      </c>
      <c r="J136" s="4" t="inlineStr">
        <is>
          <t>Companion</t>
        </is>
      </c>
      <c r="K136" s="4" t="inlineStr">
        <is>
          <t>Chugoku</t>
        </is>
      </c>
      <c r="L136" s="4" t="inlineStr">
        <is>
          <t>Not found</t>
        </is>
      </c>
      <c r="M136" s="4" t="inlineStr">
        <is>
          <t>n/a</t>
        </is>
      </c>
      <c r="N136" s="4" t="inlineStr">
        <is>
          <t>Not identified</t>
        </is>
      </c>
      <c r="O136" s="4" t="inlineStr">
        <is>
          <t>Not identified</t>
        </is>
      </c>
      <c r="P136" s="4" t="inlineStr">
        <is>
          <t>Not searched (search budget)</t>
        </is>
      </c>
      <c r="Q136" s="4" t="inlineStr">
        <is>
          <t>Not found (use site)</t>
        </is>
      </c>
      <c r="R136" s="4" t="inlineStr">
        <is>
          <t>Not identified</t>
        </is>
      </c>
      <c r="S136" s="4" t="inlineStr">
        <is>
          <t>Unverified</t>
        </is>
      </c>
      <c r="T136" s="6">
        <f>SUM(Z136:AF136)</f>
        <v>17</v>
      </c>
      <c r="U136" s="10" t="inlineStr">
        <is>
          <t>V4</t>
        </is>
      </c>
      <c r="V136" s="4" t="inlineStr">
        <is>
          <t>QUALIFY FIRST: animal hospital sales not confirmed in sources. Hiroshima wholesaler (Alfresa group).</t>
        </is>
      </c>
      <c r="W136" s="4" t="inlineStr">
        <is>
          <t>Open by asking whether they serve animal hospitals today; if yes, offer a vet line with no overlap to their human ultrasound brands.</t>
        </is>
      </c>
      <c r="X136" s="4" t="inlineStr">
        <is>
          <t>Not checked (human list not in v17)</t>
        </is>
      </c>
      <c r="Y136" s="4" t="inlineStr">
        <is>
          <t>https://www.fukuda.co.jp/company/lt/lt_area05.html</t>
        </is>
      </c>
      <c r="Z136" s="4" t="n">
        <v>2</v>
      </c>
      <c r="AA136" s="4" t="n">
        <v>3</v>
      </c>
      <c r="AB136" s="4" t="n">
        <v>3</v>
      </c>
      <c r="AC136" s="4" t="n">
        <v>2</v>
      </c>
      <c r="AD136" s="4" t="n">
        <v>1</v>
      </c>
      <c r="AE136" s="4" t="n">
        <v>4</v>
      </c>
      <c r="AF136" s="4" t="n">
        <v>2</v>
      </c>
      <c r="AG136" s="11" t="inlineStr">
        <is>
          <t>Qualify first</t>
        </is>
      </c>
    </row>
    <row r="137" ht="75" customHeight="1">
      <c r="A137" s="4" t="n">
        <v>133</v>
      </c>
      <c r="B137" s="4" t="inlineStr">
        <is>
          <t>Tottori Iryoki Co., Ltd.</t>
        </is>
      </c>
      <c r="C137" s="4" t="inlineStr">
        <is>
          <t>鳥取医療器株式会社</t>
        </is>
      </c>
      <c r="D137" s="4" t="inlineStr">
        <is>
          <t>Not found (NTA lookup blocked; dedupe by Japanese name)</t>
        </is>
      </c>
      <c r="E137" s="4" t="inlineStr">
        <is>
          <t>Tottori</t>
        </is>
      </c>
      <c r="F137" s="4" t="inlineStr">
        <is>
          <t>Chugoku and Shikoku</t>
        </is>
      </c>
      <c r="G137" s="5" t="inlineStr">
        <is>
          <t>https://t-iryoki.co.jp/</t>
        </is>
      </c>
      <c r="H137" s="4" t="inlineStr">
        <is>
          <t>Human device sales licences; 動物用 licence not confirmed</t>
        </is>
      </c>
      <c r="I137" s="4" t="inlineStr">
        <is>
          <t>Human multi brand lines (ultrasound brands not confirmed)</t>
        </is>
      </c>
      <c r="J137" s="4" t="inlineStr">
        <is>
          <t>Companion</t>
        </is>
      </c>
      <c r="K137" s="4" t="inlineStr">
        <is>
          <t>Tottori</t>
        </is>
      </c>
      <c r="L137" s="4" t="inlineStr">
        <is>
          <t>Not found</t>
        </is>
      </c>
      <c r="M137" s="4" t="inlineStr">
        <is>
          <t>n/a</t>
        </is>
      </c>
      <c r="N137" s="4" t="inlineStr">
        <is>
          <t>Not identified</t>
        </is>
      </c>
      <c r="O137" s="4" t="inlineStr">
        <is>
          <t>Not identified</t>
        </is>
      </c>
      <c r="P137" s="4" t="inlineStr">
        <is>
          <t>welfare@t-iryoki.co.jp</t>
        </is>
      </c>
      <c r="Q137" s="4" t="inlineStr">
        <is>
          <t>0857 23 1741</t>
        </is>
      </c>
      <c r="R137" s="4" t="inlineStr">
        <is>
          <t>Not identified</t>
        </is>
      </c>
      <c r="S137" s="4" t="inlineStr">
        <is>
          <t>Verified (published on own site, read via search); medical dept medical@t iryoki.co.jp per sia japan.com listing</t>
        </is>
      </c>
      <c r="T137" s="6">
        <f>SUM(Z137:AF137)</f>
        <v>17</v>
      </c>
      <c r="U137" s="10" t="inlineStr">
        <is>
          <t>V4</t>
        </is>
      </c>
      <c r="V137" s="4" t="inlineStr">
        <is>
          <t>QUALIFY FIRST: animal hospital sales not confirmed in sources. Tottori device dealer.</t>
        </is>
      </c>
      <c r="W137" s="4" t="inlineStr">
        <is>
          <t>Open by asking whether they serve animal hospitals today; if yes, offer a vet line with no overlap to their human ultrasound brands.</t>
        </is>
      </c>
      <c r="X137" s="4" t="inlineStr">
        <is>
          <t>Not checked (human list not in v17)</t>
        </is>
      </c>
      <c r="Y137" s="4" t="inlineStr">
        <is>
          <t>https://www.fukuda.co.jp/company/lt/lt_area05.html ; https://t-iryoki.co.jp/ ; https://sia-japan.com/company_list/751/</t>
        </is>
      </c>
      <c r="Z137" s="4" t="n">
        <v>2</v>
      </c>
      <c r="AA137" s="4" t="n">
        <v>3</v>
      </c>
      <c r="AB137" s="4" t="n">
        <v>3</v>
      </c>
      <c r="AC137" s="4" t="n">
        <v>2</v>
      </c>
      <c r="AD137" s="4" t="n">
        <v>1</v>
      </c>
      <c r="AE137" s="4" t="n">
        <v>4</v>
      </c>
      <c r="AF137" s="4" t="n">
        <v>2</v>
      </c>
      <c r="AG137" s="11" t="inlineStr">
        <is>
          <t>Qualify first</t>
        </is>
      </c>
    </row>
    <row r="138" ht="75" customHeight="1">
      <c r="A138" s="4" t="n">
        <v>134</v>
      </c>
      <c r="B138" s="4" t="inlineStr">
        <is>
          <t>Actmedic Co., Ltd.</t>
        </is>
      </c>
      <c r="C138" s="4" t="inlineStr">
        <is>
          <t>株式会社アクトメディック</t>
        </is>
      </c>
      <c r="D138" s="4" t="inlineStr">
        <is>
          <t>Not found (NTA lookup blocked; dedupe by Japanese name)</t>
        </is>
      </c>
      <c r="E138" s="4" t="inlineStr">
        <is>
          <t>Osaka</t>
        </is>
      </c>
      <c r="F138" s="4" t="inlineStr">
        <is>
          <t>Kansai</t>
        </is>
      </c>
      <c r="G138" s="5" t="inlineStr">
        <is>
          <t>https://www.actmedic.jp/</t>
        </is>
      </c>
      <c r="H138" s="4" t="inlineStr">
        <is>
          <t>Human device sales licences; 動物用 licence not confirmed</t>
        </is>
      </c>
      <c r="I138" s="4" t="inlineStr">
        <is>
          <t>Human multi brand lines (ultrasound brands not confirmed)</t>
        </is>
      </c>
      <c r="J138" s="4" t="inlineStr">
        <is>
          <t>Companion</t>
        </is>
      </c>
      <c r="K138" s="4" t="inlineStr">
        <is>
          <t>Osaka, Hyogo, Kyoto, Nara, Wakayama, Shiga</t>
        </is>
      </c>
      <c r="L138" s="4" t="inlineStr">
        <is>
          <t>Not found</t>
        </is>
      </c>
      <c r="M138" s="4" t="inlineStr">
        <is>
          <t>n/a</t>
        </is>
      </c>
      <c r="N138" s="4" t="inlineStr">
        <is>
          <t>Not identified</t>
        </is>
      </c>
      <c r="O138" s="4" t="inlineStr">
        <is>
          <t>Not identified</t>
        </is>
      </c>
      <c r="P138" s="4" t="inlineStr">
        <is>
          <t>Not published; inquiry form: https://www.actmedic.jp/contact</t>
        </is>
      </c>
      <c r="Q138" s="4" t="inlineStr">
        <is>
          <t>06 6777 4901</t>
        </is>
      </c>
      <c r="R138" s="4" t="inlineStr">
        <is>
          <t>Not identified</t>
        </is>
      </c>
      <c r="S138" s="4" t="inlineStr">
        <is>
          <t>Company inquiry only (form)</t>
        </is>
      </c>
      <c r="T138" s="6">
        <f>SUM(Z138:AF138)</f>
        <v>17</v>
      </c>
      <c r="U138" s="10" t="inlineStr">
        <is>
          <t>V4</t>
        </is>
      </c>
      <c r="V138" s="4" t="inlineStr">
        <is>
          <t>QUALIFY FIRST: animal hospital sales not confirmed in sources. Osaka general device dealer covering all of Kansai.</t>
        </is>
      </c>
      <c r="W138" s="4" t="inlineStr">
        <is>
          <t>Open by asking whether they serve animal hospitals today; if yes, offer a vet line with no overlap to their human ultrasound brands.</t>
        </is>
      </c>
      <c r="X138" s="4" t="inlineStr">
        <is>
          <t>Not checked (human list not in v17)</t>
        </is>
      </c>
      <c r="Y138" s="4" t="inlineStr">
        <is>
          <t>https://www.actmedic.jp/ ; https://www.actmedic.jp/contact</t>
        </is>
      </c>
      <c r="Z138" s="4" t="n">
        <v>2</v>
      </c>
      <c r="AA138" s="4" t="n">
        <v>3</v>
      </c>
      <c r="AB138" s="4" t="n">
        <v>3</v>
      </c>
      <c r="AC138" s="4" t="n">
        <v>2</v>
      </c>
      <c r="AD138" s="4" t="n">
        <v>1</v>
      </c>
      <c r="AE138" s="4" t="n">
        <v>4</v>
      </c>
      <c r="AF138" s="4" t="n">
        <v>2</v>
      </c>
      <c r="AG138" s="11" t="inlineStr">
        <is>
          <t>Qualify first</t>
        </is>
      </c>
    </row>
    <row r="139" ht="75" customHeight="1">
      <c r="A139" s="4" t="n">
        <v>135</v>
      </c>
      <c r="B139" s="4" t="inlineStr">
        <is>
          <t>Air Water Link Co., Ltd.</t>
        </is>
      </c>
      <c r="C139" s="4" t="inlineStr">
        <is>
          <t>エア・ウォーター・リンク株式会社</t>
        </is>
      </c>
      <c r="D139" s="4" t="inlineStr">
        <is>
          <t>Not found (NTA lookup blocked; dedupe by Japanese name)</t>
        </is>
      </c>
      <c r="E139" s="4" t="inlineStr">
        <is>
          <t>Kyoto</t>
        </is>
      </c>
      <c r="F139" s="4" t="inlineStr">
        <is>
          <t>Kansai</t>
        </is>
      </c>
      <c r="G139" s="4" t="inlineStr">
        <is>
          <t>Not found</t>
        </is>
      </c>
      <c r="H139" s="4" t="inlineStr">
        <is>
          <t>Human device sales licences; 動物用 licence not confirmed</t>
        </is>
      </c>
      <c r="I139" s="4" t="inlineStr">
        <is>
          <t>Human multi brand lines (ultrasound brands not confirmed)</t>
        </is>
      </c>
      <c r="J139" s="4" t="inlineStr">
        <is>
          <t>Companion</t>
        </is>
      </c>
      <c r="K139" s="4" t="inlineStr">
        <is>
          <t>Kansai</t>
        </is>
      </c>
      <c r="L139" s="4" t="inlineStr">
        <is>
          <t>Not found</t>
        </is>
      </c>
      <c r="M139" s="4" t="inlineStr">
        <is>
          <t>n/a</t>
        </is>
      </c>
      <c r="N139" s="4" t="inlineStr">
        <is>
          <t>Not identified</t>
        </is>
      </c>
      <c r="O139" s="4" t="inlineStr">
        <is>
          <t>Not identified</t>
        </is>
      </c>
      <c r="P139" s="4" t="inlineStr">
        <is>
          <t>Not searched (search budget)</t>
        </is>
      </c>
      <c r="Q139" s="4" t="inlineStr">
        <is>
          <t>Not found (use site)</t>
        </is>
      </c>
      <c r="R139" s="4" t="inlineStr">
        <is>
          <t>Not identified</t>
        </is>
      </c>
      <c r="S139" s="4" t="inlineStr">
        <is>
          <t>Unverified</t>
        </is>
      </c>
      <c r="T139" s="6">
        <f>SUM(Z139:AF139)</f>
        <v>17</v>
      </c>
      <c r="U139" s="10" t="inlineStr">
        <is>
          <t>V4</t>
        </is>
      </c>
      <c r="V139" s="4" t="inlineStr">
        <is>
          <t>QUALIFY FIRST: animal hospital sales not confirmed in sources. Cardiology and anaesthesia device wholesaler with sterilisation services. FLAG: HQ shown in a Kyoto listing; confirm.</t>
        </is>
      </c>
      <c r="W139" s="4" t="inlineStr">
        <is>
          <t>Open by asking whether they serve animal hospitals today; if yes, offer a vet line with no overlap to their human ultrasound brands.</t>
        </is>
      </c>
      <c r="X139" s="4" t="inlineStr">
        <is>
          <t>Not checked (human list not in v17)</t>
        </is>
      </c>
      <c r="Y139" s="4" t="inlineStr">
        <is>
          <t>https://baseconnect.in/companies/prefecture/63038c5a-e328-472b-b9cc-039738609ba7/category/b2358a1c-c4c6-46f4-a0b1-dee3a1b30a0b</t>
        </is>
      </c>
      <c r="Z139" s="4" t="n">
        <v>2</v>
      </c>
      <c r="AA139" s="4" t="n">
        <v>3</v>
      </c>
      <c r="AB139" s="4" t="n">
        <v>3</v>
      </c>
      <c r="AC139" s="4" t="n">
        <v>2</v>
      </c>
      <c r="AD139" s="4" t="n">
        <v>1</v>
      </c>
      <c r="AE139" s="4" t="n">
        <v>4</v>
      </c>
      <c r="AF139" s="4" t="n">
        <v>2</v>
      </c>
      <c r="AG139" s="11" t="inlineStr">
        <is>
          <t>Qualify first</t>
        </is>
      </c>
    </row>
    <row r="140" ht="75" customHeight="1">
      <c r="A140" s="4" t="n">
        <v>136</v>
      </c>
      <c r="B140" s="4" t="inlineStr">
        <is>
          <t>Chubu Medical Co., Ltd.</t>
        </is>
      </c>
      <c r="C140" s="4" t="inlineStr">
        <is>
          <t>株式会社中部メディカル</t>
        </is>
      </c>
      <c r="D140" s="4" t="inlineStr">
        <is>
          <t>Not found (NTA lookup blocked; dedupe by Japanese name)</t>
        </is>
      </c>
      <c r="E140" s="4" t="inlineStr">
        <is>
          <t>Mie</t>
        </is>
      </c>
      <c r="F140" s="4" t="inlineStr">
        <is>
          <t>Kansai</t>
        </is>
      </c>
      <c r="G140" s="4" t="inlineStr">
        <is>
          <t>Not found</t>
        </is>
      </c>
      <c r="H140" s="4" t="inlineStr">
        <is>
          <t>Human device sales licences; 動物用 licence not confirmed</t>
        </is>
      </c>
      <c r="I140" s="4" t="inlineStr">
        <is>
          <t>Human multi brand lines (ultrasound brands not confirmed)</t>
        </is>
      </c>
      <c r="J140" s="4" t="inlineStr">
        <is>
          <t>Companion</t>
        </is>
      </c>
      <c r="K140" s="4" t="inlineStr">
        <is>
          <t>Mie</t>
        </is>
      </c>
      <c r="L140" s="4" t="inlineStr">
        <is>
          <t>Not found</t>
        </is>
      </c>
      <c r="M140" s="4" t="inlineStr">
        <is>
          <t>n/a</t>
        </is>
      </c>
      <c r="N140" s="4" t="inlineStr">
        <is>
          <t>Not identified</t>
        </is>
      </c>
      <c r="O140" s="4" t="inlineStr">
        <is>
          <t>Not identified</t>
        </is>
      </c>
      <c r="P140" s="4" t="inlineStr">
        <is>
          <t>Not searched (search budget)</t>
        </is>
      </c>
      <c r="Q140" s="4" t="inlineStr">
        <is>
          <t>Not found (use site)</t>
        </is>
      </c>
      <c r="R140" s="4" t="inlineStr">
        <is>
          <t>Not identified</t>
        </is>
      </c>
      <c r="S140" s="4" t="inlineStr">
        <is>
          <t>Unverified</t>
        </is>
      </c>
      <c r="T140" s="6">
        <f>SUM(Z140:AF140)</f>
        <v>17</v>
      </c>
      <c r="U140" s="10" t="inlineStr">
        <is>
          <t>V4</t>
        </is>
      </c>
      <c r="V140" s="4" t="inlineStr">
        <is>
          <t>QUALIFY FIRST: animal hospital sales not confirmed in sources. Mie device wholesaler.</t>
        </is>
      </c>
      <c r="W140" s="4" t="inlineStr">
        <is>
          <t>Open by asking whether they serve animal hospitals today; if yes, offer a vet line with no overlap to their human ultrasound brands.</t>
        </is>
      </c>
      <c r="X140" s="4" t="inlineStr">
        <is>
          <t>Not checked (human list not in v17)</t>
        </is>
      </c>
      <c r="Y140" s="4" t="inlineStr">
        <is>
          <t>https://baseconnect.in/companies/prefecture/e010a2b6-a345-4a52-b350-1ca592e384b8/keyword/a68873de-8c54-4a2c-820f-e04c8b93064c</t>
        </is>
      </c>
      <c r="Z140" s="4" t="n">
        <v>2</v>
      </c>
      <c r="AA140" s="4" t="n">
        <v>3</v>
      </c>
      <c r="AB140" s="4" t="n">
        <v>3</v>
      </c>
      <c r="AC140" s="4" t="n">
        <v>2</v>
      </c>
      <c r="AD140" s="4" t="n">
        <v>1</v>
      </c>
      <c r="AE140" s="4" t="n">
        <v>4</v>
      </c>
      <c r="AF140" s="4" t="n">
        <v>2</v>
      </c>
      <c r="AG140" s="11" t="inlineStr">
        <is>
          <t>Qualify first</t>
        </is>
      </c>
    </row>
    <row r="141" ht="75" customHeight="1">
      <c r="A141" s="4" t="n">
        <v>137</v>
      </c>
      <c r="B141" s="4" t="inlineStr">
        <is>
          <t>Date Medical Service Co., Ltd.</t>
        </is>
      </c>
      <c r="C141" s="4" t="inlineStr">
        <is>
          <t>株式会社ダテ・メディカルサービス</t>
        </is>
      </c>
      <c r="D141" s="4" t="inlineStr">
        <is>
          <t>Not found (NTA lookup blocked; dedupe by Japanese name)</t>
        </is>
      </c>
      <c r="E141" s="4" t="inlineStr">
        <is>
          <t>Kyoto</t>
        </is>
      </c>
      <c r="F141" s="4" t="inlineStr">
        <is>
          <t>Kansai</t>
        </is>
      </c>
      <c r="G141" s="4" t="inlineStr">
        <is>
          <t>Not found</t>
        </is>
      </c>
      <c r="H141" s="4" t="inlineStr">
        <is>
          <t>Human device sales licences; 動物用 licence not confirmed</t>
        </is>
      </c>
      <c r="I141" s="4" t="inlineStr">
        <is>
          <t>Human multi brand lines (ultrasound brands not confirmed)</t>
        </is>
      </c>
      <c r="J141" s="4" t="inlineStr">
        <is>
          <t>Companion</t>
        </is>
      </c>
      <c r="K141" s="4" t="inlineStr">
        <is>
          <t>Kyoto</t>
        </is>
      </c>
      <c r="L141" s="4" t="inlineStr">
        <is>
          <t>Not found</t>
        </is>
      </c>
      <c r="M141" s="4" t="inlineStr">
        <is>
          <t>n/a</t>
        </is>
      </c>
      <c r="N141" s="4" t="inlineStr">
        <is>
          <t>Not identified</t>
        </is>
      </c>
      <c r="O141" s="4" t="inlineStr">
        <is>
          <t>Not identified</t>
        </is>
      </c>
      <c r="P141" s="4" t="inlineStr">
        <is>
          <t>Not searched (search budget)</t>
        </is>
      </c>
      <c r="Q141" s="4" t="inlineStr">
        <is>
          <t>Not found (use site)</t>
        </is>
      </c>
      <c r="R141" s="4" t="inlineStr">
        <is>
          <t>Not identified</t>
        </is>
      </c>
      <c r="S141" s="4" t="inlineStr">
        <is>
          <t>Unverified</t>
        </is>
      </c>
      <c r="T141" s="6">
        <f>SUM(Z141:AF141)</f>
        <v>17</v>
      </c>
      <c r="U141" s="10" t="inlineStr">
        <is>
          <t>V4</t>
        </is>
      </c>
      <c r="V141" s="4" t="inlineStr">
        <is>
          <t>QUALIFY FIRST: animal hospital sales not confirmed in sources. Device sales to public and core hospitals.</t>
        </is>
      </c>
      <c r="W141" s="4" t="inlineStr">
        <is>
          <t>Open by asking whether they serve animal hospitals today; if yes, offer a vet line with no overlap to their human ultrasound brands.</t>
        </is>
      </c>
      <c r="X141" s="4" t="inlineStr">
        <is>
          <t>Not checked (human list not in v17)</t>
        </is>
      </c>
      <c r="Y141" s="4" t="inlineStr">
        <is>
          <t>https://baseconnect.in/companies/prefecture/63038c5a-e328-472b-b9cc-039738609ba7/category/b2358a1c-c4c6-46f4-a0b1-dee3a1b30a0b</t>
        </is>
      </c>
      <c r="Z141" s="4" t="n">
        <v>2</v>
      </c>
      <c r="AA141" s="4" t="n">
        <v>3</v>
      </c>
      <c r="AB141" s="4" t="n">
        <v>3</v>
      </c>
      <c r="AC141" s="4" t="n">
        <v>2</v>
      </c>
      <c r="AD141" s="4" t="n">
        <v>1</v>
      </c>
      <c r="AE141" s="4" t="n">
        <v>4</v>
      </c>
      <c r="AF141" s="4" t="n">
        <v>2</v>
      </c>
      <c r="AG141" s="11" t="inlineStr">
        <is>
          <t>Qualify first</t>
        </is>
      </c>
    </row>
    <row r="142" ht="75" customHeight="1">
      <c r="A142" s="4" t="n">
        <v>138</v>
      </c>
      <c r="B142" s="4" t="inlineStr">
        <is>
          <t>Fukuda Denshi Keiji Sales Co., Ltd.</t>
        </is>
      </c>
      <c r="C142" s="4" t="inlineStr">
        <is>
          <t>フクダ電子京滋販売株式会社</t>
        </is>
      </c>
      <c r="D142" s="4" t="inlineStr">
        <is>
          <t>Not found (NTA lookup blocked; dedupe by Japanese name)</t>
        </is>
      </c>
      <c r="E142" s="4" t="inlineStr">
        <is>
          <t>Kyoto</t>
        </is>
      </c>
      <c r="F142" s="4" t="inlineStr">
        <is>
          <t>Kansai</t>
        </is>
      </c>
      <c r="G142" s="4" t="inlineStr">
        <is>
          <t>Not found</t>
        </is>
      </c>
      <c r="H142" s="4" t="inlineStr">
        <is>
          <t>Human device sales licences; 動物用 licence not confirmed</t>
        </is>
      </c>
      <c r="I142" s="4" t="inlineStr">
        <is>
          <t>Human multi brand lines (ultrasound brands not confirmed)</t>
        </is>
      </c>
      <c r="J142" s="4" t="inlineStr">
        <is>
          <t>Companion</t>
        </is>
      </c>
      <c r="K142" s="4" t="inlineStr">
        <is>
          <t>Kyoto and Shiga</t>
        </is>
      </c>
      <c r="L142" s="4" t="inlineStr">
        <is>
          <t>Not found</t>
        </is>
      </c>
      <c r="M142" s="4" t="inlineStr">
        <is>
          <t>n/a</t>
        </is>
      </c>
      <c r="N142" s="4" t="inlineStr">
        <is>
          <t>Not identified</t>
        </is>
      </c>
      <c r="O142" s="4" t="inlineStr">
        <is>
          <t>Not identified</t>
        </is>
      </c>
      <c r="P142" s="4" t="inlineStr">
        <is>
          <t>Not searched (search budget)</t>
        </is>
      </c>
      <c r="Q142" s="4" t="inlineStr">
        <is>
          <t>Not found (use site)</t>
        </is>
      </c>
      <c r="R142" s="4" t="inlineStr">
        <is>
          <t>Not identified</t>
        </is>
      </c>
      <c r="S142" s="4" t="inlineStr">
        <is>
          <t>Unverified</t>
        </is>
      </c>
      <c r="T142" s="6">
        <f>SUM(Z142:AF142)</f>
        <v>17</v>
      </c>
      <c r="U142" s="10" t="inlineStr">
        <is>
          <t>V4</t>
        </is>
      </c>
      <c r="V142" s="4" t="inlineStr">
        <is>
          <t>QUALIFY FIRST: animal hospital sales not confirmed in sources. Fukuda Denshi sales company for testing and treatment devices.</t>
        </is>
      </c>
      <c r="W142" s="4" t="inlineStr">
        <is>
          <t>Open by asking whether they serve animal hospitals today; if yes, offer a vet line with no overlap to their human ultrasound brands.</t>
        </is>
      </c>
      <c r="X142" s="4" t="inlineStr">
        <is>
          <t>Not checked (human list not in v17)</t>
        </is>
      </c>
      <c r="Y142" s="4" t="inlineStr">
        <is>
          <t>https://baseconnect.in/companies/prefecture/63038c5a-e328-472b-b9cc-039738609ba7/category/b2358a1c-c4c6-46f4-a0b1-dee3a1b30a0b</t>
        </is>
      </c>
      <c r="Z142" s="4" t="n">
        <v>2</v>
      </c>
      <c r="AA142" s="4" t="n">
        <v>3</v>
      </c>
      <c r="AB142" s="4" t="n">
        <v>3</v>
      </c>
      <c r="AC142" s="4" t="n">
        <v>2</v>
      </c>
      <c r="AD142" s="4" t="n">
        <v>1</v>
      </c>
      <c r="AE142" s="4" t="n">
        <v>4</v>
      </c>
      <c r="AF142" s="4" t="n">
        <v>2</v>
      </c>
      <c r="AG142" s="11" t="inlineStr">
        <is>
          <t>Qualify first</t>
        </is>
      </c>
    </row>
    <row r="143" ht="75" customHeight="1">
      <c r="A143" s="4" t="n">
        <v>139</v>
      </c>
      <c r="B143" s="4" t="inlineStr">
        <is>
          <t>Hino Yakuhin Co., Ltd.</t>
        </is>
      </c>
      <c r="C143" s="4" t="inlineStr">
        <is>
          <t>日野薬品株式会社</t>
        </is>
      </c>
      <c r="D143" s="4" t="inlineStr">
        <is>
          <t>Not found (NTA lookup blocked; dedupe by Japanese name)</t>
        </is>
      </c>
      <c r="E143" s="4" t="inlineStr">
        <is>
          <t>Osaka</t>
        </is>
      </c>
      <c r="F143" s="4" t="inlineStr">
        <is>
          <t>Kansai</t>
        </is>
      </c>
      <c r="G143" s="4" t="inlineStr">
        <is>
          <t>Not found</t>
        </is>
      </c>
      <c r="H143" s="4" t="inlineStr">
        <is>
          <t>Human device sales licences; 動物用 licence not confirmed</t>
        </is>
      </c>
      <c r="I143" s="4" t="inlineStr">
        <is>
          <t>Human multi brand lines (ultrasound brands not confirmed)</t>
        </is>
      </c>
      <c r="J143" s="4" t="inlineStr">
        <is>
          <t>Companion</t>
        </is>
      </c>
      <c r="K143" s="4" t="inlineStr">
        <is>
          <t>Osaka</t>
        </is>
      </c>
      <c r="L143" s="4" t="inlineStr">
        <is>
          <t>Not found</t>
        </is>
      </c>
      <c r="M143" s="4" t="inlineStr">
        <is>
          <t>n/a</t>
        </is>
      </c>
      <c r="N143" s="4" t="inlineStr">
        <is>
          <t>Not identified</t>
        </is>
      </c>
      <c r="O143" s="4" t="inlineStr">
        <is>
          <t>Not identified</t>
        </is>
      </c>
      <c r="P143" s="4" t="inlineStr">
        <is>
          <t>Not searched (search budget)</t>
        </is>
      </c>
      <c r="Q143" s="4" t="inlineStr">
        <is>
          <t>Not found (use site)</t>
        </is>
      </c>
      <c r="R143" s="4" t="inlineStr">
        <is>
          <t>Not identified</t>
        </is>
      </c>
      <c r="S143" s="4" t="inlineStr">
        <is>
          <t>Unverified</t>
        </is>
      </c>
      <c r="T143" s="6">
        <f>SUM(Z143:AF143)</f>
        <v>17</v>
      </c>
      <c r="U143" s="10" t="inlineStr">
        <is>
          <t>V4</t>
        </is>
      </c>
      <c r="V143" s="4" t="inlineStr">
        <is>
          <t>QUALIFY FIRST: animal hospital sales not confirmed in sources. Osaka device trading company (Chuo ward).</t>
        </is>
      </c>
      <c r="W143" s="4" t="inlineStr">
        <is>
          <t>Open by asking whether they serve animal hospitals today; if yes, offer a vet line with no overlap to their human ultrasound brands.</t>
        </is>
      </c>
      <c r="X143" s="4" t="inlineStr">
        <is>
          <t>Not checked (human list not in v17)</t>
        </is>
      </c>
      <c r="Y143" s="4" t="inlineStr">
        <is>
          <t>https://www.navitime.co.jp/category/0516/27128/?tags=010190</t>
        </is>
      </c>
      <c r="Z143" s="4" t="n">
        <v>2</v>
      </c>
      <c r="AA143" s="4" t="n">
        <v>3</v>
      </c>
      <c r="AB143" s="4" t="n">
        <v>3</v>
      </c>
      <c r="AC143" s="4" t="n">
        <v>2</v>
      </c>
      <c r="AD143" s="4" t="n">
        <v>1</v>
      </c>
      <c r="AE143" s="4" t="n">
        <v>4</v>
      </c>
      <c r="AF143" s="4" t="n">
        <v>2</v>
      </c>
      <c r="AG143" s="11" t="inlineStr">
        <is>
          <t>Qualify first</t>
        </is>
      </c>
    </row>
    <row r="144" ht="75" customHeight="1">
      <c r="A144" s="4" t="n">
        <v>140</v>
      </c>
      <c r="B144" s="4" t="inlineStr">
        <is>
          <t>Hokushin Medical Co., Ltd.</t>
        </is>
      </c>
      <c r="C144" s="4" t="inlineStr">
        <is>
          <t>株式会社ホクシンメディカル</t>
        </is>
      </c>
      <c r="D144" s="4" t="inlineStr">
        <is>
          <t>Not found (NTA lookup blocked; dedupe by Japanese name)</t>
        </is>
      </c>
      <c r="E144" s="4" t="inlineStr">
        <is>
          <t>Hyogo</t>
        </is>
      </c>
      <c r="F144" s="4" t="inlineStr">
        <is>
          <t>Kansai</t>
        </is>
      </c>
      <c r="G144" s="4" t="inlineStr">
        <is>
          <t>Not found</t>
        </is>
      </c>
      <c r="H144" s="4" t="inlineStr">
        <is>
          <t>Human device sales licences; 動物用 licence not confirmed</t>
        </is>
      </c>
      <c r="I144" s="4" t="inlineStr">
        <is>
          <t>Human multi brand lines (ultrasound brands not confirmed)</t>
        </is>
      </c>
      <c r="J144" s="4" t="inlineStr">
        <is>
          <t>Companion</t>
        </is>
      </c>
      <c r="K144" s="4" t="inlineStr">
        <is>
          <t>Hyogo (Kobe Higashinada)</t>
        </is>
      </c>
      <c r="L144" s="4" t="inlineStr">
        <is>
          <t>Not found</t>
        </is>
      </c>
      <c r="M144" s="4" t="inlineStr">
        <is>
          <t>n/a</t>
        </is>
      </c>
      <c r="N144" s="4" t="inlineStr">
        <is>
          <t>Not identified</t>
        </is>
      </c>
      <c r="O144" s="4" t="inlineStr">
        <is>
          <t>Not identified</t>
        </is>
      </c>
      <c r="P144" s="4" t="inlineStr">
        <is>
          <t>Not searched (search budget)</t>
        </is>
      </c>
      <c r="Q144" s="4" t="inlineStr">
        <is>
          <t>Not found (use site)</t>
        </is>
      </c>
      <c r="R144" s="4" t="inlineStr">
        <is>
          <t>Not identified</t>
        </is>
      </c>
      <c r="S144" s="4" t="inlineStr">
        <is>
          <t>Unverified</t>
        </is>
      </c>
      <c r="T144" s="6">
        <f>SUM(Z144:AF144)</f>
        <v>17</v>
      </c>
      <c r="U144" s="10" t="inlineStr">
        <is>
          <t>V4</t>
        </is>
      </c>
      <c r="V144" s="4" t="inlineStr">
        <is>
          <t>QUALIFY FIRST: animal hospital sales not confirmed in sources. Kobe device and supplies wholesaler.</t>
        </is>
      </c>
      <c r="W144" s="4" t="inlineStr">
        <is>
          <t>Open by asking whether they serve animal hospitals today; if yes, offer a vet line with no overlap to their human ultrasound brands.</t>
        </is>
      </c>
      <c r="X144" s="4" t="inlineStr">
        <is>
          <t>Not checked (human list not in v17)</t>
        </is>
      </c>
      <c r="Y144" s="4" t="inlineStr">
        <is>
          <t>https://www.nikkei.com/compass/search/Y2F0ZWdvcnk9Y29tcGFueSZyZWdpb249MjgmaW5kdXN0cnlTPTA1MzI ; https://houjin.goo.to/corporations/prefs/hyogo/category-s-medical-equipment-and-instrument-trading-companies</t>
        </is>
      </c>
      <c r="Z144" s="4" t="n">
        <v>2</v>
      </c>
      <c r="AA144" s="4" t="n">
        <v>3</v>
      </c>
      <c r="AB144" s="4" t="n">
        <v>3</v>
      </c>
      <c r="AC144" s="4" t="n">
        <v>2</v>
      </c>
      <c r="AD144" s="4" t="n">
        <v>1</v>
      </c>
      <c r="AE144" s="4" t="n">
        <v>4</v>
      </c>
      <c r="AF144" s="4" t="n">
        <v>2</v>
      </c>
      <c r="AG144" s="11" t="inlineStr">
        <is>
          <t>Qualify first</t>
        </is>
      </c>
    </row>
    <row r="145" ht="75" customHeight="1">
      <c r="A145" s="4" t="n">
        <v>141</v>
      </c>
      <c r="B145" s="4" t="inlineStr">
        <is>
          <t>Ishitsubo Co., Ltd.</t>
        </is>
      </c>
      <c r="C145" s="4" t="inlineStr">
        <is>
          <t>株式会社石坪</t>
        </is>
      </c>
      <c r="D145" s="4" t="inlineStr">
        <is>
          <t>Not found (NTA lookup blocked; dedupe by Japanese name)</t>
        </is>
      </c>
      <c r="E145" s="4" t="inlineStr">
        <is>
          <t>Kyoto</t>
        </is>
      </c>
      <c r="F145" s="4" t="inlineStr">
        <is>
          <t>Kansai</t>
        </is>
      </c>
      <c r="G145" s="4" t="inlineStr">
        <is>
          <t>Not found</t>
        </is>
      </c>
      <c r="H145" s="4" t="inlineStr">
        <is>
          <t>Human device sales licences; 動物用 licence not confirmed</t>
        </is>
      </c>
      <c r="I145" s="4" t="inlineStr">
        <is>
          <t>Human multi brand lines (ultrasound brands not confirmed)</t>
        </is>
      </c>
      <c r="J145" s="4" t="inlineStr">
        <is>
          <t>Companion</t>
        </is>
      </c>
      <c r="K145" s="4" t="inlineStr">
        <is>
          <t>North Kyoto (Fukuchiyama)</t>
        </is>
      </c>
      <c r="L145" s="4" t="inlineStr">
        <is>
          <t>Not found</t>
        </is>
      </c>
      <c r="M145" s="4" t="inlineStr">
        <is>
          <t>n/a</t>
        </is>
      </c>
      <c r="N145" s="4" t="inlineStr">
        <is>
          <t>Not identified</t>
        </is>
      </c>
      <c r="O145" s="4" t="inlineStr">
        <is>
          <t>Not identified</t>
        </is>
      </c>
      <c r="P145" s="4" t="inlineStr">
        <is>
          <t>shi.takenaka@ishitsubo.co.jp</t>
        </is>
      </c>
      <c r="Q145" s="4" t="inlineStr">
        <is>
          <t>Not found (use site)</t>
        </is>
      </c>
      <c r="R145" s="4" t="inlineStr">
        <is>
          <t>Not identified</t>
        </is>
      </c>
      <c r="S145" s="4" t="inlineStr">
        <is>
          <t>Likely (third party listing); named staff address (Takenaka)</t>
        </is>
      </c>
      <c r="T145" s="6">
        <f>SUM(Z145:AF145)</f>
        <v>17</v>
      </c>
      <c r="U145" s="10" t="inlineStr">
        <is>
          <t>V4</t>
        </is>
      </c>
      <c r="V145" s="4" t="inlineStr">
        <is>
          <t>QUALIFY FIRST: animal hospital sales not confirmed in sources. Device sales, maintenance and clinic opening support in north Kyoto.</t>
        </is>
      </c>
      <c r="W145" s="4" t="inlineStr">
        <is>
          <t>Open by asking whether they serve animal hospitals today; if yes, offer a vet line with no overlap to their human ultrasound brands.</t>
        </is>
      </c>
      <c r="X145" s="4" t="inlineStr">
        <is>
          <t>Not checked (human list not in v17)</t>
        </is>
      </c>
      <c r="Y145" s="4" t="inlineStr">
        <is>
          <t>https://baseconnect.in/companies/prefecture/63038c5a-e328-472b-b9cc-039738609ba7/category/b2358a1c-c4c6-46f4-a0b1-dee3a1b30a0b ; http://www.mia-kyoto.gr.jp/members/ishitsubo.html</t>
        </is>
      </c>
      <c r="Z145" s="4" t="n">
        <v>2</v>
      </c>
      <c r="AA145" s="4" t="n">
        <v>3</v>
      </c>
      <c r="AB145" s="4" t="n">
        <v>3</v>
      </c>
      <c r="AC145" s="4" t="n">
        <v>2</v>
      </c>
      <c r="AD145" s="4" t="n">
        <v>1</v>
      </c>
      <c r="AE145" s="4" t="n">
        <v>4</v>
      </c>
      <c r="AF145" s="4" t="n">
        <v>2</v>
      </c>
      <c r="AG145" s="11" t="inlineStr">
        <is>
          <t>Qualify first</t>
        </is>
      </c>
    </row>
    <row r="146" ht="75" customHeight="1">
      <c r="A146" s="4" t="n">
        <v>142</v>
      </c>
      <c r="B146" s="4" t="inlineStr">
        <is>
          <t>Kanyaku Co., Ltd.</t>
        </is>
      </c>
      <c r="C146" s="4" t="inlineStr">
        <is>
          <t>株式会社関薬</t>
        </is>
      </c>
      <c r="D146" s="4" t="inlineStr">
        <is>
          <t>Not found (NTA lookup blocked; dedupe by Japanese name)</t>
        </is>
      </c>
      <c r="E146" s="4" t="inlineStr">
        <is>
          <t>Osaka</t>
        </is>
      </c>
      <c r="F146" s="4" t="inlineStr">
        <is>
          <t>Kansai</t>
        </is>
      </c>
      <c r="G146" s="4" t="inlineStr">
        <is>
          <t>Not found</t>
        </is>
      </c>
      <c r="H146" s="4" t="inlineStr">
        <is>
          <t>Human device sales licences; 動物用 licence not confirmed</t>
        </is>
      </c>
      <c r="I146" s="4" t="inlineStr">
        <is>
          <t>Human multi brand lines (ultrasound brands not confirmed)</t>
        </is>
      </c>
      <c r="J146" s="4" t="inlineStr">
        <is>
          <t>Companion</t>
        </is>
      </c>
      <c r="K146" s="4" t="inlineStr">
        <is>
          <t>Osaka</t>
        </is>
      </c>
      <c r="L146" s="4" t="inlineStr">
        <is>
          <t>Not found</t>
        </is>
      </c>
      <c r="M146" s="4" t="inlineStr">
        <is>
          <t>n/a</t>
        </is>
      </c>
      <c r="N146" s="4" t="inlineStr">
        <is>
          <t>Not identified</t>
        </is>
      </c>
      <c r="O146" s="4" t="inlineStr">
        <is>
          <t>Not identified</t>
        </is>
      </c>
      <c r="P146" s="4" t="inlineStr">
        <is>
          <t>Not searched (search budget)</t>
        </is>
      </c>
      <c r="Q146" s="4" t="inlineStr">
        <is>
          <t>Not found (use site)</t>
        </is>
      </c>
      <c r="R146" s="4" t="inlineStr">
        <is>
          <t>Not identified</t>
        </is>
      </c>
      <c r="S146" s="4" t="inlineStr">
        <is>
          <t>Unverified</t>
        </is>
      </c>
      <c r="T146" s="6">
        <f>SUM(Z146:AF146)</f>
        <v>17</v>
      </c>
      <c r="U146" s="10" t="inlineStr">
        <is>
          <t>V4</t>
        </is>
      </c>
      <c r="V146" s="4" t="inlineStr">
        <is>
          <t>QUALIFY FIRST: animal hospital sales not confirmed in sources. Lab reagent and device wholesaler to hospitals and research.</t>
        </is>
      </c>
      <c r="W146" s="4" t="inlineStr">
        <is>
          <t>Open by asking whether they serve animal hospitals today; if yes, offer a vet line with no overlap to their human ultrasound brands.</t>
        </is>
      </c>
      <c r="X146" s="4" t="inlineStr">
        <is>
          <t>Not checked (human list not in v17)</t>
        </is>
      </c>
      <c r="Y146" s="4" t="inlineStr">
        <is>
          <t>https://baseconnect.in/companies/prefecture/d80b180e-5fd9-4082-8cdc-a510179a3475/keyword/89941b4e-2dd1-4848-8957-48af280a31e0</t>
        </is>
      </c>
      <c r="Z146" s="4" t="n">
        <v>2</v>
      </c>
      <c r="AA146" s="4" t="n">
        <v>3</v>
      </c>
      <c r="AB146" s="4" t="n">
        <v>3</v>
      </c>
      <c r="AC146" s="4" t="n">
        <v>2</v>
      </c>
      <c r="AD146" s="4" t="n">
        <v>1</v>
      </c>
      <c r="AE146" s="4" t="n">
        <v>4</v>
      </c>
      <c r="AF146" s="4" t="n">
        <v>2</v>
      </c>
      <c r="AG146" s="11" t="inlineStr">
        <is>
          <t>Qualify first</t>
        </is>
      </c>
    </row>
    <row r="147" ht="75" customHeight="1">
      <c r="A147" s="4" t="n">
        <v>143</v>
      </c>
      <c r="B147" s="4" t="inlineStr">
        <is>
          <t>Ki Medical</t>
        </is>
      </c>
      <c r="C147" s="4" t="inlineStr">
        <is>
          <t>キ・メディカル (京都医療機器協会会員)</t>
        </is>
      </c>
      <c r="D147" s="4" t="inlineStr">
        <is>
          <t>Not found (NTA lookup blocked; dedupe by Japanese name)</t>
        </is>
      </c>
      <c r="E147" s="4" t="inlineStr">
        <is>
          <t>Kyoto</t>
        </is>
      </c>
      <c r="F147" s="4" t="inlineStr">
        <is>
          <t>Kansai</t>
        </is>
      </c>
      <c r="G147" s="5" t="inlineStr">
        <is>
          <t>https://kimedical-kyoto.com/</t>
        </is>
      </c>
      <c r="H147" s="4" t="inlineStr">
        <is>
          <t>Human device sales licences; 動物用 licence not confirmed</t>
        </is>
      </c>
      <c r="I147" s="4" t="inlineStr">
        <is>
          <t>Human multi brand lines (ultrasound brands not confirmed)</t>
        </is>
      </c>
      <c r="J147" s="4" t="inlineStr">
        <is>
          <t>Companion</t>
        </is>
      </c>
      <c r="K147" s="4" t="inlineStr">
        <is>
          <t>Kyoto</t>
        </is>
      </c>
      <c r="L147" s="4" t="inlineStr">
        <is>
          <t>Not found</t>
        </is>
      </c>
      <c r="M147" s="4" t="inlineStr">
        <is>
          <t>n/a</t>
        </is>
      </c>
      <c r="N147" s="4" t="inlineStr">
        <is>
          <t>Not identified</t>
        </is>
      </c>
      <c r="O147" s="4" t="inlineStr">
        <is>
          <t>Not identified</t>
        </is>
      </c>
      <c r="P147" s="4" t="inlineStr">
        <is>
          <t>Not published; phone only</t>
        </is>
      </c>
      <c r="Q147" s="4" t="inlineStr">
        <is>
          <t>075 441 6677</t>
        </is>
      </c>
      <c r="R147" s="4" t="inlineStr">
        <is>
          <t>Not identified</t>
        </is>
      </c>
      <c r="S147" s="4" t="inlineStr">
        <is>
          <t>Company inquiry only (phone); FLAG likely 株式会社ケーアイメディカル (association lists no email)</t>
        </is>
      </c>
      <c r="T147" s="6">
        <f>SUM(Z147:AF147)</f>
        <v>17</v>
      </c>
      <c r="U147" s="10" t="inlineStr">
        <is>
          <t>V4</t>
        </is>
      </c>
      <c r="V147" s="4" t="inlineStr">
        <is>
          <t>QUALIFY FIRST: animal hospital sales not confirmed in sources. Member of the Kyoto Medical Instruments Association. FLAG: Exact legal name not confirmed.</t>
        </is>
      </c>
      <c r="W147" s="4" t="inlineStr">
        <is>
          <t>Open by asking whether they serve animal hospitals today; if yes, offer a vet line with no overlap to their human ultrasound brands.</t>
        </is>
      </c>
      <c r="X147" s="4" t="inlineStr">
        <is>
          <t>Not checked (human list not in v17)</t>
        </is>
      </c>
      <c r="Y147" s="4" t="inlineStr">
        <is>
          <t>http://www.mia-kyoto.gr.jp/members/kimedical.html</t>
        </is>
      </c>
      <c r="Z147" s="4" t="n">
        <v>2</v>
      </c>
      <c r="AA147" s="4" t="n">
        <v>3</v>
      </c>
      <c r="AB147" s="4" t="n">
        <v>3</v>
      </c>
      <c r="AC147" s="4" t="n">
        <v>2</v>
      </c>
      <c r="AD147" s="4" t="n">
        <v>1</v>
      </c>
      <c r="AE147" s="4" t="n">
        <v>4</v>
      </c>
      <c r="AF147" s="4" t="n">
        <v>2</v>
      </c>
      <c r="AG147" s="11" t="inlineStr">
        <is>
          <t>Qualify first</t>
        </is>
      </c>
    </row>
    <row r="148" ht="75" customHeight="1">
      <c r="A148" s="4" t="n">
        <v>144</v>
      </c>
      <c r="B148" s="4" t="inlineStr">
        <is>
          <t>Kobe Soken Co., Ltd.</t>
        </is>
      </c>
      <c r="C148" s="4" t="inlineStr">
        <is>
          <t>株式会社神戸創健</t>
        </is>
      </c>
      <c r="D148" s="4" t="inlineStr">
        <is>
          <t>Not found (NTA lookup blocked; dedupe by Japanese name)</t>
        </is>
      </c>
      <c r="E148" s="4" t="inlineStr">
        <is>
          <t>Hyogo</t>
        </is>
      </c>
      <c r="F148" s="4" t="inlineStr">
        <is>
          <t>Kansai</t>
        </is>
      </c>
      <c r="G148" s="4" t="inlineStr">
        <is>
          <t>Not found</t>
        </is>
      </c>
      <c r="H148" s="4" t="inlineStr">
        <is>
          <t>Human device sales licences; 動物用 licence not confirmed</t>
        </is>
      </c>
      <c r="I148" s="4" t="inlineStr">
        <is>
          <t>Human multi brand lines (ultrasound brands not confirmed)</t>
        </is>
      </c>
      <c r="J148" s="4" t="inlineStr">
        <is>
          <t>Companion</t>
        </is>
      </c>
      <c r="K148" s="4" t="inlineStr">
        <is>
          <t>Ashiya and Kobe</t>
        </is>
      </c>
      <c r="L148" s="4" t="inlineStr">
        <is>
          <t>Not found</t>
        </is>
      </c>
      <c r="M148" s="4" t="inlineStr">
        <is>
          <t>n/a</t>
        </is>
      </c>
      <c r="N148" s="4" t="inlineStr">
        <is>
          <t>Not identified</t>
        </is>
      </c>
      <c r="O148" s="4" t="inlineStr">
        <is>
          <t>Not identified</t>
        </is>
      </c>
      <c r="P148" s="4" t="inlineStr">
        <is>
          <t>Not searched (search budget)</t>
        </is>
      </c>
      <c r="Q148" s="4" t="inlineStr">
        <is>
          <t>Not found (use site)</t>
        </is>
      </c>
      <c r="R148" s="4" t="inlineStr">
        <is>
          <t>Not identified</t>
        </is>
      </c>
      <c r="S148" s="4" t="inlineStr">
        <is>
          <t>Unverified</t>
        </is>
      </c>
      <c r="T148" s="6">
        <f>SUM(Z148:AF148)</f>
        <v>17</v>
      </c>
      <c r="U148" s="10" t="inlineStr">
        <is>
          <t>V4</t>
        </is>
      </c>
      <c r="V148" s="4" t="inlineStr">
        <is>
          <t>QUALIFY FIRST: animal hospital sales not confirmed in sources. Hyogo device trading company.</t>
        </is>
      </c>
      <c r="W148" s="4" t="inlineStr">
        <is>
          <t>Open by asking whether they serve animal hospitals today; if yes, offer a vet line with no overlap to their human ultrasound brands.</t>
        </is>
      </c>
      <c r="X148" s="4" t="inlineStr">
        <is>
          <t>Not checked (human list not in v17)</t>
        </is>
      </c>
      <c r="Y148" s="4" t="inlineStr">
        <is>
          <t>https://houjin.goo.to/corporations/prefs/hyogo/category-s-medical-equipment-and-instrument-trading-companies</t>
        </is>
      </c>
      <c r="Z148" s="4" t="n">
        <v>2</v>
      </c>
      <c r="AA148" s="4" t="n">
        <v>3</v>
      </c>
      <c r="AB148" s="4" t="n">
        <v>3</v>
      </c>
      <c r="AC148" s="4" t="n">
        <v>2</v>
      </c>
      <c r="AD148" s="4" t="n">
        <v>1</v>
      </c>
      <c r="AE148" s="4" t="n">
        <v>4</v>
      </c>
      <c r="AF148" s="4" t="n">
        <v>2</v>
      </c>
      <c r="AG148" s="11" t="inlineStr">
        <is>
          <t>Qualify first</t>
        </is>
      </c>
    </row>
    <row r="149" ht="75" customHeight="1">
      <c r="A149" s="4" t="n">
        <v>145</v>
      </c>
      <c r="B149" s="4" t="inlineStr">
        <is>
          <t>Konishi Iryoki Co., Ltd.</t>
        </is>
      </c>
      <c r="C149" s="4" t="inlineStr">
        <is>
          <t>小西医療器株式会社</t>
        </is>
      </c>
      <c r="D149" s="4" t="inlineStr">
        <is>
          <t>Not found (NTA lookup blocked; dedupe by Japanese name)</t>
        </is>
      </c>
      <c r="E149" s="4" t="inlineStr">
        <is>
          <t>Osaka</t>
        </is>
      </c>
      <c r="F149" s="4" t="inlineStr">
        <is>
          <t>Kansai</t>
        </is>
      </c>
      <c r="G149" s="5" t="inlineStr">
        <is>
          <t>https://www.kns-md.co.jp/</t>
        </is>
      </c>
      <c r="H149" s="4" t="inlineStr">
        <is>
          <t>Human device sales licences; 動物用 licence not confirmed</t>
        </is>
      </c>
      <c r="I149" s="4" t="inlineStr">
        <is>
          <t>Human multi brand lines (ultrasound brands not confirmed)</t>
        </is>
      </c>
      <c r="J149" s="4" t="inlineStr">
        <is>
          <t>Companion</t>
        </is>
      </c>
      <c r="K149" s="4" t="inlineStr">
        <is>
          <t>Osaka and Kansai</t>
        </is>
      </c>
      <c r="L149" s="4" t="inlineStr">
        <is>
          <t>Not found</t>
        </is>
      </c>
      <c r="M149" s="4" t="inlineStr">
        <is>
          <t>n/a</t>
        </is>
      </c>
      <c r="N149" s="4" t="inlineStr">
        <is>
          <t>Not identified</t>
        </is>
      </c>
      <c r="O149" s="4" t="inlineStr">
        <is>
          <t>Not identified</t>
        </is>
      </c>
      <c r="P149" s="4" t="inlineStr">
        <is>
          <t>Not published; inquiry form: https://www.kns-md.co.jp/contact/</t>
        </is>
      </c>
      <c r="Q149" s="4" t="inlineStr">
        <is>
          <t>06 6941 1363</t>
        </is>
      </c>
      <c r="R149" s="4" t="inlineStr">
        <is>
          <t>Not identified</t>
        </is>
      </c>
      <c r="S149" s="4" t="inlineStr">
        <is>
          <t>Company inquiry only (form)</t>
        </is>
      </c>
      <c r="T149" s="6">
        <f>SUM(Z149:AF149)</f>
        <v>17</v>
      </c>
      <c r="U149" s="10" t="inlineStr">
        <is>
          <t>V4</t>
        </is>
      </c>
      <c r="V149" s="4" t="inlineStr">
        <is>
          <t>QUALIFY FIRST: animal hospital sales not confirmed in sources. Osaka device trading house of nearly 80 years serving public and university hospitals.</t>
        </is>
      </c>
      <c r="W149" s="4" t="inlineStr">
        <is>
          <t>Open by asking whether they serve animal hospitals today; if yes, offer a vet line with no overlap to their human ultrasound brands.</t>
        </is>
      </c>
      <c r="X149" s="4" t="inlineStr">
        <is>
          <t>Not checked (human list not in v17)</t>
        </is>
      </c>
      <c r="Y149" s="4" t="inlineStr">
        <is>
          <t>https://www.kns-md.co.jp/ ; https://www.kns-md.co.jp/contact/</t>
        </is>
      </c>
      <c r="Z149" s="4" t="n">
        <v>2</v>
      </c>
      <c r="AA149" s="4" t="n">
        <v>3</v>
      </c>
      <c r="AB149" s="4" t="n">
        <v>3</v>
      </c>
      <c r="AC149" s="4" t="n">
        <v>2</v>
      </c>
      <c r="AD149" s="4" t="n">
        <v>1</v>
      </c>
      <c r="AE149" s="4" t="n">
        <v>4</v>
      </c>
      <c r="AF149" s="4" t="n">
        <v>2</v>
      </c>
      <c r="AG149" s="11" t="inlineStr">
        <is>
          <t>Qualify first</t>
        </is>
      </c>
    </row>
    <row r="150" ht="75" customHeight="1">
      <c r="A150" s="4" t="n">
        <v>146</v>
      </c>
      <c r="B150" s="4" t="inlineStr">
        <is>
          <t>Koshin International Co., Ltd.</t>
        </is>
      </c>
      <c r="C150" s="4" t="inlineStr">
        <is>
          <t>コーシンインターナショナル株式会社</t>
        </is>
      </c>
      <c r="D150" s="4" t="inlineStr">
        <is>
          <t>Not found (NTA lookup blocked; dedupe by Japanese name)</t>
        </is>
      </c>
      <c r="E150" s="4" t="inlineStr">
        <is>
          <t>Hyogo</t>
        </is>
      </c>
      <c r="F150" s="4" t="inlineStr">
        <is>
          <t>Kansai</t>
        </is>
      </c>
      <c r="G150" s="4" t="inlineStr">
        <is>
          <t>Not found</t>
        </is>
      </c>
      <c r="H150" s="4" t="inlineStr">
        <is>
          <t>Human device sales licences; 動物用 licence not confirmed</t>
        </is>
      </c>
      <c r="I150" s="4" t="inlineStr">
        <is>
          <t>Human multi brand lines (ultrasound brands not confirmed)</t>
        </is>
      </c>
      <c r="J150" s="4" t="inlineStr">
        <is>
          <t>Companion</t>
        </is>
      </c>
      <c r="K150" s="4" t="inlineStr">
        <is>
          <t>Hyogo</t>
        </is>
      </c>
      <c r="L150" s="4" t="inlineStr">
        <is>
          <t>Not found</t>
        </is>
      </c>
      <c r="M150" s="4" t="inlineStr">
        <is>
          <t>n/a</t>
        </is>
      </c>
      <c r="N150" s="4" t="inlineStr">
        <is>
          <t>Not identified</t>
        </is>
      </c>
      <c r="O150" s="4" t="inlineStr">
        <is>
          <t>Not identified</t>
        </is>
      </c>
      <c r="P150" s="4" t="inlineStr">
        <is>
          <t>Not searched (search budget)</t>
        </is>
      </c>
      <c r="Q150" s="4" t="inlineStr">
        <is>
          <t>Not found (use site)</t>
        </is>
      </c>
      <c r="R150" s="4" t="inlineStr">
        <is>
          <t>Not identified</t>
        </is>
      </c>
      <c r="S150" s="4" t="inlineStr">
        <is>
          <t>Unverified</t>
        </is>
      </c>
      <c r="T150" s="6">
        <f>SUM(Z150:AF150)</f>
        <v>17</v>
      </c>
      <c r="U150" s="10" t="inlineStr">
        <is>
          <t>V4</t>
        </is>
      </c>
      <c r="V150" s="4" t="inlineStr">
        <is>
          <t>QUALIFY FIRST: animal hospital sales not confirmed in sources. Hyogo device trading company. FLAG: HQ prefecture inferred from Hyogo listing.</t>
        </is>
      </c>
      <c r="W150" s="4" t="inlineStr">
        <is>
          <t>Open by asking whether they serve animal hospitals today; if yes, offer a vet line with no overlap to their human ultrasound brands.</t>
        </is>
      </c>
      <c r="X150" s="4" t="inlineStr">
        <is>
          <t>Not checked (human list not in v17)</t>
        </is>
      </c>
      <c r="Y150" s="4" t="inlineStr">
        <is>
          <t>https://houjin.goo.to/corporations/prefs/hyogo/category-s-medical-equipment-and-instrument-trading-companies</t>
        </is>
      </c>
      <c r="Z150" s="4" t="n">
        <v>2</v>
      </c>
      <c r="AA150" s="4" t="n">
        <v>3</v>
      </c>
      <c r="AB150" s="4" t="n">
        <v>3</v>
      </c>
      <c r="AC150" s="4" t="n">
        <v>2</v>
      </c>
      <c r="AD150" s="4" t="n">
        <v>1</v>
      </c>
      <c r="AE150" s="4" t="n">
        <v>4</v>
      </c>
      <c r="AF150" s="4" t="n">
        <v>2</v>
      </c>
      <c r="AG150" s="11" t="inlineStr">
        <is>
          <t>Qualify first</t>
        </is>
      </c>
    </row>
    <row r="151" ht="75" customHeight="1">
      <c r="A151" s="4" t="n">
        <v>147</v>
      </c>
      <c r="B151" s="4" t="inlineStr">
        <is>
          <t>Masuda Ika Kikai Co., Ltd.</t>
        </is>
      </c>
      <c r="C151" s="4" t="inlineStr">
        <is>
          <t>株式会社増田医科器械</t>
        </is>
      </c>
      <c r="D151" s="4" t="inlineStr">
        <is>
          <t>Not found (NTA lookup blocked; dedupe by Japanese name)</t>
        </is>
      </c>
      <c r="E151" s="4" t="inlineStr">
        <is>
          <t>Kyoto</t>
        </is>
      </c>
      <c r="F151" s="4" t="inlineStr">
        <is>
          <t>Kansai</t>
        </is>
      </c>
      <c r="G151" s="5" t="inlineStr">
        <is>
          <t>https://www.masudaika.co.jp</t>
        </is>
      </c>
      <c r="H151" s="4" t="inlineStr">
        <is>
          <t>Human device sales licences; 動物用 licence not confirmed</t>
        </is>
      </c>
      <c r="I151" s="4" t="inlineStr">
        <is>
          <t>Human multi brand lines (ultrasound brands not confirmed)</t>
        </is>
      </c>
      <c r="J151" s="4" t="inlineStr">
        <is>
          <t>Companion</t>
        </is>
      </c>
      <c r="K151" s="4" t="inlineStr">
        <is>
          <t>Kyoto, Shiga, Fukui, Osaka, Nara, Hyogo</t>
        </is>
      </c>
      <c r="L151" s="4" t="inlineStr">
        <is>
          <t>Not found</t>
        </is>
      </c>
      <c r="M151" s="4" t="inlineStr">
        <is>
          <t>n/a</t>
        </is>
      </c>
      <c r="N151" s="4" t="inlineStr">
        <is>
          <t>Not identified</t>
        </is>
      </c>
      <c r="O151" s="4" t="inlineStr">
        <is>
          <t>Not identified</t>
        </is>
      </c>
      <c r="P151" s="4" t="inlineStr">
        <is>
          <t>info@masudaika.co.jp</t>
        </is>
      </c>
      <c r="Q151" s="4" t="inlineStr">
        <is>
          <t>075 623 7111</t>
        </is>
      </c>
      <c r="R151" s="4" t="inlineStr">
        <is>
          <t>Not identified</t>
        </is>
      </c>
      <c r="S151" s="4" t="inlineStr">
        <is>
          <t>Likely (third party listing)</t>
        </is>
      </c>
      <c r="T151" s="6">
        <f>SUM(Z151:AF151)</f>
        <v>17</v>
      </c>
      <c r="U151" s="10" t="inlineStr">
        <is>
          <t>V4</t>
        </is>
      </c>
      <c r="V151" s="4" t="inlineStr">
        <is>
          <t>QUALIFY FIRST: animal hospital sales not confirmed in sources. Kyoto device and laboratory equipment dealer.</t>
        </is>
      </c>
      <c r="W151" s="4" t="inlineStr">
        <is>
          <t>Open by asking whether they serve animal hospitals today; if yes, offer a vet line with no overlap to their human ultrasound brands.</t>
        </is>
      </c>
      <c r="X151" s="4" t="inlineStr">
        <is>
          <t>Not checked (human list not in v17)</t>
        </is>
      </c>
      <c r="Y151" s="4" t="inlineStr">
        <is>
          <t>https://www.masudaika.co.jp/aboutus/ ; https://sia-japan.com/company_list/690/</t>
        </is>
      </c>
      <c r="Z151" s="4" t="n">
        <v>2</v>
      </c>
      <c r="AA151" s="4" t="n">
        <v>3</v>
      </c>
      <c r="AB151" s="4" t="n">
        <v>3</v>
      </c>
      <c r="AC151" s="4" t="n">
        <v>2</v>
      </c>
      <c r="AD151" s="4" t="n">
        <v>1</v>
      </c>
      <c r="AE151" s="4" t="n">
        <v>4</v>
      </c>
      <c r="AF151" s="4" t="n">
        <v>2</v>
      </c>
      <c r="AG151" s="11" t="inlineStr">
        <is>
          <t>Qualify first</t>
        </is>
      </c>
    </row>
    <row r="152" ht="75" customHeight="1">
      <c r="A152" s="4" t="n">
        <v>148</v>
      </c>
      <c r="B152" s="4" t="inlineStr">
        <is>
          <t>Medicon Co., Ltd.</t>
        </is>
      </c>
      <c r="C152" s="4" t="inlineStr">
        <is>
          <t>株式会社メディコン</t>
        </is>
      </c>
      <c r="D152" s="4" t="inlineStr">
        <is>
          <t>Not found (NTA lookup blocked; dedupe by Japanese name)</t>
        </is>
      </c>
      <c r="E152" s="4" t="inlineStr">
        <is>
          <t>Osaka</t>
        </is>
      </c>
      <c r="F152" s="4" t="inlineStr">
        <is>
          <t>Kansai</t>
        </is>
      </c>
      <c r="G152" s="4" t="inlineStr">
        <is>
          <t>Not found</t>
        </is>
      </c>
      <c r="H152" s="4" t="inlineStr">
        <is>
          <t>Human device sales licences; 動物用 licence not confirmed</t>
        </is>
      </c>
      <c r="I152" s="4" t="inlineStr">
        <is>
          <t>Human multi brand lines (ultrasound brands not confirmed)</t>
        </is>
      </c>
      <c r="J152" s="4" t="inlineStr">
        <is>
          <t>Companion</t>
        </is>
      </c>
      <c r="K152" s="4" t="inlineStr">
        <is>
          <t>Osaka</t>
        </is>
      </c>
      <c r="L152" s="4" t="inlineStr">
        <is>
          <t>Not found</t>
        </is>
      </c>
      <c r="M152" s="4" t="inlineStr">
        <is>
          <t>n/a</t>
        </is>
      </c>
      <c r="N152" s="4" t="inlineStr">
        <is>
          <t>Not identified</t>
        </is>
      </c>
      <c r="O152" s="4" t="inlineStr">
        <is>
          <t>Not identified</t>
        </is>
      </c>
      <c r="P152" s="4" t="inlineStr">
        <is>
          <t>Not searched (search budget)</t>
        </is>
      </c>
      <c r="Q152" s="4" t="inlineStr">
        <is>
          <t>Not found (use site)</t>
        </is>
      </c>
      <c r="R152" s="4" t="inlineStr">
        <is>
          <t>Not identified</t>
        </is>
      </c>
      <c r="S152" s="4" t="inlineStr">
        <is>
          <t>Unverified</t>
        </is>
      </c>
      <c r="T152" s="6">
        <f>SUM(Z152:AF152)</f>
        <v>17</v>
      </c>
      <c r="U152" s="10" t="inlineStr">
        <is>
          <t>V4</t>
        </is>
      </c>
      <c r="V152" s="4" t="inlineStr">
        <is>
          <t>QUALIFY FIRST: animal hospital sales not confirmed in sources. Osaka device and supplies wholesaler.</t>
        </is>
      </c>
      <c r="W152" s="4" t="inlineStr">
        <is>
          <t>Open by asking whether they serve animal hospitals today; if yes, offer a vet line with no overlap to their human ultrasound brands.</t>
        </is>
      </c>
      <c r="X152" s="4" t="inlineStr">
        <is>
          <t>Not checked (human list not in v17)</t>
        </is>
      </c>
      <c r="Y152" s="4" t="inlineStr">
        <is>
          <t>https://www.nikkei.com/compass/search/Y2F0ZWdvcnk9Y29tcGFueSZyZWdpb249MjcmaW5kdXN0cnlTPTA1MzI</t>
        </is>
      </c>
      <c r="Z152" s="4" t="n">
        <v>2</v>
      </c>
      <c r="AA152" s="4" t="n">
        <v>3</v>
      </c>
      <c r="AB152" s="4" t="n">
        <v>3</v>
      </c>
      <c r="AC152" s="4" t="n">
        <v>2</v>
      </c>
      <c r="AD152" s="4" t="n">
        <v>1</v>
      </c>
      <c r="AE152" s="4" t="n">
        <v>4</v>
      </c>
      <c r="AF152" s="4" t="n">
        <v>2</v>
      </c>
      <c r="AG152" s="11" t="inlineStr">
        <is>
          <t>Qualify first</t>
        </is>
      </c>
    </row>
    <row r="153" ht="75" customHeight="1">
      <c r="A153" s="4" t="n">
        <v>149</v>
      </c>
      <c r="B153" s="4" t="inlineStr">
        <is>
          <t>Minato Medical Science Co., Ltd.</t>
        </is>
      </c>
      <c r="C153" s="4" t="inlineStr">
        <is>
          <t>ミナト医科学株式会社</t>
        </is>
      </c>
      <c r="D153" s="4" t="inlineStr">
        <is>
          <t>Not found (NTA lookup blocked; dedupe by Japanese name)</t>
        </is>
      </c>
      <c r="E153" s="4" t="inlineStr">
        <is>
          <t>Osaka</t>
        </is>
      </c>
      <c r="F153" s="4" t="inlineStr">
        <is>
          <t>Kansai</t>
        </is>
      </c>
      <c r="G153" s="5" t="inlineStr">
        <is>
          <t>https://www.minato-med.co.jp/</t>
        </is>
      </c>
      <c r="H153" s="4" t="inlineStr">
        <is>
          <t>Human device sales licences; 動物用 licence not confirmed</t>
        </is>
      </c>
      <c r="I153" s="4" t="inlineStr">
        <is>
          <t>Human multi brand lines (ultrasound brands not confirmed)</t>
        </is>
      </c>
      <c r="J153" s="4" t="inlineStr">
        <is>
          <t>Companion</t>
        </is>
      </c>
      <c r="K153" s="4" t="inlineStr">
        <is>
          <t>National</t>
        </is>
      </c>
      <c r="L153" s="4" t="inlineStr">
        <is>
          <t>Not found</t>
        </is>
      </c>
      <c r="M153" s="4" t="inlineStr">
        <is>
          <t>n/a</t>
        </is>
      </c>
      <c r="N153" s="4" t="inlineStr">
        <is>
          <t>Not identified</t>
        </is>
      </c>
      <c r="O153" s="4" t="inlineStr">
        <is>
          <t>Not identified</t>
        </is>
      </c>
      <c r="P153" s="4" t="inlineStr">
        <is>
          <t>Not published; phone only</t>
        </is>
      </c>
      <c r="Q153" s="4" t="inlineStr">
        <is>
          <t>06 6303 7161</t>
        </is>
      </c>
      <c r="R153" s="4" t="inlineStr">
        <is>
          <t>Not identified</t>
        </is>
      </c>
      <c r="S153" s="4" t="inlineStr">
        <is>
          <t>Company inquiry only (phone)</t>
        </is>
      </c>
      <c r="T153" s="6">
        <f>SUM(Z153:AF153)</f>
        <v>17</v>
      </c>
      <c r="U153" s="10" t="inlineStr">
        <is>
          <t>V4</t>
        </is>
      </c>
      <c r="V153" s="4" t="inlineStr">
        <is>
          <t>QUALIFY FIRST: animal hospital sales not confirmed in sources. Rehabilitation and diagnostic device maker and seller; Kyoto association member. FLAG: HQ prefecture assumed Osaka; confirm.</t>
        </is>
      </c>
      <c r="W153" s="4" t="inlineStr">
        <is>
          <t>Open by asking whether they serve animal hospitals today; if yes, offer a vet line with no overlap to their human ultrasound brands.</t>
        </is>
      </c>
      <c r="X153" s="4" t="inlineStr">
        <is>
          <t>Not checked (human list not in v17)</t>
        </is>
      </c>
      <c r="Y153" s="4" t="inlineStr">
        <is>
          <t>http://mia-kyoto.gr.jp/members/minato.html ; https://www.minato-med.co.jp/company/office/tokyo/</t>
        </is>
      </c>
      <c r="Z153" s="4" t="n">
        <v>2</v>
      </c>
      <c r="AA153" s="4" t="n">
        <v>3</v>
      </c>
      <c r="AB153" s="4" t="n">
        <v>3</v>
      </c>
      <c r="AC153" s="4" t="n">
        <v>2</v>
      </c>
      <c r="AD153" s="4" t="n">
        <v>1</v>
      </c>
      <c r="AE153" s="4" t="n">
        <v>4</v>
      </c>
      <c r="AF153" s="4" t="n">
        <v>2</v>
      </c>
      <c r="AG153" s="11" t="inlineStr">
        <is>
          <t>Qualify first</t>
        </is>
      </c>
    </row>
    <row r="154" ht="75" customHeight="1">
      <c r="A154" s="4" t="n">
        <v>150</v>
      </c>
      <c r="B154" s="4" t="inlineStr">
        <is>
          <t>Miyano Iryoki Co., Ltd.</t>
        </is>
      </c>
      <c r="C154" s="4" t="inlineStr">
        <is>
          <t>宮野医療器株式会社</t>
        </is>
      </c>
      <c r="D154" s="4" t="inlineStr">
        <is>
          <t>Not found (NTA lookup blocked; dedupe by Japanese name)</t>
        </is>
      </c>
      <c r="E154" s="4" t="inlineStr">
        <is>
          <t>Hyogo</t>
        </is>
      </c>
      <c r="F154" s="4" t="inlineStr">
        <is>
          <t>Kansai</t>
        </is>
      </c>
      <c r="G154" s="5" t="inlineStr">
        <is>
          <t>https://www.miyano.co.jp</t>
        </is>
      </c>
      <c r="H154" s="4" t="inlineStr">
        <is>
          <t>Human device sales licences; 動物用 licence not confirmed</t>
        </is>
      </c>
      <c r="I154" s="4" t="inlineStr">
        <is>
          <t>Human multi brand lines (ultrasound brands not confirmed)</t>
        </is>
      </c>
      <c r="J154" s="4" t="inlineStr">
        <is>
          <t>Companion</t>
        </is>
      </c>
      <c r="K154" s="4" t="inlineStr">
        <is>
          <t>Kansai, West Japan to Kanto</t>
        </is>
      </c>
      <c r="L154" s="4" t="inlineStr">
        <is>
          <t>Fifth largest dealer by sales (Arrows column)</t>
        </is>
      </c>
      <c r="M154" s="4" t="inlineStr">
        <is>
          <t>n/a</t>
        </is>
      </c>
      <c r="N154" s="4" t="inlineStr">
        <is>
          <t>Not identified</t>
        </is>
      </c>
      <c r="O154" s="4" t="inlineStr">
        <is>
          <t>Not identified</t>
        </is>
      </c>
      <c r="P154" s="4" t="inlineStr">
        <is>
          <t>Not published; inquiry form: https://www.miyano.co.jp/contact</t>
        </is>
      </c>
      <c r="Q154" s="4" t="inlineStr">
        <is>
          <t>078 371 2121</t>
        </is>
      </c>
      <c r="R154" s="4" t="inlineStr">
        <is>
          <t>Not identified</t>
        </is>
      </c>
      <c r="S154" s="4" t="inlineStr">
        <is>
          <t>Company inquiry only (form)</t>
        </is>
      </c>
      <c r="T154" s="6">
        <f>SUM(Z154:AF154)</f>
        <v>17</v>
      </c>
      <c r="U154" s="10" t="inlineStr">
        <is>
          <t>V4</t>
        </is>
      </c>
      <c r="V154" s="4" t="inlineStr">
        <is>
          <t>QUALIFY FIRST: animal hospital sales not confirmed in sources. Kobe trading house founded 1946; fifth largest dealer by sales.</t>
        </is>
      </c>
      <c r="W154" s="4" t="inlineStr">
        <is>
          <t>Open by asking whether they serve animal hospitals today; if yes, offer a vet line with no overlap to their human ultrasound brands.</t>
        </is>
      </c>
      <c r="X154" s="4" t="inlineStr">
        <is>
          <t>Not checked (human list not in v17)</t>
        </is>
      </c>
      <c r="Y154" s="4" t="inlineStr">
        <is>
          <t>https://www.miyano.co.jp/business/iryo ; https://note.com/arrows_column/n/nd4fd35a1d8b1 ; https://www.miyano.co.jp/contact</t>
        </is>
      </c>
      <c r="Z154" s="4" t="n">
        <v>2</v>
      </c>
      <c r="AA154" s="4" t="n">
        <v>3</v>
      </c>
      <c r="AB154" s="4" t="n">
        <v>3</v>
      </c>
      <c r="AC154" s="4" t="n">
        <v>2</v>
      </c>
      <c r="AD154" s="4" t="n">
        <v>1</v>
      </c>
      <c r="AE154" s="4" t="n">
        <v>4</v>
      </c>
      <c r="AF154" s="4" t="n">
        <v>2</v>
      </c>
      <c r="AG154" s="11" t="inlineStr">
        <is>
          <t>Qualify first</t>
        </is>
      </c>
    </row>
    <row r="155" ht="75" customHeight="1">
      <c r="A155" s="4" t="n">
        <v>151</v>
      </c>
      <c r="B155" s="4" t="inlineStr">
        <is>
          <t>Muranaka Iryoki Co., Ltd.</t>
        </is>
      </c>
      <c r="C155" s="4" t="inlineStr">
        <is>
          <t>村中医療器株式会社</t>
        </is>
      </c>
      <c r="D155" s="4" t="inlineStr">
        <is>
          <t>Not found (NTA lookup blocked; dedupe by Japanese name)</t>
        </is>
      </c>
      <c r="E155" s="4" t="inlineStr">
        <is>
          <t>Osaka</t>
        </is>
      </c>
      <c r="F155" s="4" t="inlineStr">
        <is>
          <t>Kansai</t>
        </is>
      </c>
      <c r="G155" s="4" t="inlineStr">
        <is>
          <t>Not found</t>
        </is>
      </c>
      <c r="H155" s="4" t="inlineStr">
        <is>
          <t>Human device sales licences; 動物用 licence not confirmed</t>
        </is>
      </c>
      <c r="I155" s="4" t="inlineStr">
        <is>
          <t>Human multi brand lines (ultrasound brands not confirmed)</t>
        </is>
      </c>
      <c r="J155" s="4" t="inlineStr">
        <is>
          <t>Companion</t>
        </is>
      </c>
      <c r="K155" s="4" t="inlineStr">
        <is>
          <t>Osaka</t>
        </is>
      </c>
      <c r="L155" s="4" t="inlineStr">
        <is>
          <t>Not found</t>
        </is>
      </c>
      <c r="M155" s="4" t="inlineStr">
        <is>
          <t>n/a</t>
        </is>
      </c>
      <c r="N155" s="4" t="inlineStr">
        <is>
          <t>Not identified</t>
        </is>
      </c>
      <c r="O155" s="4" t="inlineStr">
        <is>
          <t>Not identified</t>
        </is>
      </c>
      <c r="P155" s="4" t="inlineStr">
        <is>
          <t>Not searched (search budget)</t>
        </is>
      </c>
      <c r="Q155" s="4" t="inlineStr">
        <is>
          <t>Not found (use site)</t>
        </is>
      </c>
      <c r="R155" s="4" t="inlineStr">
        <is>
          <t>Not identified</t>
        </is>
      </c>
      <c r="S155" s="4" t="inlineStr">
        <is>
          <t>Unverified</t>
        </is>
      </c>
      <c r="T155" s="6">
        <f>SUM(Z155:AF155)</f>
        <v>17</v>
      </c>
      <c r="U155" s="10" t="inlineStr">
        <is>
          <t>V4</t>
        </is>
      </c>
      <c r="V155" s="4" t="inlineStr">
        <is>
          <t>QUALIFY FIRST: animal hospital sales not confirmed in sources. Wholesales to device dealers and sells to university and public hospitals. FLAG: screened out in the v9 Reconciliation tab of the v17 workbook (no published vet business); kept only as a V4 qualify first lead.</t>
        </is>
      </c>
      <c r="W155" s="4" t="inlineStr">
        <is>
          <t>Open by asking whether they serve animal hospitals today; if yes, offer a vet line with no overlap to their human ultrasound brands.</t>
        </is>
      </c>
      <c r="X155" s="4" t="inlineStr">
        <is>
          <t>Y (named in v9 human dealer screen)</t>
        </is>
      </c>
      <c r="Y155" s="4" t="inlineStr">
        <is>
          <t>https://baseconnect.in/companies/prefecture/d80b180e-5fd9-4082-8cdc-a510179a3475/keyword/14f3dcec-9cd5-4be5-84e1-ddccb7bd228c</t>
        </is>
      </c>
      <c r="Z155" s="4" t="n">
        <v>2</v>
      </c>
      <c r="AA155" s="4" t="n">
        <v>3</v>
      </c>
      <c r="AB155" s="4" t="n">
        <v>3</v>
      </c>
      <c r="AC155" s="4" t="n">
        <v>2</v>
      </c>
      <c r="AD155" s="4" t="n">
        <v>1</v>
      </c>
      <c r="AE155" s="4" t="n">
        <v>4</v>
      </c>
      <c r="AF155" s="4" t="n">
        <v>2</v>
      </c>
      <c r="AG155" s="11" t="inlineStr">
        <is>
          <t>Qualify first</t>
        </is>
      </c>
    </row>
    <row r="156" ht="75" customHeight="1">
      <c r="A156" s="4" t="n">
        <v>152</v>
      </c>
      <c r="B156" s="4" t="inlineStr">
        <is>
          <t>Nakayama Ika Kikaiten Co., Ltd.</t>
        </is>
      </c>
      <c r="C156" s="4" t="inlineStr">
        <is>
          <t>株式会社中山医科器械店</t>
        </is>
      </c>
      <c r="D156" s="4" t="inlineStr">
        <is>
          <t>Not found (NTA lookup blocked; dedupe by Japanese name)</t>
        </is>
      </c>
      <c r="E156" s="4" t="inlineStr">
        <is>
          <t>Shiga</t>
        </is>
      </c>
      <c r="F156" s="4" t="inlineStr">
        <is>
          <t>Kansai</t>
        </is>
      </c>
      <c r="G156" s="5" t="inlineStr">
        <is>
          <t>https://nakayamaika.com/</t>
        </is>
      </c>
      <c r="H156" s="4" t="inlineStr">
        <is>
          <t>Human device sales licences; 動物用 licence not confirmed</t>
        </is>
      </c>
      <c r="I156" s="4" t="inlineStr">
        <is>
          <t>Human multi brand lines (ultrasound brands not confirmed)</t>
        </is>
      </c>
      <c r="J156" s="4" t="inlineStr">
        <is>
          <t>Companion</t>
        </is>
      </c>
      <c r="K156" s="4" t="inlineStr">
        <is>
          <t>Shiga</t>
        </is>
      </c>
      <c r="L156" s="4" t="inlineStr">
        <is>
          <t>Not found</t>
        </is>
      </c>
      <c r="M156" s="4" t="inlineStr">
        <is>
          <t>n/a</t>
        </is>
      </c>
      <c r="N156" s="4" t="inlineStr">
        <is>
          <t>Not identified</t>
        </is>
      </c>
      <c r="O156" s="4" t="inlineStr">
        <is>
          <t>Not identified</t>
        </is>
      </c>
      <c r="P156" s="4" t="inlineStr">
        <is>
          <t>Not published; phone only</t>
        </is>
      </c>
      <c r="Q156" s="4" t="inlineStr">
        <is>
          <t>077 548 1227</t>
        </is>
      </c>
      <c r="R156" s="4" t="inlineStr">
        <is>
          <t>Not identified</t>
        </is>
      </c>
      <c r="S156" s="4" t="inlineStr">
        <is>
          <t>Company inquiry only (form)</t>
        </is>
      </c>
      <c r="T156" s="6">
        <f>SUM(Z156:AF156)</f>
        <v>17</v>
      </c>
      <c r="U156" s="10" t="inlineStr">
        <is>
          <t>V4</t>
        </is>
      </c>
      <c r="V156" s="4" t="inlineStr">
        <is>
          <t>QUALIFY FIRST: animal hospital sales not confirmed in sources. Shiga device and supplies wholesaler.</t>
        </is>
      </c>
      <c r="W156" s="4" t="inlineStr">
        <is>
          <t>Open by asking whether they serve animal hospitals today; if yes, offer a vet line with no overlap to their human ultrasound brands.</t>
        </is>
      </c>
      <c r="X156" s="4" t="inlineStr">
        <is>
          <t>Not checked (human list not in v17)</t>
        </is>
      </c>
      <c r="Y156" s="4" t="inlineStr">
        <is>
          <t>https://baseconnect.in/companies/prefecture/1d5a2479-736c-41d9-98fe-d43b8d447ca4/category/b2358a1c-c4c6-46f4-a0b1-dee3a1b30a0b</t>
        </is>
      </c>
      <c r="Z156" s="4" t="n">
        <v>2</v>
      </c>
      <c r="AA156" s="4" t="n">
        <v>3</v>
      </c>
      <c r="AB156" s="4" t="n">
        <v>3</v>
      </c>
      <c r="AC156" s="4" t="n">
        <v>2</v>
      </c>
      <c r="AD156" s="4" t="n">
        <v>1</v>
      </c>
      <c r="AE156" s="4" t="n">
        <v>4</v>
      </c>
      <c r="AF156" s="4" t="n">
        <v>2</v>
      </c>
      <c r="AG156" s="11" t="inlineStr">
        <is>
          <t>Qualify first</t>
        </is>
      </c>
    </row>
    <row r="157" ht="75" customHeight="1">
      <c r="A157" s="4" t="n">
        <v>153</v>
      </c>
      <c r="B157" s="4" t="inlineStr">
        <is>
          <t>Sanshodo Co., Ltd.</t>
        </is>
      </c>
      <c r="C157" s="4" t="inlineStr">
        <is>
          <t>株式会社三笑堂</t>
        </is>
      </c>
      <c r="D157" s="4" t="inlineStr">
        <is>
          <t>Not found (NTA lookup blocked; dedupe by Japanese name)</t>
        </is>
      </c>
      <c r="E157" s="4" t="inlineStr">
        <is>
          <t>Kyoto</t>
        </is>
      </c>
      <c r="F157" s="4" t="inlineStr">
        <is>
          <t>Kansai</t>
        </is>
      </c>
      <c r="G157" s="5" t="inlineStr">
        <is>
          <t>https://sanshodoh.co.jp/</t>
        </is>
      </c>
      <c r="H157" s="4" t="inlineStr">
        <is>
          <t>Human device sales licences; 動物用 licence not confirmed</t>
        </is>
      </c>
      <c r="I157" s="4" t="inlineStr">
        <is>
          <t>Human multi brand lines (ultrasound brands not confirmed)</t>
        </is>
      </c>
      <c r="J157" s="4" t="inlineStr">
        <is>
          <t>Companion</t>
        </is>
      </c>
      <c r="K157" s="4" t="inlineStr">
        <is>
          <t>Kyoto</t>
        </is>
      </c>
      <c r="L157" s="4" t="inlineStr">
        <is>
          <t>Not found</t>
        </is>
      </c>
      <c r="M157" s="4" t="inlineStr">
        <is>
          <t>n/a</t>
        </is>
      </c>
      <c r="N157" s="4" t="inlineStr">
        <is>
          <t>Not identified</t>
        </is>
      </c>
      <c r="O157" s="4" t="inlineStr">
        <is>
          <t>Not identified</t>
        </is>
      </c>
      <c r="P157" s="4" t="inlineStr">
        <is>
          <t>pd@sanshodoh.co.jp</t>
        </is>
      </c>
      <c r="Q157" s="4" t="inlineStr">
        <is>
          <t>075 681 5131</t>
        </is>
      </c>
      <c r="R157" s="4" t="inlineStr">
        <is>
          <t>Not identified</t>
        </is>
      </c>
      <c r="S157" s="4" t="inlineStr">
        <is>
          <t>Likely (third party listing); association listing, date unknown</t>
        </is>
      </c>
      <c r="T157" s="6">
        <f>SUM(Z157:AF157)</f>
        <v>17</v>
      </c>
      <c r="U157" s="10" t="inlineStr">
        <is>
          <t>V4</t>
        </is>
      </c>
      <c r="V157" s="4" t="inlineStr">
        <is>
          <t>QUALIFY FIRST: animal hospital sales not confirmed in sources. Kyoto device wholesaler.</t>
        </is>
      </c>
      <c r="W157" s="4" t="inlineStr">
        <is>
          <t>Open by asking whether they serve animal hospitals today; if yes, offer a vet line with no overlap to their human ultrasound brands.</t>
        </is>
      </c>
      <c r="X157" s="4" t="inlineStr">
        <is>
          <t>Not checked (human list not in v17)</t>
        </is>
      </c>
      <c r="Y157" s="4" t="inlineStr">
        <is>
          <t>https://baseconnect.in/companies/prefecture/63038c5a-e328-472b-b9cc-039738609ba7/keyword/89941b4e-2dd1-4848-8957-48af280a31e0 ; http://www.mia-kyoto.gr.jp/members/sanshodo.html</t>
        </is>
      </c>
      <c r="Z157" s="4" t="n">
        <v>2</v>
      </c>
      <c r="AA157" s="4" t="n">
        <v>3</v>
      </c>
      <c r="AB157" s="4" t="n">
        <v>3</v>
      </c>
      <c r="AC157" s="4" t="n">
        <v>2</v>
      </c>
      <c r="AD157" s="4" t="n">
        <v>1</v>
      </c>
      <c r="AE157" s="4" t="n">
        <v>4</v>
      </c>
      <c r="AF157" s="4" t="n">
        <v>2</v>
      </c>
      <c r="AG157" s="11" t="inlineStr">
        <is>
          <t>Qualify first</t>
        </is>
      </c>
    </row>
    <row r="158" ht="75" customHeight="1">
      <c r="A158" s="4" t="n">
        <v>154</v>
      </c>
      <c r="B158" s="4" t="inlineStr">
        <is>
          <t>Seaman Co., Ltd.</t>
        </is>
      </c>
      <c r="C158" s="4" t="inlineStr">
        <is>
          <t>シーマン株式会社</t>
        </is>
      </c>
      <c r="D158" s="4" t="inlineStr">
        <is>
          <t>Not found (NTA lookup blocked; dedupe by Japanese name)</t>
        </is>
      </c>
      <c r="E158" s="4" t="inlineStr">
        <is>
          <t>Osaka</t>
        </is>
      </c>
      <c r="F158" s="4" t="inlineStr">
        <is>
          <t>Kansai</t>
        </is>
      </c>
      <c r="G158" s="4" t="inlineStr">
        <is>
          <t>Not found</t>
        </is>
      </c>
      <c r="H158" s="4" t="inlineStr">
        <is>
          <t>Human device sales licences; 動物用 licence not confirmed</t>
        </is>
      </c>
      <c r="I158" s="4" t="inlineStr">
        <is>
          <t>Human multi brand lines (ultrasound brands not confirmed)</t>
        </is>
      </c>
      <c r="J158" s="4" t="inlineStr">
        <is>
          <t>Companion</t>
        </is>
      </c>
      <c r="K158" s="4" t="inlineStr">
        <is>
          <t>Osaka</t>
        </is>
      </c>
      <c r="L158" s="4" t="inlineStr">
        <is>
          <t>Not found</t>
        </is>
      </c>
      <c r="M158" s="4" t="inlineStr">
        <is>
          <t>n/a</t>
        </is>
      </c>
      <c r="N158" s="4" t="inlineStr">
        <is>
          <t>Not identified</t>
        </is>
      </c>
      <c r="O158" s="4" t="inlineStr">
        <is>
          <t>Not identified</t>
        </is>
      </c>
      <c r="P158" s="4" t="inlineStr">
        <is>
          <t>Not searched (search budget)</t>
        </is>
      </c>
      <c r="Q158" s="4" t="inlineStr">
        <is>
          <t>Not found (use site)</t>
        </is>
      </c>
      <c r="R158" s="4" t="inlineStr">
        <is>
          <t>Not identified</t>
        </is>
      </c>
      <c r="S158" s="4" t="inlineStr">
        <is>
          <t>Unverified</t>
        </is>
      </c>
      <c r="T158" s="6">
        <f>SUM(Z158:AF158)</f>
        <v>17</v>
      </c>
      <c r="U158" s="10" t="inlineStr">
        <is>
          <t>V4</t>
        </is>
      </c>
      <c r="V158" s="4" t="inlineStr">
        <is>
          <t>QUALIFY FIRST: animal hospital sales not confirmed in sources. Cath lab device wholesaler with maintenance.</t>
        </is>
      </c>
      <c r="W158" s="4" t="inlineStr">
        <is>
          <t>Open by asking whether they serve animal hospitals today; if yes, offer a vet line with no overlap to their human ultrasound brands.</t>
        </is>
      </c>
      <c r="X158" s="4" t="inlineStr">
        <is>
          <t>Not checked (human list not in v17)</t>
        </is>
      </c>
      <c r="Y158" s="4" t="inlineStr">
        <is>
          <t>https://baseconnect.in/companies/prefecture/d80b180e-5fd9-4082-8cdc-a510179a3475/keyword/89941b4e-2dd1-4848-8957-48af280a31e0</t>
        </is>
      </c>
      <c r="Z158" s="4" t="n">
        <v>2</v>
      </c>
      <c r="AA158" s="4" t="n">
        <v>3</v>
      </c>
      <c r="AB158" s="4" t="n">
        <v>3</v>
      </c>
      <c r="AC158" s="4" t="n">
        <v>2</v>
      </c>
      <c r="AD158" s="4" t="n">
        <v>1</v>
      </c>
      <c r="AE158" s="4" t="n">
        <v>4</v>
      </c>
      <c r="AF158" s="4" t="n">
        <v>2</v>
      </c>
      <c r="AG158" s="11" t="inlineStr">
        <is>
          <t>Qualify first</t>
        </is>
      </c>
    </row>
    <row r="159" ht="75" customHeight="1">
      <c r="A159" s="4" t="n">
        <v>155</v>
      </c>
      <c r="B159" s="4" t="inlineStr">
        <is>
          <t>Total Medical Supply Co., Ltd.</t>
        </is>
      </c>
      <c r="C159" s="4" t="inlineStr">
        <is>
          <t>株式会社トータルメディカルサプライ</t>
        </is>
      </c>
      <c r="D159" s="4" t="inlineStr">
        <is>
          <t>Not found (NTA lookup blocked; dedupe by Japanese name)</t>
        </is>
      </c>
      <c r="E159" s="4" t="inlineStr">
        <is>
          <t>Hyogo</t>
        </is>
      </c>
      <c r="F159" s="4" t="inlineStr">
        <is>
          <t>Kansai</t>
        </is>
      </c>
      <c r="G159" s="4" t="inlineStr">
        <is>
          <t>Not found</t>
        </is>
      </c>
      <c r="H159" s="4" t="inlineStr">
        <is>
          <t>Human device sales licences; 動物用 licence not confirmed</t>
        </is>
      </c>
      <c r="I159" s="4" t="inlineStr">
        <is>
          <t>Human multi brand lines (ultrasound brands not confirmed)</t>
        </is>
      </c>
      <c r="J159" s="4" t="inlineStr">
        <is>
          <t>Companion</t>
        </is>
      </c>
      <c r="K159" s="4" t="inlineStr">
        <is>
          <t>Kobe (Port Island)</t>
        </is>
      </c>
      <c r="L159" s="4" t="inlineStr">
        <is>
          <t>Not found</t>
        </is>
      </c>
      <c r="M159" s="4" t="inlineStr">
        <is>
          <t>n/a</t>
        </is>
      </c>
      <c r="N159" s="4" t="inlineStr">
        <is>
          <t>Not identified</t>
        </is>
      </c>
      <c r="O159" s="4" t="inlineStr">
        <is>
          <t>Not identified</t>
        </is>
      </c>
      <c r="P159" s="4" t="inlineStr">
        <is>
          <t>Not searched (search budget)</t>
        </is>
      </c>
      <c r="Q159" s="4" t="inlineStr">
        <is>
          <t>Not found (use site)</t>
        </is>
      </c>
      <c r="R159" s="4" t="inlineStr">
        <is>
          <t>Not identified</t>
        </is>
      </c>
      <c r="S159" s="4" t="inlineStr">
        <is>
          <t>Unverified</t>
        </is>
      </c>
      <c r="T159" s="6">
        <f>SUM(Z159:AF159)</f>
        <v>17</v>
      </c>
      <c r="U159" s="10" t="inlineStr">
        <is>
          <t>V4</t>
        </is>
      </c>
      <c r="V159" s="4" t="inlineStr">
        <is>
          <t>QUALIFY FIRST: animal hospital sales not confirmed in sources. Wholesaler of devices and medical products.</t>
        </is>
      </c>
      <c r="W159" s="4" t="inlineStr">
        <is>
          <t>Open by asking whether they serve animal hospitals today; if yes, offer a vet line with no overlap to their human ultrasound brands.</t>
        </is>
      </c>
      <c r="X159" s="4" t="inlineStr">
        <is>
          <t>Not checked (human list not in v17)</t>
        </is>
      </c>
      <c r="Y159" s="4" t="inlineStr">
        <is>
          <t>https://baseconnect.in/companies/prefecture/912d7b2d-41c2-4923-a5c1-6666f9834966/keyword/14f3dcec-9cd5-4be5-84e1-ddccb7bd228c</t>
        </is>
      </c>
      <c r="Z159" s="4" t="n">
        <v>2</v>
      </c>
      <c r="AA159" s="4" t="n">
        <v>3</v>
      </c>
      <c r="AB159" s="4" t="n">
        <v>3</v>
      </c>
      <c r="AC159" s="4" t="n">
        <v>2</v>
      </c>
      <c r="AD159" s="4" t="n">
        <v>1</v>
      </c>
      <c r="AE159" s="4" t="n">
        <v>4</v>
      </c>
      <c r="AF159" s="4" t="n">
        <v>2</v>
      </c>
      <c r="AG159" s="11" t="inlineStr">
        <is>
          <t>Qualify first</t>
        </is>
      </c>
    </row>
    <row r="160" ht="75" customHeight="1">
      <c r="A160" s="4" t="n">
        <v>156</v>
      </c>
      <c r="B160" s="4" t="inlineStr">
        <is>
          <t>Umeno Medical Co., Ltd.</t>
        </is>
      </c>
      <c r="C160" s="4" t="inlineStr">
        <is>
          <t>梅野メディカル株式会社</t>
        </is>
      </c>
      <c r="D160" s="4" t="inlineStr">
        <is>
          <t>Not found (NTA lookup blocked; dedupe by Japanese name)</t>
        </is>
      </c>
      <c r="E160" s="4" t="inlineStr">
        <is>
          <t>Kyoto</t>
        </is>
      </c>
      <c r="F160" s="4" t="inlineStr">
        <is>
          <t>Kansai</t>
        </is>
      </c>
      <c r="G160" s="4" t="inlineStr">
        <is>
          <t>Not found</t>
        </is>
      </c>
      <c r="H160" s="4" t="inlineStr">
        <is>
          <t>Human device sales licences; 動物用 licence not confirmed</t>
        </is>
      </c>
      <c r="I160" s="4" t="inlineStr">
        <is>
          <t>Human multi brand lines (ultrasound brands not confirmed)</t>
        </is>
      </c>
      <c r="J160" s="4" t="inlineStr">
        <is>
          <t>Companion</t>
        </is>
      </c>
      <c r="K160" s="4" t="inlineStr">
        <is>
          <t>Kyoto</t>
        </is>
      </c>
      <c r="L160" s="4" t="inlineStr">
        <is>
          <t>Not found</t>
        </is>
      </c>
      <c r="M160" s="4" t="inlineStr">
        <is>
          <t>n/a</t>
        </is>
      </c>
      <c r="N160" s="4" t="inlineStr">
        <is>
          <t>Not identified</t>
        </is>
      </c>
      <c r="O160" s="4" t="inlineStr">
        <is>
          <t>Not identified</t>
        </is>
      </c>
      <c r="P160" s="4" t="inlineStr">
        <is>
          <t>umeno@mug.biglobe.ne.jp</t>
        </is>
      </c>
      <c r="Q160" s="4" t="inlineStr">
        <is>
          <t>Not found (use site)</t>
        </is>
      </c>
      <c r="R160" s="4" t="inlineStr">
        <is>
          <t>Not identified</t>
        </is>
      </c>
      <c r="S160" s="4" t="inlineStr">
        <is>
          <t>Likely (third party listing)</t>
        </is>
      </c>
      <c r="T160" s="6">
        <f>SUM(Z160:AF160)</f>
        <v>17</v>
      </c>
      <c r="U160" s="10" t="inlineStr">
        <is>
          <t>V4</t>
        </is>
      </c>
      <c r="V160" s="4" t="inlineStr">
        <is>
          <t>QUALIFY FIRST: animal hospital sales not confirmed in sources. Kyoto device and materials dealer.</t>
        </is>
      </c>
      <c r="W160" s="4" t="inlineStr">
        <is>
          <t>Open by asking whether they serve animal hospitals today; if yes, offer a vet line with no overlap to their human ultrasound brands.</t>
        </is>
      </c>
      <c r="X160" s="4" t="inlineStr">
        <is>
          <t>Not checked (human list not in v17)</t>
        </is>
      </c>
      <c r="Y160" s="4" t="inlineStr">
        <is>
          <t>https://baseconnect.in/companies/prefecture/63038c5a-e328-472b-b9cc-039738609ba7/category/b2358a1c-c4c6-46f4-a0b1-dee3a1b30a0b ; http://www.mia-kyoto.gr.jp/members/umeno.html</t>
        </is>
      </c>
      <c r="Z160" s="4" t="n">
        <v>2</v>
      </c>
      <c r="AA160" s="4" t="n">
        <v>3</v>
      </c>
      <c r="AB160" s="4" t="n">
        <v>3</v>
      </c>
      <c r="AC160" s="4" t="n">
        <v>2</v>
      </c>
      <c r="AD160" s="4" t="n">
        <v>1</v>
      </c>
      <c r="AE160" s="4" t="n">
        <v>4</v>
      </c>
      <c r="AF160" s="4" t="n">
        <v>2</v>
      </c>
      <c r="AG160" s="11" t="inlineStr">
        <is>
          <t>Qualify first</t>
        </is>
      </c>
    </row>
    <row r="161" ht="75" customHeight="1">
      <c r="A161" s="4" t="n">
        <v>157</v>
      </c>
      <c r="B161" s="4" t="inlineStr">
        <is>
          <t>Yayoi Co., Ltd.</t>
        </is>
      </c>
      <c r="C161" s="4" t="inlineStr">
        <is>
          <t>株式会社やよい</t>
        </is>
      </c>
      <c r="D161" s="4" t="inlineStr">
        <is>
          <t>Not found (NTA lookup blocked; dedupe by Japanese name)</t>
        </is>
      </c>
      <c r="E161" s="4" t="inlineStr">
        <is>
          <t>Hyogo</t>
        </is>
      </c>
      <c r="F161" s="4" t="inlineStr">
        <is>
          <t>Kansai</t>
        </is>
      </c>
      <c r="G161" s="4" t="inlineStr">
        <is>
          <t>Not found</t>
        </is>
      </c>
      <c r="H161" s="4" t="inlineStr">
        <is>
          <t>Human device sales licences; 動物用 licence not confirmed</t>
        </is>
      </c>
      <c r="I161" s="4" t="inlineStr">
        <is>
          <t>Human multi brand lines (ultrasound brands not confirmed)</t>
        </is>
      </c>
      <c r="J161" s="4" t="inlineStr">
        <is>
          <t>Companion</t>
        </is>
      </c>
      <c r="K161" s="4" t="inlineStr">
        <is>
          <t>Hyogo</t>
        </is>
      </c>
      <c r="L161" s="4" t="inlineStr">
        <is>
          <t>Not found</t>
        </is>
      </c>
      <c r="M161" s="4" t="inlineStr">
        <is>
          <t>n/a</t>
        </is>
      </c>
      <c r="N161" s="4" t="inlineStr">
        <is>
          <t>Not identified</t>
        </is>
      </c>
      <c r="O161" s="4" t="inlineStr">
        <is>
          <t>Not identified</t>
        </is>
      </c>
      <c r="P161" s="4" t="inlineStr">
        <is>
          <t>Not searched (search budget)</t>
        </is>
      </c>
      <c r="Q161" s="4" t="inlineStr">
        <is>
          <t>Not found (use site)</t>
        </is>
      </c>
      <c r="R161" s="4" t="inlineStr">
        <is>
          <t>Not identified</t>
        </is>
      </c>
      <c r="S161" s="4" t="inlineStr">
        <is>
          <t>Unverified</t>
        </is>
      </c>
      <c r="T161" s="6">
        <f>SUM(Z161:AF161)</f>
        <v>17</v>
      </c>
      <c r="U161" s="10" t="inlineStr">
        <is>
          <t>V4</t>
        </is>
      </c>
      <c r="V161" s="4" t="inlineStr">
        <is>
          <t>QUALIFY FIRST: animal hospital sales not confirmed in sources. Hyogo device and supplies wholesaler.</t>
        </is>
      </c>
      <c r="W161" s="4" t="inlineStr">
        <is>
          <t>Open by asking whether they serve animal hospitals today; if yes, offer a vet line with no overlap to their human ultrasound brands.</t>
        </is>
      </c>
      <c r="X161" s="4" t="inlineStr">
        <is>
          <t>Not checked (human list not in v17)</t>
        </is>
      </c>
      <c r="Y161" s="4" t="inlineStr">
        <is>
          <t>https://www.nikkei.com/compass/search/Y2F0ZWdvcnk9Y29tcGFueSZyZWdpb249MjgmaW5kdXN0cnlTPTA1MzI</t>
        </is>
      </c>
      <c r="Z161" s="4" t="n">
        <v>2</v>
      </c>
      <c r="AA161" s="4" t="n">
        <v>3</v>
      </c>
      <c r="AB161" s="4" t="n">
        <v>3</v>
      </c>
      <c r="AC161" s="4" t="n">
        <v>2</v>
      </c>
      <c r="AD161" s="4" t="n">
        <v>1</v>
      </c>
      <c r="AE161" s="4" t="n">
        <v>4</v>
      </c>
      <c r="AF161" s="4" t="n">
        <v>2</v>
      </c>
      <c r="AG161" s="11" t="inlineStr">
        <is>
          <t>Qualify first</t>
        </is>
      </c>
    </row>
    <row r="162" ht="75" customHeight="1">
      <c r="A162" s="4" t="n">
        <v>158</v>
      </c>
      <c r="B162" s="4" t="inlineStr">
        <is>
          <t>Accoh Ltd.</t>
        </is>
      </c>
      <c r="C162" s="4" t="inlineStr">
        <is>
          <t>有限会社アコー</t>
        </is>
      </c>
      <c r="D162" s="4" t="inlineStr">
        <is>
          <t>Not found (NTA lookup blocked; dedupe by Japanese name)</t>
        </is>
      </c>
      <c r="E162" s="4" t="inlineStr">
        <is>
          <t>Gunma</t>
        </is>
      </c>
      <c r="F162" s="4" t="inlineStr">
        <is>
          <t>Kanto</t>
        </is>
      </c>
      <c r="G162" s="4" t="inlineStr">
        <is>
          <t>Not found</t>
        </is>
      </c>
      <c r="H162" s="4" t="inlineStr">
        <is>
          <t>Human device sales licences; 動物用 licence not confirmed</t>
        </is>
      </c>
      <c r="I162" s="4" t="inlineStr">
        <is>
          <t>Human multi brand lines (ultrasound brands not confirmed)</t>
        </is>
      </c>
      <c r="J162" s="4" t="inlineStr">
        <is>
          <t>Companion</t>
        </is>
      </c>
      <c r="K162" s="4" t="inlineStr">
        <is>
          <t>Gunma (Tamamura)</t>
        </is>
      </c>
      <c r="L162" s="4" t="inlineStr">
        <is>
          <t>Not found</t>
        </is>
      </c>
      <c r="M162" s="4" t="inlineStr">
        <is>
          <t>n/a</t>
        </is>
      </c>
      <c r="N162" s="4" t="inlineStr">
        <is>
          <t>Not identified</t>
        </is>
      </c>
      <c r="O162" s="4" t="inlineStr">
        <is>
          <t>Not identified</t>
        </is>
      </c>
      <c r="P162" s="4" t="inlineStr">
        <is>
          <t>Not searched (search budget)</t>
        </is>
      </c>
      <c r="Q162" s="4" t="inlineStr">
        <is>
          <t>Not found (use site)</t>
        </is>
      </c>
      <c r="R162" s="4" t="inlineStr">
        <is>
          <t>Not identified</t>
        </is>
      </c>
      <c r="S162" s="4" t="inlineStr">
        <is>
          <t>Unverified</t>
        </is>
      </c>
      <c r="T162" s="6">
        <f>SUM(Z162:AF162)</f>
        <v>17</v>
      </c>
      <c r="U162" s="10" t="inlineStr">
        <is>
          <t>V4</t>
        </is>
      </c>
      <c r="V162" s="4" t="inlineStr">
        <is>
          <t>QUALIFY FIRST: animal hospital sales not confirmed in sources. Gunma device wholesaler.</t>
        </is>
      </c>
      <c r="W162" s="4" t="inlineStr">
        <is>
          <t>Open by asking whether they serve animal hospitals today; if yes, offer a vet line with no overlap to their human ultrasound brands.</t>
        </is>
      </c>
      <c r="X162" s="4" t="inlineStr">
        <is>
          <t>Not checked (human list not in v17)</t>
        </is>
      </c>
      <c r="Y162" s="4" t="inlineStr">
        <is>
          <t>https://baseconnect.in/companies/prefecture/c59cfe5b-871c-44d1-8594-96d4a5882e4b/keyword/89941b4e-2dd1-4848-8957-48af280a31e0</t>
        </is>
      </c>
      <c r="Z162" s="4" t="n">
        <v>2</v>
      </c>
      <c r="AA162" s="4" t="n">
        <v>3</v>
      </c>
      <c r="AB162" s="4" t="n">
        <v>3</v>
      </c>
      <c r="AC162" s="4" t="n">
        <v>2</v>
      </c>
      <c r="AD162" s="4" t="n">
        <v>1</v>
      </c>
      <c r="AE162" s="4" t="n">
        <v>4</v>
      </c>
      <c r="AF162" s="4" t="n">
        <v>2</v>
      </c>
      <c r="AG162" s="11" t="inlineStr">
        <is>
          <t>Qualify first</t>
        </is>
      </c>
    </row>
    <row r="163" ht="75" customHeight="1">
      <c r="A163" s="4" t="n">
        <v>159</v>
      </c>
      <c r="B163" s="4" t="inlineStr">
        <is>
          <t>Alfresa Holdings Corporation</t>
        </is>
      </c>
      <c r="C163" s="4" t="inlineStr">
        <is>
          <t>アルフレッサホールディングス株式会社</t>
        </is>
      </c>
      <c r="D163" s="4" t="inlineStr">
        <is>
          <t>Not found (NTA lookup blocked; dedupe by Japanese name)</t>
        </is>
      </c>
      <c r="E163" s="4" t="inlineStr">
        <is>
          <t>Tokyo</t>
        </is>
      </c>
      <c r="F163" s="4" t="inlineStr">
        <is>
          <t>Kanto</t>
        </is>
      </c>
      <c r="G163" s="4" t="inlineStr">
        <is>
          <t>Not found</t>
        </is>
      </c>
      <c r="H163" s="4" t="inlineStr">
        <is>
          <t>Human device sales licences; 動物用 licence not confirmed</t>
        </is>
      </c>
      <c r="I163" s="4" t="inlineStr">
        <is>
          <t>Human multi brand lines (ultrasound brands not confirmed)</t>
        </is>
      </c>
      <c r="J163" s="4" t="inlineStr">
        <is>
          <t>Companion</t>
        </is>
      </c>
      <c r="K163" s="4" t="inlineStr">
        <is>
          <t>National</t>
        </is>
      </c>
      <c r="L163" s="4" t="inlineStr">
        <is>
          <t>Large</t>
        </is>
      </c>
      <c r="M163" s="4" t="inlineStr">
        <is>
          <t>n/a</t>
        </is>
      </c>
      <c r="N163" s="4" t="inlineStr">
        <is>
          <t>Not identified</t>
        </is>
      </c>
      <c r="O163" s="4" t="inlineStr">
        <is>
          <t>Not identified</t>
        </is>
      </c>
      <c r="P163" s="4" t="inlineStr">
        <is>
          <t>Not searched (search budget)</t>
        </is>
      </c>
      <c r="Q163" s="4" t="inlineStr">
        <is>
          <t>Not found (use site)</t>
        </is>
      </c>
      <c r="R163" s="4" t="inlineStr">
        <is>
          <t>Not identified</t>
        </is>
      </c>
      <c r="S163" s="4" t="inlineStr">
        <is>
          <t>Unverified</t>
        </is>
      </c>
      <c r="T163" s="6">
        <f>SUM(Z163:AF163)</f>
        <v>17</v>
      </c>
      <c r="U163" s="10" t="inlineStr">
        <is>
          <t>V4</t>
        </is>
      </c>
      <c r="V163" s="4" t="inlineStr">
        <is>
          <t>QUALIFY FIRST: animal hospital sales not confirmed in sources. Major pharma and device wholesale group.</t>
        </is>
      </c>
      <c r="W163" s="4" t="inlineStr">
        <is>
          <t>Open by asking whether they serve animal hospitals today; if yes, offer a vet line with no overlap to their human ultrasound brands.</t>
        </is>
      </c>
      <c r="X163" s="4" t="inlineStr">
        <is>
          <t>Not checked (human list not in v17)</t>
        </is>
      </c>
      <c r="Y163" s="4" t="inlineStr">
        <is>
          <t>https://baseconnect.in/companies/prefecture/a30ebdff-361b-42be-8372-1b0d350f48a0/category/b2358a1c-c4c6-46f4-a0b1-dee3a1b30a0b</t>
        </is>
      </c>
      <c r="Z163" s="4" t="n">
        <v>2</v>
      </c>
      <c r="AA163" s="4" t="n">
        <v>3</v>
      </c>
      <c r="AB163" s="4" t="n">
        <v>3</v>
      </c>
      <c r="AC163" s="4" t="n">
        <v>2</v>
      </c>
      <c r="AD163" s="4" t="n">
        <v>1</v>
      </c>
      <c r="AE163" s="4" t="n">
        <v>4</v>
      </c>
      <c r="AF163" s="4" t="n">
        <v>2</v>
      </c>
      <c r="AG163" s="11" t="inlineStr">
        <is>
          <t>Qualify first</t>
        </is>
      </c>
    </row>
    <row r="164" ht="75" customHeight="1">
      <c r="A164" s="4" t="n">
        <v>160</v>
      </c>
      <c r="B164" s="4" t="inlineStr">
        <is>
          <t>Alfresa Medical Service Co., Ltd.</t>
        </is>
      </c>
      <c r="C164" s="4" t="inlineStr">
        <is>
          <t>アルフレッサメディカルサービス株式会社</t>
        </is>
      </c>
      <c r="D164" s="4" t="inlineStr">
        <is>
          <t>Not found (NTA lookup blocked; dedupe by Japanese name)</t>
        </is>
      </c>
      <c r="E164" s="4" t="inlineStr">
        <is>
          <t>Tokyo</t>
        </is>
      </c>
      <c r="F164" s="4" t="inlineStr">
        <is>
          <t>Kanto</t>
        </is>
      </c>
      <c r="G164" s="4" t="inlineStr">
        <is>
          <t>Not found</t>
        </is>
      </c>
      <c r="H164" s="4" t="inlineStr">
        <is>
          <t>Human device sales licences; 動物用 licence not confirmed</t>
        </is>
      </c>
      <c r="I164" s="4" t="inlineStr">
        <is>
          <t>Human multi brand lines (ultrasound brands not confirmed)</t>
        </is>
      </c>
      <c r="J164" s="4" t="inlineStr">
        <is>
          <t>Companion</t>
        </is>
      </c>
      <c r="K164" s="4" t="inlineStr">
        <is>
          <t>National</t>
        </is>
      </c>
      <c r="L164" s="4" t="inlineStr">
        <is>
          <t>Not found</t>
        </is>
      </c>
      <c r="M164" s="4" t="inlineStr">
        <is>
          <t>n/a</t>
        </is>
      </c>
      <c r="N164" s="4" t="inlineStr">
        <is>
          <t>Not identified</t>
        </is>
      </c>
      <c r="O164" s="4" t="inlineStr">
        <is>
          <t>Not identified</t>
        </is>
      </c>
      <c r="P164" s="4" t="inlineStr">
        <is>
          <t>Not searched (search budget)</t>
        </is>
      </c>
      <c r="Q164" s="4" t="inlineStr">
        <is>
          <t>Not found (use site)</t>
        </is>
      </c>
      <c r="R164" s="4" t="inlineStr">
        <is>
          <t>Not identified</t>
        </is>
      </c>
      <c r="S164" s="4" t="inlineStr">
        <is>
          <t>Unverified</t>
        </is>
      </c>
      <c r="T164" s="6">
        <f>SUM(Z164:AF164)</f>
        <v>17</v>
      </c>
      <c r="U164" s="10" t="inlineStr">
        <is>
          <t>V4</t>
        </is>
      </c>
      <c r="V164" s="4" t="inlineStr">
        <is>
          <t>QUALIFY FIRST: animal hospital sales not confirmed in sources. Device arm of the Alfresa group. FLAG: Same group as Alfresa Holdings; coordinate.</t>
        </is>
      </c>
      <c r="W164" s="4" t="inlineStr">
        <is>
          <t>Open by asking whether they serve animal hospitals today; if yes, offer a vet line with no overlap to their human ultrasound brands.</t>
        </is>
      </c>
      <c r="X164" s="4" t="inlineStr">
        <is>
          <t>Not checked (human list not in v17)</t>
        </is>
      </c>
      <c r="Y164" s="4" t="inlineStr">
        <is>
          <t>https://www.nikkei.com/compass/search/Y2F0ZWdvcnk9Y29tcGFueSZyZWdpb249MTMmaW5kdXN0cnlTPTA1MzI</t>
        </is>
      </c>
      <c r="Z164" s="4" t="n">
        <v>2</v>
      </c>
      <c r="AA164" s="4" t="n">
        <v>3</v>
      </c>
      <c r="AB164" s="4" t="n">
        <v>3</v>
      </c>
      <c r="AC164" s="4" t="n">
        <v>2</v>
      </c>
      <c r="AD164" s="4" t="n">
        <v>1</v>
      </c>
      <c r="AE164" s="4" t="n">
        <v>4</v>
      </c>
      <c r="AF164" s="4" t="n">
        <v>2</v>
      </c>
      <c r="AG164" s="11" t="inlineStr">
        <is>
          <t>Qualify first</t>
        </is>
      </c>
    </row>
    <row r="165" ht="75" customHeight="1">
      <c r="A165" s="4" t="n">
        <v>161</v>
      </c>
      <c r="B165" s="4" t="inlineStr">
        <is>
          <t>Century Medical, Inc.</t>
        </is>
      </c>
      <c r="C165" s="4" t="inlineStr">
        <is>
          <t>センチュリーメディカル株式会社</t>
        </is>
      </c>
      <c r="D165" s="4" t="inlineStr">
        <is>
          <t>Not found (NTA lookup blocked; dedupe by Japanese name)</t>
        </is>
      </c>
      <c r="E165" s="4" t="inlineStr">
        <is>
          <t>Tokyo</t>
        </is>
      </c>
      <c r="F165" s="4" t="inlineStr">
        <is>
          <t>Kanto</t>
        </is>
      </c>
      <c r="G165" s="5" t="inlineStr">
        <is>
          <t>http://www.cmi.co.jp/</t>
        </is>
      </c>
      <c r="H165" s="4" t="inlineStr">
        <is>
          <t>Human device sales licences; 動物用 licence not confirmed</t>
        </is>
      </c>
      <c r="I165" s="4" t="inlineStr">
        <is>
          <t>Human multi brand lines (ultrasound brands not confirmed)</t>
        </is>
      </c>
      <c r="J165" s="4" t="inlineStr">
        <is>
          <t>Companion</t>
        </is>
      </c>
      <c r="K165" s="4" t="inlineStr">
        <is>
          <t>National</t>
        </is>
      </c>
      <c r="L165" s="4" t="inlineStr">
        <is>
          <t>Not found</t>
        </is>
      </c>
      <c r="M165" s="4" t="inlineStr">
        <is>
          <t>n/a</t>
        </is>
      </c>
      <c r="N165" s="4" t="inlineStr">
        <is>
          <t>Not identified</t>
        </is>
      </c>
      <c r="O165" s="4" t="inlineStr">
        <is>
          <t>Not identified</t>
        </is>
      </c>
      <c r="P165" s="4" t="inlineStr">
        <is>
          <t>privacy@cmi.co.jp</t>
        </is>
      </c>
      <c r="Q165" s="4" t="inlineStr">
        <is>
          <t>03 3491 0161</t>
        </is>
      </c>
      <c r="R165" s="4" t="inlineStr">
        <is>
          <t>Not identified</t>
        </is>
      </c>
      <c r="S165" s="4" t="inlineStr">
        <is>
          <t>Verified (published on own site, read via search); privacy contact, ask to forward</t>
        </is>
      </c>
      <c r="T165" s="6">
        <f>SUM(Z165:AF165)</f>
        <v>17</v>
      </c>
      <c r="U165" s="10" t="inlineStr">
        <is>
          <t>V4</t>
        </is>
      </c>
      <c r="V165" s="4" t="inlineStr">
        <is>
          <t>QUALIFY FIRST: animal hospital sales not confirmed in sources. Importer and wholesaler of medical devices (Itochu group). FLAG: Importer; could also play MAH role if vet interest exists. FLAG: screened out in the v9 Reconciliation tab of the v17 workbook (no published vet business); kept only as a V4 qualify first lead.</t>
        </is>
      </c>
      <c r="W165" s="4" t="inlineStr">
        <is>
          <t>Open by asking whether they serve animal hospitals today; if yes, offer a vet line with no overlap to their human ultrasound brands.</t>
        </is>
      </c>
      <c r="X165" s="4" t="inlineStr">
        <is>
          <t>Y (named in v9 human dealer screen)</t>
        </is>
      </c>
      <c r="Y165" s="4" t="inlineStr">
        <is>
          <t>https://baseconnect.in/companies/prefecture/a30ebdff-361b-42be-8372-1b0d350f48a0/keyword/89941b4e-2dd1-4848-8957-48af280a31e0 ; http://www.cmi.co.jp/privacy-policy/</t>
        </is>
      </c>
      <c r="Z165" s="4" t="n">
        <v>2</v>
      </c>
      <c r="AA165" s="4" t="n">
        <v>3</v>
      </c>
      <c r="AB165" s="4" t="n">
        <v>3</v>
      </c>
      <c r="AC165" s="4" t="n">
        <v>2</v>
      </c>
      <c r="AD165" s="4" t="n">
        <v>1</v>
      </c>
      <c r="AE165" s="4" t="n">
        <v>4</v>
      </c>
      <c r="AF165" s="4" t="n">
        <v>2</v>
      </c>
      <c r="AG165" s="11" t="inlineStr">
        <is>
          <t>Qualify first</t>
        </is>
      </c>
    </row>
    <row r="166" ht="75" customHeight="1">
      <c r="A166" s="4" t="n">
        <v>162</v>
      </c>
      <c r="B166" s="4" t="inlineStr">
        <is>
          <t>Condex Co., Ltd.</t>
        </is>
      </c>
      <c r="C166" s="4" t="inlineStr">
        <is>
          <t>株式会社コンデックス</t>
        </is>
      </c>
      <c r="D166" s="4" t="inlineStr">
        <is>
          <t>Not found (NTA lookup blocked; dedupe by Japanese name)</t>
        </is>
      </c>
      <c r="E166" s="4" t="inlineStr">
        <is>
          <t>Saitama</t>
        </is>
      </c>
      <c r="F166" s="4" t="inlineStr">
        <is>
          <t>Kanto</t>
        </is>
      </c>
      <c r="G166" s="4" t="inlineStr">
        <is>
          <t>Not found</t>
        </is>
      </c>
      <c r="H166" s="4" t="inlineStr">
        <is>
          <t>Human device sales licences; 動物用 licence not confirmed</t>
        </is>
      </c>
      <c r="I166" s="4" t="inlineStr">
        <is>
          <t>Human multi brand lines (ultrasound brands not confirmed)</t>
        </is>
      </c>
      <c r="J166" s="4" t="inlineStr">
        <is>
          <t>Companion</t>
        </is>
      </c>
      <c r="K166" s="4" t="inlineStr">
        <is>
          <t>Saitama (Koshigaya)</t>
        </is>
      </c>
      <c r="L166" s="4" t="inlineStr">
        <is>
          <t>Not found</t>
        </is>
      </c>
      <c r="M166" s="4" t="inlineStr">
        <is>
          <t>n/a</t>
        </is>
      </c>
      <c r="N166" s="4" t="inlineStr">
        <is>
          <t>Not identified</t>
        </is>
      </c>
      <c r="O166" s="4" t="inlineStr">
        <is>
          <t>Not identified</t>
        </is>
      </c>
      <c r="P166" s="4" t="inlineStr">
        <is>
          <t>Not searched (search budget)</t>
        </is>
      </c>
      <c r="Q166" s="4" t="inlineStr">
        <is>
          <t>Not found (use site)</t>
        </is>
      </c>
      <c r="R166" s="4" t="inlineStr">
        <is>
          <t>Not identified</t>
        </is>
      </c>
      <c r="S166" s="4" t="inlineStr">
        <is>
          <t>Unverified</t>
        </is>
      </c>
      <c r="T166" s="6">
        <f>SUM(Z166:AF166)</f>
        <v>17</v>
      </c>
      <c r="U166" s="10" t="inlineStr">
        <is>
          <t>V4</t>
        </is>
      </c>
      <c r="V166" s="4" t="inlineStr">
        <is>
          <t>QUALIFY FIRST: animal hospital sales not confirmed in sources. Sells and wholesales operating tables and washers.</t>
        </is>
      </c>
      <c r="W166" s="4" t="inlineStr">
        <is>
          <t>Open by asking whether they serve animal hospitals today; if yes, offer a vet line with no overlap to their human ultrasound brands.</t>
        </is>
      </c>
      <c r="X166" s="4" t="inlineStr">
        <is>
          <t>Not checked (human list not in v17)</t>
        </is>
      </c>
      <c r="Y166" s="4" t="inlineStr">
        <is>
          <t>https://baseconnect.in/companies/prefecture/5b2e6d00-cfba-4d0b-850d-54757e4b4d7f/keyword/89941b4e-2dd1-4848-8957-48af280a31e0</t>
        </is>
      </c>
      <c r="Z166" s="4" t="n">
        <v>2</v>
      </c>
      <c r="AA166" s="4" t="n">
        <v>3</v>
      </c>
      <c r="AB166" s="4" t="n">
        <v>3</v>
      </c>
      <c r="AC166" s="4" t="n">
        <v>2</v>
      </c>
      <c r="AD166" s="4" t="n">
        <v>1</v>
      </c>
      <c r="AE166" s="4" t="n">
        <v>4</v>
      </c>
      <c r="AF166" s="4" t="n">
        <v>2</v>
      </c>
      <c r="AG166" s="11" t="inlineStr">
        <is>
          <t>Qualify first</t>
        </is>
      </c>
    </row>
    <row r="167" ht="75" customHeight="1">
      <c r="A167" s="4" t="n">
        <v>163</v>
      </c>
      <c r="B167" s="4" t="inlineStr">
        <is>
          <t>Hoshino Iryoki Co., Ltd.</t>
        </is>
      </c>
      <c r="C167" s="4" t="inlineStr">
        <is>
          <t>ホシノ医療器株式会社</t>
        </is>
      </c>
      <c r="D167" s="4" t="inlineStr">
        <is>
          <t>Not found (NTA lookup blocked; dedupe by Japanese name)</t>
        </is>
      </c>
      <c r="E167" s="4" t="inlineStr">
        <is>
          <t>Saitama</t>
        </is>
      </c>
      <c r="F167" s="4" t="inlineStr">
        <is>
          <t>Kanto</t>
        </is>
      </c>
      <c r="G167" s="4" t="inlineStr">
        <is>
          <t>Not found</t>
        </is>
      </c>
      <c r="H167" s="4" t="inlineStr">
        <is>
          <t>Human device sales licences; 動物用 licence not confirmed</t>
        </is>
      </c>
      <c r="I167" s="4" t="inlineStr">
        <is>
          <t>Human multi brand lines (ultrasound brands not confirmed)</t>
        </is>
      </c>
      <c r="J167" s="4" t="inlineStr">
        <is>
          <t>Companion</t>
        </is>
      </c>
      <c r="K167" s="4" t="inlineStr">
        <is>
          <t>Saitama</t>
        </is>
      </c>
      <c r="L167" s="4" t="inlineStr">
        <is>
          <t>Not found</t>
        </is>
      </c>
      <c r="M167" s="4" t="inlineStr">
        <is>
          <t>n/a</t>
        </is>
      </c>
      <c r="N167" s="4" t="inlineStr">
        <is>
          <t>Not identified</t>
        </is>
      </c>
      <c r="O167" s="4" t="inlineStr">
        <is>
          <t>Not identified</t>
        </is>
      </c>
      <c r="P167" s="4" t="inlineStr">
        <is>
          <t>Not searched (search budget)</t>
        </is>
      </c>
      <c r="Q167" s="4" t="inlineStr">
        <is>
          <t>Not found (use site)</t>
        </is>
      </c>
      <c r="R167" s="4" t="inlineStr">
        <is>
          <t>Not identified</t>
        </is>
      </c>
      <c r="S167" s="4" t="inlineStr">
        <is>
          <t>Unverified</t>
        </is>
      </c>
      <c r="T167" s="6">
        <f>SUM(Z167:AF167)</f>
        <v>17</v>
      </c>
      <c r="U167" s="10" t="inlineStr">
        <is>
          <t>V4</t>
        </is>
      </c>
      <c r="V167" s="4" t="inlineStr">
        <is>
          <t>QUALIFY FIRST: animal hospital sales not confirmed in sources. Medical supplies and instruments dealer. FLAG: HQ prefecture inferred from a Saitama listing.</t>
        </is>
      </c>
      <c r="W167" s="4" t="inlineStr">
        <is>
          <t>Open by asking whether they serve animal hospitals today; if yes, offer a vet line with no overlap to their human ultrasound brands.</t>
        </is>
      </c>
      <c r="X167" s="4" t="inlineStr">
        <is>
          <t>Not checked (human list not in v17)</t>
        </is>
      </c>
      <c r="Y167" s="4" t="inlineStr">
        <is>
          <t>https://baseconnect.in/companies/prefecture/5b2e6d00-cfba-4d0b-850d-54757e4b4d7f/keyword/14f3dcec-9cd5-4be5-84e1-ddccb7bd228c</t>
        </is>
      </c>
      <c r="Z167" s="4" t="n">
        <v>2</v>
      </c>
      <c r="AA167" s="4" t="n">
        <v>3</v>
      </c>
      <c r="AB167" s="4" t="n">
        <v>3</v>
      </c>
      <c r="AC167" s="4" t="n">
        <v>2</v>
      </c>
      <c r="AD167" s="4" t="n">
        <v>1</v>
      </c>
      <c r="AE167" s="4" t="n">
        <v>4</v>
      </c>
      <c r="AF167" s="4" t="n">
        <v>2</v>
      </c>
      <c r="AG167" s="11" t="inlineStr">
        <is>
          <t>Qualify first</t>
        </is>
      </c>
    </row>
    <row r="168" ht="75" customHeight="1">
      <c r="A168" s="4" t="n">
        <v>164</v>
      </c>
      <c r="B168" s="4" t="inlineStr">
        <is>
          <t>Isobe Medical Ltd.</t>
        </is>
      </c>
      <c r="C168" s="4" t="inlineStr">
        <is>
          <t>有限会社イソベメディカル</t>
        </is>
      </c>
      <c r="D168" s="4" t="inlineStr">
        <is>
          <t>Not found (NTA lookup blocked; dedupe by Japanese name)</t>
        </is>
      </c>
      <c r="E168" s="4" t="inlineStr">
        <is>
          <t>Saitama</t>
        </is>
      </c>
      <c r="F168" s="4" t="inlineStr">
        <is>
          <t>Kanto</t>
        </is>
      </c>
      <c r="G168" s="4" t="inlineStr">
        <is>
          <t>Not found</t>
        </is>
      </c>
      <c r="H168" s="4" t="inlineStr">
        <is>
          <t>Human device sales licences; 動物用 licence not confirmed</t>
        </is>
      </c>
      <c r="I168" s="4" t="inlineStr">
        <is>
          <t>Human multi brand lines (ultrasound brands not confirmed)</t>
        </is>
      </c>
      <c r="J168" s="4" t="inlineStr">
        <is>
          <t>Companion</t>
        </is>
      </c>
      <c r="K168" s="4" t="inlineStr">
        <is>
          <t>Saitama (Kawagoe)</t>
        </is>
      </c>
      <c r="L168" s="4" t="inlineStr">
        <is>
          <t>Not found</t>
        </is>
      </c>
      <c r="M168" s="4" t="inlineStr">
        <is>
          <t>n/a</t>
        </is>
      </c>
      <c r="N168" s="4" t="inlineStr">
        <is>
          <t>Not identified</t>
        </is>
      </c>
      <c r="O168" s="4" t="inlineStr">
        <is>
          <t>Not identified</t>
        </is>
      </c>
      <c r="P168" s="4" t="inlineStr">
        <is>
          <t>Not searched (search budget)</t>
        </is>
      </c>
      <c r="Q168" s="4" t="inlineStr">
        <is>
          <t>Not found (use site)</t>
        </is>
      </c>
      <c r="R168" s="4" t="inlineStr">
        <is>
          <t>Not identified</t>
        </is>
      </c>
      <c r="S168" s="4" t="inlineStr">
        <is>
          <t>Unverified</t>
        </is>
      </c>
      <c r="T168" s="6">
        <f>SUM(Z168:AF168)</f>
        <v>17</v>
      </c>
      <c r="U168" s="10" t="inlineStr">
        <is>
          <t>V4</t>
        </is>
      </c>
      <c r="V168" s="4" t="inlineStr">
        <is>
          <t>QUALIFY FIRST: animal hospital sales not confirmed in sources. Orthopaedic materials wholesaler; Saitama device dealers association member.</t>
        </is>
      </c>
      <c r="W168" s="4" t="inlineStr">
        <is>
          <t>Open by asking whether they serve animal hospitals today; if yes, offer a vet line with no overlap to their human ultrasound brands.</t>
        </is>
      </c>
      <c r="X168" s="4" t="inlineStr">
        <is>
          <t>Not checked (human list not in v17)</t>
        </is>
      </c>
      <c r="Y168" s="4" t="inlineStr">
        <is>
          <t>https://baseconnect.in/companies/prefecture/5b2e6d00-cfba-4d0b-850d-54757e4b4d7f/keyword/89941b4e-2dd1-4848-8957-48af280a31e0</t>
        </is>
      </c>
      <c r="Z168" s="4" t="n">
        <v>2</v>
      </c>
      <c r="AA168" s="4" t="n">
        <v>3</v>
      </c>
      <c r="AB168" s="4" t="n">
        <v>3</v>
      </c>
      <c r="AC168" s="4" t="n">
        <v>2</v>
      </c>
      <c r="AD168" s="4" t="n">
        <v>1</v>
      </c>
      <c r="AE168" s="4" t="n">
        <v>4</v>
      </c>
      <c r="AF168" s="4" t="n">
        <v>2</v>
      </c>
      <c r="AG168" s="11" t="inlineStr">
        <is>
          <t>Qualify first</t>
        </is>
      </c>
    </row>
    <row r="169" ht="75" customHeight="1">
      <c r="A169" s="4" t="n">
        <v>165</v>
      </c>
      <c r="B169" s="4" t="inlineStr">
        <is>
          <t>Iwabuchi Yakuhin Co., Ltd.</t>
        </is>
      </c>
      <c r="C169" s="4" t="inlineStr">
        <is>
          <t>岩渕薬品株式会社</t>
        </is>
      </c>
      <c r="D169" s="4" t="inlineStr">
        <is>
          <t>Not found (NTA lookup blocked; dedupe by Japanese name)</t>
        </is>
      </c>
      <c r="E169" s="4" t="inlineStr">
        <is>
          <t>Chiba</t>
        </is>
      </c>
      <c r="F169" s="4" t="inlineStr">
        <is>
          <t>Kanto</t>
        </is>
      </c>
      <c r="G169" s="4" t="inlineStr">
        <is>
          <t>Not found</t>
        </is>
      </c>
      <c r="H169" s="4" t="inlineStr">
        <is>
          <t>Human device sales licences; 動物用 licence not confirmed</t>
        </is>
      </c>
      <c r="I169" s="4" t="inlineStr">
        <is>
          <t>Human multi brand lines (ultrasound brands not confirmed)</t>
        </is>
      </c>
      <c r="J169" s="4" t="inlineStr">
        <is>
          <t>Companion</t>
        </is>
      </c>
      <c r="K169" s="4" t="inlineStr">
        <is>
          <t>Chiba</t>
        </is>
      </c>
      <c r="L169" s="4" t="inlineStr">
        <is>
          <t>Not found</t>
        </is>
      </c>
      <c r="M169" s="4" t="inlineStr">
        <is>
          <t>n/a</t>
        </is>
      </c>
      <c r="N169" s="4" t="inlineStr">
        <is>
          <t>Not identified</t>
        </is>
      </c>
      <c r="O169" s="4" t="inlineStr">
        <is>
          <t>Not identified</t>
        </is>
      </c>
      <c r="P169" s="4" t="inlineStr">
        <is>
          <t>Not searched (search budget)</t>
        </is>
      </c>
      <c r="Q169" s="4" t="inlineStr">
        <is>
          <t>Not found (use site)</t>
        </is>
      </c>
      <c r="R169" s="4" t="inlineStr">
        <is>
          <t>Not identified</t>
        </is>
      </c>
      <c r="S169" s="4" t="inlineStr">
        <is>
          <t>Unverified</t>
        </is>
      </c>
      <c r="T169" s="6">
        <f>SUM(Z169:AF169)</f>
        <v>17</v>
      </c>
      <c r="U169" s="10" t="inlineStr">
        <is>
          <t>V4</t>
        </is>
      </c>
      <c r="V169" s="4" t="inlineStr">
        <is>
          <t>QUALIFY FIRST: animal hospital sales not confirmed in sources. Chiba pharma and device wholesaler.</t>
        </is>
      </c>
      <c r="W169" s="4" t="inlineStr">
        <is>
          <t>Open by asking whether they serve animal hospitals today; if yes, offer a vet line with no overlap to their human ultrasound brands.</t>
        </is>
      </c>
      <c r="X169" s="4" t="inlineStr">
        <is>
          <t>Not checked (human list not in v17)</t>
        </is>
      </c>
      <c r="Y169" s="4" t="inlineStr">
        <is>
          <t>https://baseconnect.in/companies/prefecture/3420045f-8609-4232-9407-75407ae4e6e8/keyword/89941b4e-2dd1-4848-8957-48af280a31e0 ; http://www.citydo.com/prf/chiba/chiba/guide/sg/wg_list.html?c=0501005</t>
        </is>
      </c>
      <c r="Z169" s="4" t="n">
        <v>2</v>
      </c>
      <c r="AA169" s="4" t="n">
        <v>3</v>
      </c>
      <c r="AB169" s="4" t="n">
        <v>3</v>
      </c>
      <c r="AC169" s="4" t="n">
        <v>2</v>
      </c>
      <c r="AD169" s="4" t="n">
        <v>1</v>
      </c>
      <c r="AE169" s="4" t="n">
        <v>4</v>
      </c>
      <c r="AF169" s="4" t="n">
        <v>2</v>
      </c>
      <c r="AG169" s="11" t="inlineStr">
        <is>
          <t>Qualify first</t>
        </is>
      </c>
    </row>
    <row r="170" ht="75" customHeight="1">
      <c r="A170" s="4" t="n">
        <v>166</v>
      </c>
      <c r="B170" s="4" t="inlineStr">
        <is>
          <t>J Tec Co., Ltd. (Tochigi)</t>
        </is>
      </c>
      <c r="C170" s="4" t="inlineStr">
        <is>
          <t>株式会社ジェイテック</t>
        </is>
      </c>
      <c r="D170" s="4" t="inlineStr">
        <is>
          <t>Not found (NTA lookup blocked; dedupe by Japanese name)</t>
        </is>
      </c>
      <c r="E170" s="4" t="inlineStr">
        <is>
          <t>Tochigi</t>
        </is>
      </c>
      <c r="F170" s="4" t="inlineStr">
        <is>
          <t>Kanto</t>
        </is>
      </c>
      <c r="G170" s="4" t="inlineStr">
        <is>
          <t>Not found</t>
        </is>
      </c>
      <c r="H170" s="4" t="inlineStr">
        <is>
          <t>Human device sales licences; 動物用 licence not confirmed</t>
        </is>
      </c>
      <c r="I170" s="4" t="inlineStr">
        <is>
          <t>Human multi brand lines (ultrasound brands not confirmed)</t>
        </is>
      </c>
      <c r="J170" s="4" t="inlineStr">
        <is>
          <t>Companion</t>
        </is>
      </c>
      <c r="K170" s="4" t="inlineStr">
        <is>
          <t>Tochigi</t>
        </is>
      </c>
      <c r="L170" s="4" t="inlineStr">
        <is>
          <t>Not found</t>
        </is>
      </c>
      <c r="M170" s="4" t="inlineStr">
        <is>
          <t>n/a</t>
        </is>
      </c>
      <c r="N170" s="4" t="inlineStr">
        <is>
          <t>Not identified</t>
        </is>
      </c>
      <c r="O170" s="4" t="inlineStr">
        <is>
          <t>Not identified</t>
        </is>
      </c>
      <c r="P170" s="4" t="inlineStr">
        <is>
          <t>Not searched (search budget)</t>
        </is>
      </c>
      <c r="Q170" s="4" t="inlineStr">
        <is>
          <t>Not found (use site)</t>
        </is>
      </c>
      <c r="R170" s="4" t="inlineStr">
        <is>
          <t>Not identified</t>
        </is>
      </c>
      <c r="S170" s="4" t="inlineStr">
        <is>
          <t>Unverified</t>
        </is>
      </c>
      <c r="T170" s="6">
        <f>SUM(Z170:AF170)</f>
        <v>17</v>
      </c>
      <c r="U170" s="10" t="inlineStr">
        <is>
          <t>V4</t>
        </is>
      </c>
      <c r="V170" s="4" t="inlineStr">
        <is>
          <t>QUALIFY FIRST: animal hospital sales not confirmed in sources. Sells catheters and ventilators.</t>
        </is>
      </c>
      <c r="W170" s="4" t="inlineStr">
        <is>
          <t>Open by asking whether they serve animal hospitals today; if yes, offer a vet line with no overlap to their human ultrasound brands.</t>
        </is>
      </c>
      <c r="X170" s="4" t="inlineStr">
        <is>
          <t>Not checked (human list not in v17)</t>
        </is>
      </c>
      <c r="Y170" s="4" t="inlineStr">
        <is>
          <t>https://baseconnect.in/companies/prefecture/5d54c878-c20d-4f57-bb73-e021f2210d6c/keyword/14f3dcec-9cd5-4be5-84e1-ddccb7bd228c</t>
        </is>
      </c>
      <c r="Z170" s="4" t="n">
        <v>2</v>
      </c>
      <c r="AA170" s="4" t="n">
        <v>3</v>
      </c>
      <c r="AB170" s="4" t="n">
        <v>3</v>
      </c>
      <c r="AC170" s="4" t="n">
        <v>2</v>
      </c>
      <c r="AD170" s="4" t="n">
        <v>1</v>
      </c>
      <c r="AE170" s="4" t="n">
        <v>4</v>
      </c>
      <c r="AF170" s="4" t="n">
        <v>2</v>
      </c>
      <c r="AG170" s="11" t="inlineStr">
        <is>
          <t>Qualify first</t>
        </is>
      </c>
    </row>
    <row r="171" ht="75" customHeight="1">
      <c r="A171" s="4" t="n">
        <v>167</v>
      </c>
      <c r="B171" s="4" t="inlineStr">
        <is>
          <t>KMC Co., Ltd.</t>
        </is>
      </c>
      <c r="C171" s="4" t="inlineStr">
        <is>
          <t>株式会社ケイエムシー</t>
        </is>
      </c>
      <c r="D171" s="4" t="inlineStr">
        <is>
          <t>Not found (NTA lookup blocked; dedupe by Japanese name)</t>
        </is>
      </c>
      <c r="E171" s="4" t="inlineStr">
        <is>
          <t>Chiba</t>
        </is>
      </c>
      <c r="F171" s="4" t="inlineStr">
        <is>
          <t>Kanto</t>
        </is>
      </c>
      <c r="G171" s="4" t="inlineStr">
        <is>
          <t>Not found</t>
        </is>
      </c>
      <c r="H171" s="4" t="inlineStr">
        <is>
          <t>Human device sales licences; 動物用 licence not confirmed</t>
        </is>
      </c>
      <c r="I171" s="4" t="inlineStr">
        <is>
          <t>Human multi brand lines (ultrasound brands not confirmed)</t>
        </is>
      </c>
      <c r="J171" s="4" t="inlineStr">
        <is>
          <t>Companion</t>
        </is>
      </c>
      <c r="K171" s="4" t="inlineStr">
        <is>
          <t>Chiba</t>
        </is>
      </c>
      <c r="L171" s="4" t="inlineStr">
        <is>
          <t>Not found</t>
        </is>
      </c>
      <c r="M171" s="4" t="inlineStr">
        <is>
          <t>n/a</t>
        </is>
      </c>
      <c r="N171" s="4" t="inlineStr">
        <is>
          <t>Not identified</t>
        </is>
      </c>
      <c r="O171" s="4" t="inlineStr">
        <is>
          <t>Not identified</t>
        </is>
      </c>
      <c r="P171" s="4" t="inlineStr">
        <is>
          <t>Not searched (search budget)</t>
        </is>
      </c>
      <c r="Q171" s="4" t="inlineStr">
        <is>
          <t>Not found (use site)</t>
        </is>
      </c>
      <c r="R171" s="4" t="inlineStr">
        <is>
          <t>Not identified</t>
        </is>
      </c>
      <c r="S171" s="4" t="inlineStr">
        <is>
          <t>Unverified</t>
        </is>
      </c>
      <c r="T171" s="6">
        <f>SUM(Z171:AF171)</f>
        <v>17</v>
      </c>
      <c r="U171" s="10" t="inlineStr">
        <is>
          <t>V4</t>
        </is>
      </c>
      <c r="V171" s="4" t="inlineStr">
        <is>
          <t>QUALIFY FIRST: animal hospital sales not confirmed in sources. Chiba device wholesaler.</t>
        </is>
      </c>
      <c r="W171" s="4" t="inlineStr">
        <is>
          <t>Open by asking whether they serve animal hospitals today; if yes, offer a vet line with no overlap to their human ultrasound brands.</t>
        </is>
      </c>
      <c r="X171" s="4" t="inlineStr">
        <is>
          <t>Not checked (human list not in v17)</t>
        </is>
      </c>
      <c r="Y171" s="4" t="inlineStr">
        <is>
          <t>https://baseconnect.in/companies/prefecture/3420045f-8609-4232-9407-75407ae4e6e8/keyword/89941b4e-2dd1-4848-8957-48af280a31e0</t>
        </is>
      </c>
      <c r="Z171" s="4" t="n">
        <v>2</v>
      </c>
      <c r="AA171" s="4" t="n">
        <v>3</v>
      </c>
      <c r="AB171" s="4" t="n">
        <v>3</v>
      </c>
      <c r="AC171" s="4" t="n">
        <v>2</v>
      </c>
      <c r="AD171" s="4" t="n">
        <v>1</v>
      </c>
      <c r="AE171" s="4" t="n">
        <v>4</v>
      </c>
      <c r="AF171" s="4" t="n">
        <v>2</v>
      </c>
      <c r="AG171" s="11" t="inlineStr">
        <is>
          <t>Qualify first</t>
        </is>
      </c>
    </row>
    <row r="172" ht="75" customHeight="1">
      <c r="A172" s="4" t="n">
        <v>168</v>
      </c>
      <c r="B172" s="4" t="inlineStr">
        <is>
          <t>Koei Ltd.</t>
        </is>
      </c>
      <c r="C172" s="4" t="inlineStr">
        <is>
          <t>有限会社昊栄</t>
        </is>
      </c>
      <c r="D172" s="4" t="inlineStr">
        <is>
          <t>Not found (NTA lookup blocked; dedupe by Japanese name)</t>
        </is>
      </c>
      <c r="E172" s="4" t="inlineStr">
        <is>
          <t>Ibaraki</t>
        </is>
      </c>
      <c r="F172" s="4" t="inlineStr">
        <is>
          <t>Kanto</t>
        </is>
      </c>
      <c r="G172" s="4" t="inlineStr">
        <is>
          <t>Not found</t>
        </is>
      </c>
      <c r="H172" s="4" t="inlineStr">
        <is>
          <t>Human device sales licences; 動物用 licence not confirmed</t>
        </is>
      </c>
      <c r="I172" s="4" t="inlineStr">
        <is>
          <t>Human multi brand lines (ultrasound brands not confirmed)</t>
        </is>
      </c>
      <c r="J172" s="4" t="inlineStr">
        <is>
          <t>Companion</t>
        </is>
      </c>
      <c r="K172" s="4" t="inlineStr">
        <is>
          <t>Ibaraki (Chikusei)</t>
        </is>
      </c>
      <c r="L172" s="4" t="inlineStr">
        <is>
          <t>Not found</t>
        </is>
      </c>
      <c r="M172" s="4" t="inlineStr">
        <is>
          <t>n/a</t>
        </is>
      </c>
      <c r="N172" s="4" t="inlineStr">
        <is>
          <t>Not identified</t>
        </is>
      </c>
      <c r="O172" s="4" t="inlineStr">
        <is>
          <t>Not identified</t>
        </is>
      </c>
      <c r="P172" s="4" t="inlineStr">
        <is>
          <t>Not searched (search budget)</t>
        </is>
      </c>
      <c r="Q172" s="4" t="inlineStr">
        <is>
          <t>Not found (use site)</t>
        </is>
      </c>
      <c r="R172" s="4" t="inlineStr">
        <is>
          <t>Not identified</t>
        </is>
      </c>
      <c r="S172" s="4" t="inlineStr">
        <is>
          <t>Unverified</t>
        </is>
      </c>
      <c r="T172" s="6">
        <f>SUM(Z172:AF172)</f>
        <v>17</v>
      </c>
      <c r="U172" s="10" t="inlineStr">
        <is>
          <t>V4</t>
        </is>
      </c>
      <c r="V172" s="4" t="inlineStr">
        <is>
          <t>QUALIFY FIRST: animal hospital sales not confirmed in sources. Device and welfare equipment wholesaler.</t>
        </is>
      </c>
      <c r="W172" s="4" t="inlineStr">
        <is>
          <t>Open by asking whether they serve animal hospitals today; if yes, offer a vet line with no overlap to their human ultrasound brands.</t>
        </is>
      </c>
      <c r="X172" s="4" t="inlineStr">
        <is>
          <t>Not checked (human list not in v17)</t>
        </is>
      </c>
      <c r="Y172" s="4" t="inlineStr">
        <is>
          <t>https://baseconnect.in/companies/prefecture/d8203dea-91e2-41c3-a785-b80aa997273c/category/b2358a1c-c4c6-46f4-a0b1-dee3a1b30a0b</t>
        </is>
      </c>
      <c r="Z172" s="4" t="n">
        <v>2</v>
      </c>
      <c r="AA172" s="4" t="n">
        <v>3</v>
      </c>
      <c r="AB172" s="4" t="n">
        <v>3</v>
      </c>
      <c r="AC172" s="4" t="n">
        <v>2</v>
      </c>
      <c r="AD172" s="4" t="n">
        <v>1</v>
      </c>
      <c r="AE172" s="4" t="n">
        <v>4</v>
      </c>
      <c r="AF172" s="4" t="n">
        <v>2</v>
      </c>
      <c r="AG172" s="11" t="inlineStr">
        <is>
          <t>Qualify first</t>
        </is>
      </c>
    </row>
    <row r="173" ht="75" customHeight="1">
      <c r="A173" s="4" t="n">
        <v>169</v>
      </c>
      <c r="B173" s="4" t="inlineStr">
        <is>
          <t>LMS Co., Ltd.</t>
        </is>
      </c>
      <c r="C173" s="4" t="inlineStr">
        <is>
          <t>株式会社エル・エム・エス</t>
        </is>
      </c>
      <c r="D173" s="4" t="inlineStr">
        <is>
          <t>Not found (NTA lookup blocked; dedupe by Japanese name)</t>
        </is>
      </c>
      <c r="E173" s="4" t="inlineStr">
        <is>
          <t>Tokyo</t>
        </is>
      </c>
      <c r="F173" s="4" t="inlineStr">
        <is>
          <t>Kanto</t>
        </is>
      </c>
      <c r="G173" s="4" t="inlineStr">
        <is>
          <t>Not found</t>
        </is>
      </c>
      <c r="H173" s="4" t="inlineStr">
        <is>
          <t>Human device sales licences; 動物用 licence not confirmed</t>
        </is>
      </c>
      <c r="I173" s="4" t="inlineStr">
        <is>
          <t>Human multi brand lines (ultrasound brands not confirmed)</t>
        </is>
      </c>
      <c r="J173" s="4" t="inlineStr">
        <is>
          <t>Companion</t>
        </is>
      </c>
      <c r="K173" s="4" t="inlineStr">
        <is>
          <t>National</t>
        </is>
      </c>
      <c r="L173" s="4" t="inlineStr">
        <is>
          <t>Not found</t>
        </is>
      </c>
      <c r="M173" s="4" t="inlineStr">
        <is>
          <t>n/a</t>
        </is>
      </c>
      <c r="N173" s="4" t="inlineStr">
        <is>
          <t>Not identified</t>
        </is>
      </c>
      <c r="O173" s="4" t="inlineStr">
        <is>
          <t>Not identified</t>
        </is>
      </c>
      <c r="P173" s="4" t="inlineStr">
        <is>
          <t>Not searched (search budget)</t>
        </is>
      </c>
      <c r="Q173" s="4" t="inlineStr">
        <is>
          <t>Not found (use site)</t>
        </is>
      </c>
      <c r="R173" s="4" t="inlineStr">
        <is>
          <t>Not identified</t>
        </is>
      </c>
      <c r="S173" s="4" t="inlineStr">
        <is>
          <t>Unverified</t>
        </is>
      </c>
      <c r="T173" s="6">
        <f>SUM(Z173:AF173)</f>
        <v>17</v>
      </c>
      <c r="U173" s="10" t="inlineStr">
        <is>
          <t>V4</t>
        </is>
      </c>
      <c r="V173" s="4" t="inlineStr">
        <is>
          <t>QUALIFY FIRST: animal hospital sales not confirmed in sources. Tokyo device wholesaler.</t>
        </is>
      </c>
      <c r="W173" s="4" t="inlineStr">
        <is>
          <t>Open by asking whether they serve animal hospitals today; if yes, offer a vet line with no overlap to their human ultrasound brands.</t>
        </is>
      </c>
      <c r="X173" s="4" t="inlineStr">
        <is>
          <t>Not checked (human list not in v17)</t>
        </is>
      </c>
      <c r="Y173" s="4" t="inlineStr">
        <is>
          <t>https://www.nikkei.com/compass/search/Y2F0ZWdvcnk9Y29tcGFueSZyZWdpb249MTMmaW5kdXN0cnlTPTA1MzI</t>
        </is>
      </c>
      <c r="Z173" s="4" t="n">
        <v>2</v>
      </c>
      <c r="AA173" s="4" t="n">
        <v>3</v>
      </c>
      <c r="AB173" s="4" t="n">
        <v>3</v>
      </c>
      <c r="AC173" s="4" t="n">
        <v>2</v>
      </c>
      <c r="AD173" s="4" t="n">
        <v>1</v>
      </c>
      <c r="AE173" s="4" t="n">
        <v>4</v>
      </c>
      <c r="AF173" s="4" t="n">
        <v>2</v>
      </c>
      <c r="AG173" s="11" t="inlineStr">
        <is>
          <t>Qualify first</t>
        </is>
      </c>
    </row>
    <row r="174" ht="75" customHeight="1">
      <c r="A174" s="4" t="n">
        <v>170</v>
      </c>
      <c r="B174" s="4" t="inlineStr">
        <is>
          <t>MC Medical, Inc.</t>
        </is>
      </c>
      <c r="C174" s="4" t="inlineStr">
        <is>
          <t>エム・シー・メディカル株式会社</t>
        </is>
      </c>
      <c r="D174" s="4" t="inlineStr">
        <is>
          <t>Not found (NTA lookup blocked; dedupe by Japanese name)</t>
        </is>
      </c>
      <c r="E174" s="4" t="inlineStr">
        <is>
          <t>Tokyo</t>
        </is>
      </c>
      <c r="F174" s="4" t="inlineStr">
        <is>
          <t>Kanto</t>
        </is>
      </c>
      <c r="G174" s="4" t="inlineStr">
        <is>
          <t>Not found</t>
        </is>
      </c>
      <c r="H174" s="4" t="inlineStr">
        <is>
          <t>Human device sales licences; 動物用 licence not confirmed</t>
        </is>
      </c>
      <c r="I174" s="4" t="inlineStr">
        <is>
          <t>Human multi brand lines (ultrasound brands not confirmed)</t>
        </is>
      </c>
      <c r="J174" s="4" t="inlineStr">
        <is>
          <t>Companion</t>
        </is>
      </c>
      <c r="K174" s="4" t="inlineStr">
        <is>
          <t>National</t>
        </is>
      </c>
      <c r="L174" s="4" t="inlineStr">
        <is>
          <t>Not found</t>
        </is>
      </c>
      <c r="M174" s="4" t="inlineStr">
        <is>
          <t>n/a</t>
        </is>
      </c>
      <c r="N174" s="4" t="inlineStr">
        <is>
          <t>Not identified</t>
        </is>
      </c>
      <c r="O174" s="4" t="inlineStr">
        <is>
          <t>Not identified</t>
        </is>
      </c>
      <c r="P174" s="4" t="inlineStr">
        <is>
          <t>Not searched (search budget)</t>
        </is>
      </c>
      <c r="Q174" s="4" t="inlineStr">
        <is>
          <t>Not found (use site)</t>
        </is>
      </c>
      <c r="R174" s="4" t="inlineStr">
        <is>
          <t>Not identified</t>
        </is>
      </c>
      <c r="S174" s="4" t="inlineStr">
        <is>
          <t>Unverified</t>
        </is>
      </c>
      <c r="T174" s="6">
        <f>SUM(Z174:AF174)</f>
        <v>17</v>
      </c>
      <c r="U174" s="10" t="inlineStr">
        <is>
          <t>V4</t>
        </is>
      </c>
      <c r="V174" s="4" t="inlineStr">
        <is>
          <t>QUALIFY FIRST: animal hospital sales not confirmed in sources. Tokyo device and supplies wholesaler.</t>
        </is>
      </c>
      <c r="W174" s="4" t="inlineStr">
        <is>
          <t>Open by asking whether they serve animal hospitals today; if yes, offer a vet line with no overlap to their human ultrasound brands.</t>
        </is>
      </c>
      <c r="X174" s="4" t="inlineStr">
        <is>
          <t>Not checked (human list not in v17)</t>
        </is>
      </c>
      <c r="Y174" s="4" t="inlineStr">
        <is>
          <t>https://www.nikkei.com/compass/search/Y2F0ZWdvcnk9Y29tcGFueSZyZWdpb249MTMmaW5kdXN0cnlTPTA1MzI</t>
        </is>
      </c>
      <c r="Z174" s="4" t="n">
        <v>2</v>
      </c>
      <c r="AA174" s="4" t="n">
        <v>3</v>
      </c>
      <c r="AB174" s="4" t="n">
        <v>3</v>
      </c>
      <c r="AC174" s="4" t="n">
        <v>2</v>
      </c>
      <c r="AD174" s="4" t="n">
        <v>1</v>
      </c>
      <c r="AE174" s="4" t="n">
        <v>4</v>
      </c>
      <c r="AF174" s="4" t="n">
        <v>2</v>
      </c>
      <c r="AG174" s="11" t="inlineStr">
        <is>
          <t>Qualify first</t>
        </is>
      </c>
    </row>
    <row r="175" ht="75" customHeight="1">
      <c r="A175" s="4" t="n">
        <v>171</v>
      </c>
      <c r="B175" s="4" t="inlineStr">
        <is>
          <t>Mediceo Corporation</t>
        </is>
      </c>
      <c r="C175" s="4" t="inlineStr">
        <is>
          <t>株式会社メディセオ</t>
        </is>
      </c>
      <c r="D175" s="4" t="inlineStr">
        <is>
          <t>Not found (NTA lookup blocked; dedupe by Japanese name)</t>
        </is>
      </c>
      <c r="E175" s="4" t="inlineStr">
        <is>
          <t>Tokyo</t>
        </is>
      </c>
      <c r="F175" s="4" t="inlineStr">
        <is>
          <t>Kanto</t>
        </is>
      </c>
      <c r="G175" s="4" t="inlineStr">
        <is>
          <t>Not found</t>
        </is>
      </c>
      <c r="H175" s="4" t="inlineStr">
        <is>
          <t>Human device sales licences; 動物用 licence not confirmed</t>
        </is>
      </c>
      <c r="I175" s="4" t="inlineStr">
        <is>
          <t>Human multi brand lines (ultrasound brands not confirmed)</t>
        </is>
      </c>
      <c r="J175" s="4" t="inlineStr">
        <is>
          <t>Companion</t>
        </is>
      </c>
      <c r="K175" s="4" t="inlineStr">
        <is>
          <t>National</t>
        </is>
      </c>
      <c r="L175" s="4" t="inlineStr">
        <is>
          <t>Large (Medipal group)</t>
        </is>
      </c>
      <c r="M175" s="4" t="inlineStr">
        <is>
          <t>n/a</t>
        </is>
      </c>
      <c r="N175" s="4" t="inlineStr">
        <is>
          <t>Not identified</t>
        </is>
      </c>
      <c r="O175" s="4" t="inlineStr">
        <is>
          <t>Not identified</t>
        </is>
      </c>
      <c r="P175" s="4" t="inlineStr">
        <is>
          <t>Not searched (search budget)</t>
        </is>
      </c>
      <c r="Q175" s="4" t="inlineStr">
        <is>
          <t>Not found (use site)</t>
        </is>
      </c>
      <c r="R175" s="4" t="inlineStr">
        <is>
          <t>Not identified</t>
        </is>
      </c>
      <c r="S175" s="4" t="inlineStr">
        <is>
          <t>Unverified</t>
        </is>
      </c>
      <c r="T175" s="6">
        <f>SUM(Z175:AF175)</f>
        <v>17</v>
      </c>
      <c r="U175" s="10" t="inlineStr">
        <is>
          <t>V4</t>
        </is>
      </c>
      <c r="V175" s="4" t="inlineStr">
        <is>
          <t>QUALIFY FIRST: animal hospital sales not confirmed in sources. Medipal group pharma and device wholesaler. FLAG: Same group as MP Agro (already on Japan Dealers tab); coordinate before contact.</t>
        </is>
      </c>
      <c r="W175" s="4" t="inlineStr">
        <is>
          <t>Open by asking whether they serve animal hospitals today; if yes, offer a vet line with no overlap to their human ultrasound brands.</t>
        </is>
      </c>
      <c r="X175" s="4" t="inlineStr">
        <is>
          <t>Not checked (human list not in v17)</t>
        </is>
      </c>
      <c r="Y175" s="4" t="inlineStr">
        <is>
          <t>https://baseconnect.in/companies/prefecture/a30ebdff-361b-42be-8372-1b0d350f48a0/keyword/89941b4e-2dd1-4848-8957-48af280a31e0</t>
        </is>
      </c>
      <c r="Z175" s="4" t="n">
        <v>2</v>
      </c>
      <c r="AA175" s="4" t="n">
        <v>3</v>
      </c>
      <c r="AB175" s="4" t="n">
        <v>3</v>
      </c>
      <c r="AC175" s="4" t="n">
        <v>2</v>
      </c>
      <c r="AD175" s="4" t="n">
        <v>1</v>
      </c>
      <c r="AE175" s="4" t="n">
        <v>4</v>
      </c>
      <c r="AF175" s="4" t="n">
        <v>2</v>
      </c>
      <c r="AG175" s="11" t="inlineStr">
        <is>
          <t>Qualify first</t>
        </is>
      </c>
    </row>
    <row r="176" ht="75" customHeight="1">
      <c r="A176" s="4" t="n">
        <v>172</v>
      </c>
      <c r="B176" s="4" t="inlineStr">
        <is>
          <t>Nissei Medical Co., Ltd.</t>
        </is>
      </c>
      <c r="C176" s="4" t="inlineStr">
        <is>
          <t>株式会社日成メディカル</t>
        </is>
      </c>
      <c r="D176" s="4" t="inlineStr">
        <is>
          <t>Not found (NTA lookup blocked; dedupe by Japanese name)</t>
        </is>
      </c>
      <c r="E176" s="4" t="inlineStr">
        <is>
          <t>Tochigi</t>
        </is>
      </c>
      <c r="F176" s="4" t="inlineStr">
        <is>
          <t>Kanto</t>
        </is>
      </c>
      <c r="G176" s="4" t="inlineStr">
        <is>
          <t>Not found</t>
        </is>
      </c>
      <c r="H176" s="4" t="inlineStr">
        <is>
          <t>Human device sales licences; 動物用 licence not confirmed</t>
        </is>
      </c>
      <c r="I176" s="4" t="inlineStr">
        <is>
          <t>Human multi brand lines (ultrasound brands not confirmed)</t>
        </is>
      </c>
      <c r="J176" s="4" t="inlineStr">
        <is>
          <t>Companion</t>
        </is>
      </c>
      <c r="K176" s="4" t="inlineStr">
        <is>
          <t>Tochigi</t>
        </is>
      </c>
      <c r="L176" s="4" t="inlineStr">
        <is>
          <t>Not found</t>
        </is>
      </c>
      <c r="M176" s="4" t="inlineStr">
        <is>
          <t>n/a</t>
        </is>
      </c>
      <c r="N176" s="4" t="inlineStr">
        <is>
          <t>Not identified</t>
        </is>
      </c>
      <c r="O176" s="4" t="inlineStr">
        <is>
          <t>Not identified</t>
        </is>
      </c>
      <c r="P176" s="4" t="inlineStr">
        <is>
          <t>Not searched (search budget)</t>
        </is>
      </c>
      <c r="Q176" s="4" t="inlineStr">
        <is>
          <t>Not found (use site)</t>
        </is>
      </c>
      <c r="R176" s="4" t="inlineStr">
        <is>
          <t>Not identified</t>
        </is>
      </c>
      <c r="S176" s="4" t="inlineStr">
        <is>
          <t>Unverified</t>
        </is>
      </c>
      <c r="T176" s="6">
        <f>SUM(Z176:AF176)</f>
        <v>17</v>
      </c>
      <c r="U176" s="10" t="inlineStr">
        <is>
          <t>V4</t>
        </is>
      </c>
      <c r="V176" s="4" t="inlineStr">
        <is>
          <t>QUALIFY FIRST: animal hospital sales not confirmed in sources. Dialysis equipment wholesaler.</t>
        </is>
      </c>
      <c r="W176" s="4" t="inlineStr">
        <is>
          <t>Open by asking whether they serve animal hospitals today; if yes, offer a vet line with no overlap to their human ultrasound brands.</t>
        </is>
      </c>
      <c r="X176" s="4" t="inlineStr">
        <is>
          <t>Not checked (human list not in v17)</t>
        </is>
      </c>
      <c r="Y176" s="4" t="inlineStr">
        <is>
          <t>https://baseconnect.in/companies/prefecture/5d54c878-c20d-4f57-bb73-e021f2210d6c/keyword/14f3dcec-9cd5-4be5-84e1-ddccb7bd228c</t>
        </is>
      </c>
      <c r="Z176" s="4" t="n">
        <v>2</v>
      </c>
      <c r="AA176" s="4" t="n">
        <v>3</v>
      </c>
      <c r="AB176" s="4" t="n">
        <v>3</v>
      </c>
      <c r="AC176" s="4" t="n">
        <v>2</v>
      </c>
      <c r="AD176" s="4" t="n">
        <v>1</v>
      </c>
      <c r="AE176" s="4" t="n">
        <v>4</v>
      </c>
      <c r="AF176" s="4" t="n">
        <v>2</v>
      </c>
      <c r="AG176" s="11" t="inlineStr">
        <is>
          <t>Qualify first</t>
        </is>
      </c>
    </row>
    <row r="177" ht="75" customHeight="1">
      <c r="A177" s="4" t="n">
        <v>173</v>
      </c>
      <c r="B177" s="4" t="inlineStr">
        <is>
          <t>Sun Medix Co., Ltd.</t>
        </is>
      </c>
      <c r="C177" s="4" t="inlineStr">
        <is>
          <t>サンメディックス株式会社</t>
        </is>
      </c>
      <c r="D177" s="4" t="inlineStr">
        <is>
          <t>Not found (NTA lookup blocked; dedupe by Japanese name)</t>
        </is>
      </c>
      <c r="E177" s="4" t="inlineStr">
        <is>
          <t>Tokyo</t>
        </is>
      </c>
      <c r="F177" s="4" t="inlineStr">
        <is>
          <t>Kanto</t>
        </is>
      </c>
      <c r="G177" s="4" t="inlineStr">
        <is>
          <t>Not found</t>
        </is>
      </c>
      <c r="H177" s="4" t="inlineStr">
        <is>
          <t>Human device sales licences; 動物用 licence not confirmed</t>
        </is>
      </c>
      <c r="I177" s="4" t="inlineStr">
        <is>
          <t>Human multi brand lines (ultrasound brands not confirmed)</t>
        </is>
      </c>
      <c r="J177" s="4" t="inlineStr">
        <is>
          <t>Companion</t>
        </is>
      </c>
      <c r="K177" s="4" t="inlineStr">
        <is>
          <t>Tokyo</t>
        </is>
      </c>
      <c r="L177" s="4" t="inlineStr">
        <is>
          <t>Not found</t>
        </is>
      </c>
      <c r="M177" s="4" t="inlineStr">
        <is>
          <t>n/a</t>
        </is>
      </c>
      <c r="N177" s="4" t="inlineStr">
        <is>
          <t>Not identified</t>
        </is>
      </c>
      <c r="O177" s="4" t="inlineStr">
        <is>
          <t>Not identified</t>
        </is>
      </c>
      <c r="P177" s="4" t="inlineStr">
        <is>
          <t>Not searched (search budget)</t>
        </is>
      </c>
      <c r="Q177" s="4" t="inlineStr">
        <is>
          <t>Not found (use site)</t>
        </is>
      </c>
      <c r="R177" s="4" t="inlineStr">
        <is>
          <t>Not identified</t>
        </is>
      </c>
      <c r="S177" s="4" t="inlineStr">
        <is>
          <t>Unverified</t>
        </is>
      </c>
      <c r="T177" s="6">
        <f>SUM(Z177:AF177)</f>
        <v>17</v>
      </c>
      <c r="U177" s="10" t="inlineStr">
        <is>
          <t>V4</t>
        </is>
      </c>
      <c r="V177" s="4" t="inlineStr">
        <is>
          <t>QUALIFY FIRST: animal hospital sales not confirmed in sources. Tokyo device wholesaler.</t>
        </is>
      </c>
      <c r="W177" s="4" t="inlineStr">
        <is>
          <t>Open by asking whether they serve animal hospitals today; if yes, offer a vet line with no overlap to their human ultrasound brands.</t>
        </is>
      </c>
      <c r="X177" s="4" t="inlineStr">
        <is>
          <t>Not checked (human list not in v17)</t>
        </is>
      </c>
      <c r="Y177" s="4" t="inlineStr">
        <is>
          <t>https://baseconnect.in/companies/prefecture/a30ebdff-361b-42be-8372-1b0d350f48a0/keyword/89941b4e-2dd1-4848-8957-48af280a31e0</t>
        </is>
      </c>
      <c r="Z177" s="4" t="n">
        <v>2</v>
      </c>
      <c r="AA177" s="4" t="n">
        <v>3</v>
      </c>
      <c r="AB177" s="4" t="n">
        <v>3</v>
      </c>
      <c r="AC177" s="4" t="n">
        <v>2</v>
      </c>
      <c r="AD177" s="4" t="n">
        <v>1</v>
      </c>
      <c r="AE177" s="4" t="n">
        <v>4</v>
      </c>
      <c r="AF177" s="4" t="n">
        <v>2</v>
      </c>
      <c r="AG177" s="11" t="inlineStr">
        <is>
          <t>Qualify first</t>
        </is>
      </c>
    </row>
    <row r="178" ht="75" customHeight="1">
      <c r="A178" s="4" t="n">
        <v>174</v>
      </c>
      <c r="B178" s="4" t="inlineStr">
        <is>
          <t>Toho Pharmaceutical Co., Ltd.</t>
        </is>
      </c>
      <c r="C178" s="4" t="inlineStr">
        <is>
          <t>東邦薬品株式会社</t>
        </is>
      </c>
      <c r="D178" s="4" t="inlineStr">
        <is>
          <t>Not found (NTA lookup blocked; dedupe by Japanese name)</t>
        </is>
      </c>
      <c r="E178" s="4" t="inlineStr">
        <is>
          <t>Tokyo</t>
        </is>
      </c>
      <c r="F178" s="4" t="inlineStr">
        <is>
          <t>Kanto</t>
        </is>
      </c>
      <c r="G178" s="4" t="inlineStr">
        <is>
          <t>Not found</t>
        </is>
      </c>
      <c r="H178" s="4" t="inlineStr">
        <is>
          <t>Human device sales licences; 動物用 licence not confirmed</t>
        </is>
      </c>
      <c r="I178" s="4" t="inlineStr">
        <is>
          <t>Human multi brand lines (ultrasound brands not confirmed)</t>
        </is>
      </c>
      <c r="J178" s="4" t="inlineStr">
        <is>
          <t>Companion</t>
        </is>
      </c>
      <c r="K178" s="4" t="inlineStr">
        <is>
          <t>National</t>
        </is>
      </c>
      <c r="L178" s="4" t="inlineStr">
        <is>
          <t>Large</t>
        </is>
      </c>
      <c r="M178" s="4" t="inlineStr">
        <is>
          <t>n/a</t>
        </is>
      </c>
      <c r="N178" s="4" t="inlineStr">
        <is>
          <t>Not identified</t>
        </is>
      </c>
      <c r="O178" s="4" t="inlineStr">
        <is>
          <t>Not identified</t>
        </is>
      </c>
      <c r="P178" s="4" t="inlineStr">
        <is>
          <t>Not searched (search budget)</t>
        </is>
      </c>
      <c r="Q178" s="4" t="inlineStr">
        <is>
          <t>Not found (use site)</t>
        </is>
      </c>
      <c r="R178" s="4" t="inlineStr">
        <is>
          <t>Not identified</t>
        </is>
      </c>
      <c r="S178" s="4" t="inlineStr">
        <is>
          <t>Unverified</t>
        </is>
      </c>
      <c r="T178" s="6">
        <f>SUM(Z178:AF178)</f>
        <v>17</v>
      </c>
      <c r="U178" s="10" t="inlineStr">
        <is>
          <t>V4</t>
        </is>
      </c>
      <c r="V178" s="4" t="inlineStr">
        <is>
          <t>QUALIFY FIRST: animal hospital sales not confirmed in sources. Major pharma and device wholesaler.</t>
        </is>
      </c>
      <c r="W178" s="4" t="inlineStr">
        <is>
          <t>Open by asking whether they serve animal hospitals today; if yes, offer a vet line with no overlap to their human ultrasound brands.</t>
        </is>
      </c>
      <c r="X178" s="4" t="inlineStr">
        <is>
          <t>Not checked (human list not in v17)</t>
        </is>
      </c>
      <c r="Y178" s="4" t="inlineStr">
        <is>
          <t>https://baseconnect.in/companies/prefecture/a30ebdff-361b-42be-8372-1b0d350f48a0/category/b2358a1c-c4c6-46f4-a0b1-dee3a1b30a0b</t>
        </is>
      </c>
      <c r="Z178" s="4" t="n">
        <v>2</v>
      </c>
      <c r="AA178" s="4" t="n">
        <v>3</v>
      </c>
      <c r="AB178" s="4" t="n">
        <v>3</v>
      </c>
      <c r="AC178" s="4" t="n">
        <v>2</v>
      </c>
      <c r="AD178" s="4" t="n">
        <v>1</v>
      </c>
      <c r="AE178" s="4" t="n">
        <v>4</v>
      </c>
      <c r="AF178" s="4" t="n">
        <v>2</v>
      </c>
      <c r="AG178" s="11" t="inlineStr">
        <is>
          <t>Qualify first</t>
        </is>
      </c>
    </row>
    <row r="179" ht="75" customHeight="1">
      <c r="A179" s="4" t="n">
        <v>175</v>
      </c>
      <c r="B179" s="4" t="inlineStr">
        <is>
          <t>Verda Co., Ltd.</t>
        </is>
      </c>
      <c r="C179" s="4" t="inlineStr">
        <is>
          <t>株式会社ベルダ</t>
        </is>
      </c>
      <c r="D179" s="4" t="inlineStr">
        <is>
          <t>Not found (NTA lookup blocked; dedupe by Japanese name)</t>
        </is>
      </c>
      <c r="E179" s="4" t="inlineStr">
        <is>
          <t>Chiba</t>
        </is>
      </c>
      <c r="F179" s="4" t="inlineStr">
        <is>
          <t>Kanto</t>
        </is>
      </c>
      <c r="G179" s="4" t="inlineStr">
        <is>
          <t>Not found</t>
        </is>
      </c>
      <c r="H179" s="4" t="inlineStr">
        <is>
          <t>Human device sales licences; 動物用 licence not confirmed</t>
        </is>
      </c>
      <c r="I179" s="4" t="inlineStr">
        <is>
          <t>Human multi brand lines (ultrasound brands not confirmed)</t>
        </is>
      </c>
      <c r="J179" s="4" t="inlineStr">
        <is>
          <t>Companion</t>
        </is>
      </c>
      <c r="K179" s="4" t="inlineStr">
        <is>
          <t>Chiba</t>
        </is>
      </c>
      <c r="L179" s="4" t="inlineStr">
        <is>
          <t>Not found</t>
        </is>
      </c>
      <c r="M179" s="4" t="inlineStr">
        <is>
          <t>n/a</t>
        </is>
      </c>
      <c r="N179" s="4" t="inlineStr">
        <is>
          <t>Not identified</t>
        </is>
      </c>
      <c r="O179" s="4" t="inlineStr">
        <is>
          <t>Not identified</t>
        </is>
      </c>
      <c r="P179" s="4" t="inlineStr">
        <is>
          <t>Not searched (search budget)</t>
        </is>
      </c>
      <c r="Q179" s="4" t="inlineStr">
        <is>
          <t>Not found (use site)</t>
        </is>
      </c>
      <c r="R179" s="4" t="inlineStr">
        <is>
          <t>Not identified</t>
        </is>
      </c>
      <c r="S179" s="4" t="inlineStr">
        <is>
          <t>Unverified</t>
        </is>
      </c>
      <c r="T179" s="6">
        <f>SUM(Z179:AF179)</f>
        <v>17</v>
      </c>
      <c r="U179" s="10" t="inlineStr">
        <is>
          <t>V4</t>
        </is>
      </c>
      <c r="V179" s="4" t="inlineStr">
        <is>
          <t>QUALIFY FIRST: animal hospital sales not confirmed in sources. Chiba device wholesaler.</t>
        </is>
      </c>
      <c r="W179" s="4" t="inlineStr">
        <is>
          <t>Open by asking whether they serve animal hospitals today; if yes, offer a vet line with no overlap to their human ultrasound brands.</t>
        </is>
      </c>
      <c r="X179" s="4" t="inlineStr">
        <is>
          <t>Not checked (human list not in v17)</t>
        </is>
      </c>
      <c r="Y179" s="4" t="inlineStr">
        <is>
          <t>https://baseconnect.in/companies/prefecture/3420045f-8609-4232-9407-75407ae4e6e8/keyword/89941b4e-2dd1-4848-8957-48af280a31e0</t>
        </is>
      </c>
      <c r="Z179" s="4" t="n">
        <v>2</v>
      </c>
      <c r="AA179" s="4" t="n">
        <v>3</v>
      </c>
      <c r="AB179" s="4" t="n">
        <v>3</v>
      </c>
      <c r="AC179" s="4" t="n">
        <v>2</v>
      </c>
      <c r="AD179" s="4" t="n">
        <v>1</v>
      </c>
      <c r="AE179" s="4" t="n">
        <v>4</v>
      </c>
      <c r="AF179" s="4" t="n">
        <v>2</v>
      </c>
      <c r="AG179" s="11" t="inlineStr">
        <is>
          <t>Qualify first</t>
        </is>
      </c>
    </row>
    <row r="180" ht="75" customHeight="1">
      <c r="A180" s="4" t="n">
        <v>176</v>
      </c>
      <c r="B180" s="4" t="inlineStr">
        <is>
          <t>Win International Co., Ltd.</t>
        </is>
      </c>
      <c r="C180" s="4" t="inlineStr">
        <is>
          <t>ウイン・インターナショナル株式会社</t>
        </is>
      </c>
      <c r="D180" s="4" t="inlineStr">
        <is>
          <t>Not found (NTA lookup blocked; dedupe by Japanese name)</t>
        </is>
      </c>
      <c r="E180" s="4" t="inlineStr">
        <is>
          <t>Tokyo</t>
        </is>
      </c>
      <c r="F180" s="4" t="inlineStr">
        <is>
          <t>Kanto</t>
        </is>
      </c>
      <c r="G180" s="4" t="inlineStr">
        <is>
          <t>Not found</t>
        </is>
      </c>
      <c r="H180" s="4" t="inlineStr">
        <is>
          <t>Human device sales licences; 動物用 licence not confirmed</t>
        </is>
      </c>
      <c r="I180" s="4" t="inlineStr">
        <is>
          <t>Human multi brand lines (ultrasound brands not confirmed)</t>
        </is>
      </c>
      <c r="J180" s="4" t="inlineStr">
        <is>
          <t>Companion</t>
        </is>
      </c>
      <c r="K180" s="4" t="inlineStr">
        <is>
          <t>National</t>
        </is>
      </c>
      <c r="L180" s="4" t="inlineStr">
        <is>
          <t>Not found</t>
        </is>
      </c>
      <c r="M180" s="4" t="inlineStr">
        <is>
          <t>n/a</t>
        </is>
      </c>
      <c r="N180" s="4" t="inlineStr">
        <is>
          <t>Not identified</t>
        </is>
      </c>
      <c r="O180" s="4" t="inlineStr">
        <is>
          <t>Not identified</t>
        </is>
      </c>
      <c r="P180" s="4" t="inlineStr">
        <is>
          <t>Not searched (search budget)</t>
        </is>
      </c>
      <c r="Q180" s="4" t="inlineStr">
        <is>
          <t>Not found (use site)</t>
        </is>
      </c>
      <c r="R180" s="4" t="inlineStr">
        <is>
          <t>Not identified</t>
        </is>
      </c>
      <c r="S180" s="4" t="inlineStr">
        <is>
          <t>Unverified</t>
        </is>
      </c>
      <c r="T180" s="6">
        <f>SUM(Z180:AF180)</f>
        <v>17</v>
      </c>
      <c r="U180" s="10" t="inlineStr">
        <is>
          <t>V4</t>
        </is>
      </c>
      <c r="V180" s="4" t="inlineStr">
        <is>
          <t>QUALIFY FIRST: animal hospital sales not confirmed in sources. Tokyo device importer and wholesaler. FLAG: Importer; could act as MAH.</t>
        </is>
      </c>
      <c r="W180" s="4" t="inlineStr">
        <is>
          <t>Open by asking whether they serve animal hospitals today; if yes, offer a vet line with no overlap to their human ultrasound brands.</t>
        </is>
      </c>
      <c r="X180" s="4" t="inlineStr">
        <is>
          <t>Not checked (human list not in v17)</t>
        </is>
      </c>
      <c r="Y180" s="4" t="inlineStr">
        <is>
          <t>https://www.nikkei.com/compass/search/Y2F0ZWdvcnk9Y29tcGFueSZyZWdpb249MTMmaW5kdXN0cnlTPTA1MzI</t>
        </is>
      </c>
      <c r="Z180" s="4" t="n">
        <v>2</v>
      </c>
      <c r="AA180" s="4" t="n">
        <v>3</v>
      </c>
      <c r="AB180" s="4" t="n">
        <v>3</v>
      </c>
      <c r="AC180" s="4" t="n">
        <v>2</v>
      </c>
      <c r="AD180" s="4" t="n">
        <v>1</v>
      </c>
      <c r="AE180" s="4" t="n">
        <v>4</v>
      </c>
      <c r="AF180" s="4" t="n">
        <v>2</v>
      </c>
      <c r="AG180" s="11" t="inlineStr">
        <is>
          <t>Qualify first</t>
        </is>
      </c>
    </row>
    <row r="181" ht="75" customHeight="1">
      <c r="A181" s="4" t="n">
        <v>177</v>
      </c>
      <c r="B181" s="4" t="inlineStr">
        <is>
          <t>Ace Medical Ltd.</t>
        </is>
      </c>
      <c r="C181" s="4" t="inlineStr">
        <is>
          <t>エースメディカル有限会社</t>
        </is>
      </c>
      <c r="D181" s="4" t="inlineStr">
        <is>
          <t>Not found (NTA lookup blocked; dedupe by Japanese name)</t>
        </is>
      </c>
      <c r="E181" s="4" t="inlineStr">
        <is>
          <t>Miyazaki</t>
        </is>
      </c>
      <c r="F181" s="4" t="inlineStr">
        <is>
          <t>Kyushu and Okinawa</t>
        </is>
      </c>
      <c r="G181" s="5" t="inlineStr">
        <is>
          <t>https://www.ace-med.co.jp/</t>
        </is>
      </c>
      <c r="H181" s="4" t="inlineStr">
        <is>
          <t>Human device sales licences; 動物用 licence not confirmed</t>
        </is>
      </c>
      <c r="I181" s="4" t="inlineStr">
        <is>
          <t>Human multi brand lines (ultrasound brands not confirmed)</t>
        </is>
      </c>
      <c r="J181" s="4" t="inlineStr">
        <is>
          <t>Companion</t>
        </is>
      </c>
      <c r="K181" s="4" t="inlineStr">
        <is>
          <t>Miyazaki</t>
        </is>
      </c>
      <c r="L181" s="4" t="inlineStr">
        <is>
          <t>Not found</t>
        </is>
      </c>
      <c r="M181" s="4" t="inlineStr">
        <is>
          <t>n/a</t>
        </is>
      </c>
      <c r="N181" s="4" t="inlineStr">
        <is>
          <t>Not identified</t>
        </is>
      </c>
      <c r="O181" s="4" t="inlineStr">
        <is>
          <t>Not identified</t>
        </is>
      </c>
      <c r="P181" s="4" t="inlineStr">
        <is>
          <t>Not published; phone only</t>
        </is>
      </c>
      <c r="Q181" s="4" t="inlineStr">
        <is>
          <t>0982 23 8115 (HQ Nobeoka); 0985 72 5500 (Miyazaki)</t>
        </is>
      </c>
      <c r="R181" s="4" t="inlineStr">
        <is>
          <t>Not identified</t>
        </is>
      </c>
      <c r="S181" s="4" t="inlineStr">
        <is>
          <t>Company inquiry only (form)</t>
        </is>
      </c>
      <c r="T181" s="6">
        <f>SUM(Z181:AF181)</f>
        <v>17</v>
      </c>
      <c r="U181" s="10" t="inlineStr">
        <is>
          <t>V4</t>
        </is>
      </c>
      <c r="V181" s="4" t="inlineStr">
        <is>
          <t>QUALIFY FIRST: animal hospital sales not confirmed in sources. Device and care supplies wholesaler.</t>
        </is>
      </c>
      <c r="W181" s="4" t="inlineStr">
        <is>
          <t>Open by asking whether they serve animal hospitals today; if yes, offer a vet line with no overlap to their human ultrasound brands.</t>
        </is>
      </c>
      <c r="X181" s="4" t="inlineStr">
        <is>
          <t>Not checked (human list not in v17)</t>
        </is>
      </c>
      <c r="Y181" s="4" t="inlineStr">
        <is>
          <t>https://baseconnect.in/companies/prefecture/b147f06d-09b9-4c4f-9e51-e7157354eec0/keyword/14f3dcec-9cd5-4be5-84e1-ddccb7bd228c</t>
        </is>
      </c>
      <c r="Z181" s="4" t="n">
        <v>2</v>
      </c>
      <c r="AA181" s="4" t="n">
        <v>3</v>
      </c>
      <c r="AB181" s="4" t="n">
        <v>3</v>
      </c>
      <c r="AC181" s="4" t="n">
        <v>2</v>
      </c>
      <c r="AD181" s="4" t="n">
        <v>1</v>
      </c>
      <c r="AE181" s="4" t="n">
        <v>4</v>
      </c>
      <c r="AF181" s="4" t="n">
        <v>2</v>
      </c>
      <c r="AG181" s="11" t="inlineStr">
        <is>
          <t>Qualify first</t>
        </is>
      </c>
    </row>
    <row r="182" ht="75" customHeight="1">
      <c r="A182" s="4" t="n">
        <v>178</v>
      </c>
      <c r="B182" s="4" t="inlineStr">
        <is>
          <t>Astem Co., Ltd.</t>
        </is>
      </c>
      <c r="C182" s="4" t="inlineStr">
        <is>
          <t>株式会社アステム</t>
        </is>
      </c>
      <c r="D182" s="4" t="inlineStr">
        <is>
          <t>Not found (NTA lookup blocked; dedupe by Japanese name)</t>
        </is>
      </c>
      <c r="E182" s="4" t="inlineStr">
        <is>
          <t>Oita</t>
        </is>
      </c>
      <c r="F182" s="4" t="inlineStr">
        <is>
          <t>Kyushu and Okinawa</t>
        </is>
      </c>
      <c r="G182" s="5" t="inlineStr">
        <is>
          <t>https://www.astemf.jp/</t>
        </is>
      </c>
      <c r="H182" s="4" t="inlineStr">
        <is>
          <t>Human device sales licences; 動物用 licence not confirmed</t>
        </is>
      </c>
      <c r="I182" s="4" t="inlineStr">
        <is>
          <t>Human multi brand lines (ultrasound brands not confirmed)</t>
        </is>
      </c>
      <c r="J182" s="4" t="inlineStr">
        <is>
          <t>Companion</t>
        </is>
      </c>
      <c r="K182" s="4" t="inlineStr">
        <is>
          <t>Kyushu</t>
        </is>
      </c>
      <c r="L182" s="4" t="inlineStr">
        <is>
          <t>Large regional</t>
        </is>
      </c>
      <c r="M182" s="4" t="inlineStr">
        <is>
          <t>n/a</t>
        </is>
      </c>
      <c r="N182" s="4" t="inlineStr">
        <is>
          <t>Not identified</t>
        </is>
      </c>
      <c r="O182" s="4" t="inlineStr">
        <is>
          <t>Not identified</t>
        </is>
      </c>
      <c r="P182" s="4" t="inlineStr">
        <is>
          <t>Not published; phone only</t>
        </is>
      </c>
      <c r="Q182" s="4" t="inlineStr">
        <is>
          <t>097 543 2111</t>
        </is>
      </c>
      <c r="R182" s="4" t="inlineStr">
        <is>
          <t>Not identified</t>
        </is>
      </c>
      <c r="S182" s="4" t="inlineStr">
        <is>
          <t>Company inquiry only (phone)</t>
        </is>
      </c>
      <c r="T182" s="6">
        <f>SUM(Z182:AF182)</f>
        <v>17</v>
      </c>
      <c r="U182" s="10" t="inlineStr">
        <is>
          <t>V4</t>
        </is>
      </c>
      <c r="V182" s="4" t="inlineStr">
        <is>
          <t>QUALIFY FIRST: animal hospital sales not confirmed in sources. Oita pharma and device wholesaler.</t>
        </is>
      </c>
      <c r="W182" s="4" t="inlineStr">
        <is>
          <t>Open by asking whether they serve animal hospitals today; if yes, offer a vet line with no overlap to their human ultrasound brands.</t>
        </is>
      </c>
      <c r="X182" s="4" t="inlineStr">
        <is>
          <t>Not checked (human list not in v17)</t>
        </is>
      </c>
      <c r="Y182" s="4" t="inlineStr">
        <is>
          <t>https://baseconnect.in/companies/keyword/14f3dcec-9cd5-4be5-84e1-ddccb7bd228c ; https://www.astemf.jp/company/officelist.php</t>
        </is>
      </c>
      <c r="Z182" s="4" t="n">
        <v>2</v>
      </c>
      <c r="AA182" s="4" t="n">
        <v>3</v>
      </c>
      <c r="AB182" s="4" t="n">
        <v>3</v>
      </c>
      <c r="AC182" s="4" t="n">
        <v>2</v>
      </c>
      <c r="AD182" s="4" t="n">
        <v>1</v>
      </c>
      <c r="AE182" s="4" t="n">
        <v>4</v>
      </c>
      <c r="AF182" s="4" t="n">
        <v>2</v>
      </c>
      <c r="AG182" s="11" t="inlineStr">
        <is>
          <t>Qualify first</t>
        </is>
      </c>
    </row>
    <row r="183" ht="75" customHeight="1">
      <c r="A183" s="4" t="n">
        <v>179</v>
      </c>
      <c r="B183" s="4" t="inlineStr">
        <is>
          <t>Crane Co., Ltd. (Nobeoka)</t>
        </is>
      </c>
      <c r="C183" s="4" t="inlineStr">
        <is>
          <t>株式会社クレイン</t>
        </is>
      </c>
      <c r="D183" s="4" t="inlineStr">
        <is>
          <t>Not found (NTA lookup blocked; dedupe by Japanese name)</t>
        </is>
      </c>
      <c r="E183" s="4" t="inlineStr">
        <is>
          <t>Miyazaki</t>
        </is>
      </c>
      <c r="F183" s="4" t="inlineStr">
        <is>
          <t>Kyushu and Okinawa</t>
        </is>
      </c>
      <c r="G183" s="4" t="inlineStr">
        <is>
          <t>Not found</t>
        </is>
      </c>
      <c r="H183" s="4" t="inlineStr">
        <is>
          <t>Human device sales licences; 動物用 licence not confirmed</t>
        </is>
      </c>
      <c r="I183" s="4" t="inlineStr">
        <is>
          <t>Human multi brand lines (ultrasound brands not confirmed)</t>
        </is>
      </c>
      <c r="J183" s="4" t="inlineStr">
        <is>
          <t>Companion</t>
        </is>
      </c>
      <c r="K183" s="4" t="inlineStr">
        <is>
          <t>Miyazaki (Nobeoka)</t>
        </is>
      </c>
      <c r="L183" s="4" t="inlineStr">
        <is>
          <t>Not found</t>
        </is>
      </c>
      <c r="M183" s="4" t="inlineStr">
        <is>
          <t>n/a</t>
        </is>
      </c>
      <c r="N183" s="4" t="inlineStr">
        <is>
          <t>Not identified</t>
        </is>
      </c>
      <c r="O183" s="4" t="inlineStr">
        <is>
          <t>Not identified</t>
        </is>
      </c>
      <c r="P183" s="4" t="inlineStr">
        <is>
          <t>Not searched (search budget)</t>
        </is>
      </c>
      <c r="Q183" s="4" t="inlineStr">
        <is>
          <t>Not found (use site)</t>
        </is>
      </c>
      <c r="R183" s="4" t="inlineStr">
        <is>
          <t>Not identified</t>
        </is>
      </c>
      <c r="S183" s="4" t="inlineStr">
        <is>
          <t>Unverified</t>
        </is>
      </c>
      <c r="T183" s="6">
        <f>SUM(Z183:AF183)</f>
        <v>17</v>
      </c>
      <c r="U183" s="10" t="inlineStr">
        <is>
          <t>V4</t>
        </is>
      </c>
      <c r="V183" s="4" t="inlineStr">
        <is>
          <t>QUALIFY FIRST: animal hospital sales not confirmed in sources. Miyazaki device dealer.</t>
        </is>
      </c>
      <c r="W183" s="4" t="inlineStr">
        <is>
          <t>Open by asking whether they serve animal hospitals today; if yes, offer a vet line with no overlap to their human ultrasound brands.</t>
        </is>
      </c>
      <c r="X183" s="4" t="inlineStr">
        <is>
          <t>Not checked (human list not in v17)</t>
        </is>
      </c>
      <c r="Y183" s="4" t="inlineStr">
        <is>
          <t>https://baseconnect.in/companies/prefecture/b147f06d-09b9-4c4f-9e51-e7157354eec0/keyword/14f3dcec-9cd5-4be5-84e1-ddccb7bd228c</t>
        </is>
      </c>
      <c r="Z183" s="4" t="n">
        <v>2</v>
      </c>
      <c r="AA183" s="4" t="n">
        <v>3</v>
      </c>
      <c r="AB183" s="4" t="n">
        <v>3</v>
      </c>
      <c r="AC183" s="4" t="n">
        <v>2</v>
      </c>
      <c r="AD183" s="4" t="n">
        <v>1</v>
      </c>
      <c r="AE183" s="4" t="n">
        <v>4</v>
      </c>
      <c r="AF183" s="4" t="n">
        <v>2</v>
      </c>
      <c r="AG183" s="11" t="inlineStr">
        <is>
          <t>Qualify first</t>
        </is>
      </c>
    </row>
    <row r="184" ht="75" customHeight="1">
      <c r="A184" s="4" t="n">
        <v>180</v>
      </c>
      <c r="B184" s="4" t="inlineStr">
        <is>
          <t>Fukuda Denshi Seibu Kita Sales Co., Ltd.</t>
        </is>
      </c>
      <c r="C184" s="4" t="inlineStr">
        <is>
          <t>フクダ電子西部北販売株式会社</t>
        </is>
      </c>
      <c r="D184" s="4" t="inlineStr">
        <is>
          <t>Not found (NTA lookup blocked; dedupe by Japanese name)</t>
        </is>
      </c>
      <c r="E184" s="4" t="inlineStr">
        <is>
          <t>Fukuoka</t>
        </is>
      </c>
      <c r="F184" s="4" t="inlineStr">
        <is>
          <t>Kyushu and Okinawa</t>
        </is>
      </c>
      <c r="G184" s="4" t="inlineStr">
        <is>
          <t>Not found</t>
        </is>
      </c>
      <c r="H184" s="4" t="inlineStr">
        <is>
          <t>Human device sales licences; 動物用 licence not confirmed</t>
        </is>
      </c>
      <c r="I184" s="4" t="inlineStr">
        <is>
          <t>Human multi brand lines (ultrasound brands not confirmed)</t>
        </is>
      </c>
      <c r="J184" s="4" t="inlineStr">
        <is>
          <t>Companion</t>
        </is>
      </c>
      <c r="K184" s="4" t="inlineStr">
        <is>
          <t>North Kyushu</t>
        </is>
      </c>
      <c r="L184" s="4" t="inlineStr">
        <is>
          <t>Not found</t>
        </is>
      </c>
      <c r="M184" s="4" t="inlineStr">
        <is>
          <t>n/a</t>
        </is>
      </c>
      <c r="N184" s="4" t="inlineStr">
        <is>
          <t>Not identified</t>
        </is>
      </c>
      <c r="O184" s="4" t="inlineStr">
        <is>
          <t>Not identified</t>
        </is>
      </c>
      <c r="P184" s="4" t="inlineStr">
        <is>
          <t>Not searched (search budget)</t>
        </is>
      </c>
      <c r="Q184" s="4" t="inlineStr">
        <is>
          <t>Not found (use site)</t>
        </is>
      </c>
      <c r="R184" s="4" t="inlineStr">
        <is>
          <t>Not identified</t>
        </is>
      </c>
      <c r="S184" s="4" t="inlineStr">
        <is>
          <t>Unverified</t>
        </is>
      </c>
      <c r="T184" s="6">
        <f>SUM(Z184:AF184)</f>
        <v>17</v>
      </c>
      <c r="U184" s="10" t="inlineStr">
        <is>
          <t>V4</t>
        </is>
      </c>
      <c r="V184" s="4" t="inlineStr">
        <is>
          <t>QUALIFY FIRST: animal hospital sales not confirmed in sources. Fukuda Denshi sales company (AED, ECG).</t>
        </is>
      </c>
      <c r="W184" s="4" t="inlineStr">
        <is>
          <t>Open by asking whether they serve animal hospitals today; if yes, offer a vet line with no overlap to their human ultrasound brands.</t>
        </is>
      </c>
      <c r="X184" s="4" t="inlineStr">
        <is>
          <t>Not checked (human list not in v17)</t>
        </is>
      </c>
      <c r="Y184" s="4" t="inlineStr">
        <is>
          <t>https://baseconnect.in/companies/prefecture/39b58ff0-63fd-405f-8b8a-37c5443ce5c7/keyword/89941b4e-2dd1-4848-8957-48af280a31e0</t>
        </is>
      </c>
      <c r="Z184" s="4" t="n">
        <v>2</v>
      </c>
      <c r="AA184" s="4" t="n">
        <v>3</v>
      </c>
      <c r="AB184" s="4" t="n">
        <v>3</v>
      </c>
      <c r="AC184" s="4" t="n">
        <v>2</v>
      </c>
      <c r="AD184" s="4" t="n">
        <v>1</v>
      </c>
      <c r="AE184" s="4" t="n">
        <v>4</v>
      </c>
      <c r="AF184" s="4" t="n">
        <v>2</v>
      </c>
      <c r="AG184" s="11" t="inlineStr">
        <is>
          <t>Qualify first</t>
        </is>
      </c>
    </row>
    <row r="185" ht="75" customHeight="1">
      <c r="A185" s="4" t="n">
        <v>181</v>
      </c>
      <c r="B185" s="4" t="inlineStr">
        <is>
          <t>Hachigo Iryoki Co., Ltd.</t>
        </is>
      </c>
      <c r="C185" s="4" t="inlineStr">
        <is>
          <t>八郷医療器株式会社</t>
        </is>
      </c>
      <c r="D185" s="4" t="inlineStr">
        <is>
          <t>Not found (NTA lookup blocked; dedupe by Japanese name)</t>
        </is>
      </c>
      <c r="E185" s="4" t="inlineStr">
        <is>
          <t>Kagoshima</t>
        </is>
      </c>
      <c r="F185" s="4" t="inlineStr">
        <is>
          <t>Kyushu and Okinawa</t>
        </is>
      </c>
      <c r="G185" s="5" t="inlineStr">
        <is>
          <t>http://hachigou.co.jp/</t>
        </is>
      </c>
      <c r="H185" s="4" t="inlineStr">
        <is>
          <t>Human device sales licences; 動物用 licence not confirmed</t>
        </is>
      </c>
      <c r="I185" s="4" t="inlineStr">
        <is>
          <t>Human multi brand lines (ultrasound brands not confirmed)</t>
        </is>
      </c>
      <c r="J185" s="4" t="inlineStr">
        <is>
          <t>Companion</t>
        </is>
      </c>
      <c r="K185" s="4" t="inlineStr">
        <is>
          <t>Kagoshima</t>
        </is>
      </c>
      <c r="L185" s="4" t="inlineStr">
        <is>
          <t>Not found</t>
        </is>
      </c>
      <c r="M185" s="4" t="inlineStr">
        <is>
          <t>n/a</t>
        </is>
      </c>
      <c r="N185" s="4" t="inlineStr">
        <is>
          <t>Not identified</t>
        </is>
      </c>
      <c r="O185" s="4" t="inlineStr">
        <is>
          <t>Not identified</t>
        </is>
      </c>
      <c r="P185" s="4" t="inlineStr">
        <is>
          <t>Not published; phone only</t>
        </is>
      </c>
      <c r="Q185" s="4" t="inlineStr">
        <is>
          <t>099 268 0010</t>
        </is>
      </c>
      <c r="R185" s="4" t="inlineStr">
        <is>
          <t>Not identified</t>
        </is>
      </c>
      <c r="S185" s="4" t="inlineStr">
        <is>
          <t>Company inquiry only (phone)</t>
        </is>
      </c>
      <c r="T185" s="6">
        <f>SUM(Z185:AF185)</f>
        <v>17</v>
      </c>
      <c r="U185" s="10" t="inlineStr">
        <is>
          <t>V4</t>
        </is>
      </c>
      <c r="V185" s="4" t="inlineStr">
        <is>
          <t>QUALIFY FIRST: animal hospital sales not confirmed in sources. Kagoshima device trading company.</t>
        </is>
      </c>
      <c r="W185" s="4" t="inlineStr">
        <is>
          <t>Open by asking whether they serve animal hospitals today; if yes, offer a vet line with no overlap to their human ultrasound brands.</t>
        </is>
      </c>
      <c r="X185" s="4" t="inlineStr">
        <is>
          <t>Not checked (human list not in v17)</t>
        </is>
      </c>
      <c r="Y185" s="4" t="inlineStr">
        <is>
          <t>https://baseconnect.in/companies/prefecture/344720c8-49c6-4a45-94af-958496d86524/category/b2358a1c-c4c6-46f4-a0b1-dee3a1b30a0b ; http://hachigou.co.jp/company.html</t>
        </is>
      </c>
      <c r="Z185" s="4" t="n">
        <v>2</v>
      </c>
      <c r="AA185" s="4" t="n">
        <v>3</v>
      </c>
      <c r="AB185" s="4" t="n">
        <v>3</v>
      </c>
      <c r="AC185" s="4" t="n">
        <v>2</v>
      </c>
      <c r="AD185" s="4" t="n">
        <v>1</v>
      </c>
      <c r="AE185" s="4" t="n">
        <v>4</v>
      </c>
      <c r="AF185" s="4" t="n">
        <v>2</v>
      </c>
      <c r="AG185" s="11" t="inlineStr">
        <is>
          <t>Qualify first</t>
        </is>
      </c>
    </row>
    <row r="186" ht="75" customHeight="1">
      <c r="A186" s="4" t="n">
        <v>182</v>
      </c>
      <c r="B186" s="4" t="inlineStr">
        <is>
          <t>ITI Co., Ltd.</t>
        </is>
      </c>
      <c r="C186" s="4" t="inlineStr">
        <is>
          <t>アイティーアイ株式会社</t>
        </is>
      </c>
      <c r="D186" s="4" t="inlineStr">
        <is>
          <t>Not found (NTA lookup blocked; dedupe by Japanese name)</t>
        </is>
      </c>
      <c r="E186" s="4" t="inlineStr">
        <is>
          <t>Nagasaki</t>
        </is>
      </c>
      <c r="F186" s="4" t="inlineStr">
        <is>
          <t>Kyushu and Okinawa</t>
        </is>
      </c>
      <c r="G186" s="4" t="inlineStr">
        <is>
          <t>Not found</t>
        </is>
      </c>
      <c r="H186" s="4" t="inlineStr">
        <is>
          <t>Human device sales licences; 動物用 licence not confirmed</t>
        </is>
      </c>
      <c r="I186" s="4" t="inlineStr">
        <is>
          <t>Human multi brand lines (ultrasound brands not confirmed)</t>
        </is>
      </c>
      <c r="J186" s="4" t="inlineStr">
        <is>
          <t>Companion</t>
        </is>
      </c>
      <c r="K186" s="4" t="inlineStr">
        <is>
          <t>Kyushu, Okinawa, Kanto, Yamaguchi</t>
        </is>
      </c>
      <c r="L186" s="4" t="inlineStr">
        <is>
          <t>Not found</t>
        </is>
      </c>
      <c r="M186" s="4" t="inlineStr">
        <is>
          <t>n/a</t>
        </is>
      </c>
      <c r="N186" s="4" t="inlineStr">
        <is>
          <t>Not identified</t>
        </is>
      </c>
      <c r="O186" s="4" t="inlineStr">
        <is>
          <t>Not identified</t>
        </is>
      </c>
      <c r="P186" s="4" t="inlineStr">
        <is>
          <t>Not searched (search budget)</t>
        </is>
      </c>
      <c r="Q186" s="4" t="inlineStr">
        <is>
          <t>Not found (use site)</t>
        </is>
      </c>
      <c r="R186" s="4" t="inlineStr">
        <is>
          <t>Not identified</t>
        </is>
      </c>
      <c r="S186" s="4" t="inlineStr">
        <is>
          <t>Unverified</t>
        </is>
      </c>
      <c r="T186" s="6">
        <f>SUM(Z186:AF186)</f>
        <v>17</v>
      </c>
      <c r="U186" s="10" t="inlineStr">
        <is>
          <t>V4</t>
        </is>
      </c>
      <c r="V186" s="4" t="inlineStr">
        <is>
          <t>QUALIFY FIRST: animal hospital sales not confirmed in sources. Nagasaki based device dealer covering Kyushu and Okinawa.</t>
        </is>
      </c>
      <c r="W186" s="4" t="inlineStr">
        <is>
          <t>Open by asking whether they serve animal hospitals today; if yes, offer a vet line with no overlap to their human ultrasound brands.</t>
        </is>
      </c>
      <c r="X186" s="4" t="inlineStr">
        <is>
          <t>Not checked (human list not in v17)</t>
        </is>
      </c>
      <c r="Y186" s="4" t="inlineStr">
        <is>
          <t>https://note.com/arrows_column/n/nd4fd35a1d8b1</t>
        </is>
      </c>
      <c r="Z186" s="4" t="n">
        <v>2</v>
      </c>
      <c r="AA186" s="4" t="n">
        <v>3</v>
      </c>
      <c r="AB186" s="4" t="n">
        <v>3</v>
      </c>
      <c r="AC186" s="4" t="n">
        <v>2</v>
      </c>
      <c r="AD186" s="4" t="n">
        <v>1</v>
      </c>
      <c r="AE186" s="4" t="n">
        <v>4</v>
      </c>
      <c r="AF186" s="4" t="n">
        <v>2</v>
      </c>
      <c r="AG186" s="11" t="inlineStr">
        <is>
          <t>Qualify first</t>
        </is>
      </c>
    </row>
    <row r="187" ht="75" customHeight="1">
      <c r="A187" s="4" t="n">
        <v>183</v>
      </c>
      <c r="B187" s="4" t="inlineStr">
        <is>
          <t>Kumamoto Iryo Gas Co., Ltd.</t>
        </is>
      </c>
      <c r="C187" s="4" t="inlineStr">
        <is>
          <t>熊本医療ガス株式会社</t>
        </is>
      </c>
      <c r="D187" s="4" t="inlineStr">
        <is>
          <t>Not found (NTA lookup blocked; dedupe by Japanese name)</t>
        </is>
      </c>
      <c r="E187" s="4" t="inlineStr">
        <is>
          <t>Kumamoto</t>
        </is>
      </c>
      <c r="F187" s="4" t="inlineStr">
        <is>
          <t>Kyushu and Okinawa</t>
        </is>
      </c>
      <c r="G187" s="4" t="inlineStr">
        <is>
          <t>Not found</t>
        </is>
      </c>
      <c r="H187" s="4" t="inlineStr">
        <is>
          <t>Human device sales licences; 動物用 licence not confirmed</t>
        </is>
      </c>
      <c r="I187" s="4" t="inlineStr">
        <is>
          <t>Human multi brand lines (ultrasound brands not confirmed)</t>
        </is>
      </c>
      <c r="J187" s="4" t="inlineStr">
        <is>
          <t>Companion</t>
        </is>
      </c>
      <c r="K187" s="4" t="inlineStr">
        <is>
          <t>Kumamoto</t>
        </is>
      </c>
      <c r="L187" s="4" t="inlineStr">
        <is>
          <t>Not found</t>
        </is>
      </c>
      <c r="M187" s="4" t="inlineStr">
        <is>
          <t>n/a</t>
        </is>
      </c>
      <c r="N187" s="4" t="inlineStr">
        <is>
          <t>Not identified</t>
        </is>
      </c>
      <c r="O187" s="4" t="inlineStr">
        <is>
          <t>Not identified</t>
        </is>
      </c>
      <c r="P187" s="4" t="inlineStr">
        <is>
          <t>Not searched (search budget)</t>
        </is>
      </c>
      <c r="Q187" s="4" t="inlineStr">
        <is>
          <t>Not found (use site)</t>
        </is>
      </c>
      <c r="R187" s="4" t="inlineStr">
        <is>
          <t>Not identified</t>
        </is>
      </c>
      <c r="S187" s="4" t="inlineStr">
        <is>
          <t>Unverified</t>
        </is>
      </c>
      <c r="T187" s="6">
        <f>SUM(Z187:AF187)</f>
        <v>17</v>
      </c>
      <c r="U187" s="10" t="inlineStr">
        <is>
          <t>V4</t>
        </is>
      </c>
      <c r="V187" s="4" t="inlineStr">
        <is>
          <t>QUALIFY FIRST: animal hospital sales not confirmed in sources. Medical gas and device sales with installation work.</t>
        </is>
      </c>
      <c r="W187" s="4" t="inlineStr">
        <is>
          <t>Open by asking whether they serve animal hospitals today; if yes, offer a vet line with no overlap to their human ultrasound brands.</t>
        </is>
      </c>
      <c r="X187" s="4" t="inlineStr">
        <is>
          <t>Not checked (human list not in v17)</t>
        </is>
      </c>
      <c r="Y187" s="4" t="inlineStr">
        <is>
          <t>https://baseconnect.in/companies/prefecture/96c84bbe-0dd4-4885-9333-4913e3f022c9/keyword/89941b4e-2dd1-4848-8957-48af280a31e0</t>
        </is>
      </c>
      <c r="Z187" s="4" t="n">
        <v>2</v>
      </c>
      <c r="AA187" s="4" t="n">
        <v>3</v>
      </c>
      <c r="AB187" s="4" t="n">
        <v>3</v>
      </c>
      <c r="AC187" s="4" t="n">
        <v>2</v>
      </c>
      <c r="AD187" s="4" t="n">
        <v>1</v>
      </c>
      <c r="AE187" s="4" t="n">
        <v>4</v>
      </c>
      <c r="AF187" s="4" t="n">
        <v>2</v>
      </c>
      <c r="AG187" s="11" t="inlineStr">
        <is>
          <t>Qualify first</t>
        </is>
      </c>
    </row>
    <row r="188" ht="75" customHeight="1">
      <c r="A188" s="4" t="n">
        <v>184</v>
      </c>
      <c r="B188" s="4" t="inlineStr">
        <is>
          <t>Kyushu Iryo Service Co., Ltd.</t>
        </is>
      </c>
      <c r="C188" s="4" t="inlineStr">
        <is>
          <t>九州医療サービス株式会社</t>
        </is>
      </c>
      <c r="D188" s="4" t="inlineStr">
        <is>
          <t>Not found (NTA lookup blocked; dedupe by Japanese name)</t>
        </is>
      </c>
      <c r="E188" s="4" t="inlineStr">
        <is>
          <t>Fukuoka</t>
        </is>
      </c>
      <c r="F188" s="4" t="inlineStr">
        <is>
          <t>Kyushu and Okinawa</t>
        </is>
      </c>
      <c r="G188" s="4" t="inlineStr">
        <is>
          <t>Not found</t>
        </is>
      </c>
      <c r="H188" s="4" t="inlineStr">
        <is>
          <t>Human device sales licences; 動物用 licence not confirmed</t>
        </is>
      </c>
      <c r="I188" s="4" t="inlineStr">
        <is>
          <t>Human multi brand lines (ultrasound brands not confirmed)</t>
        </is>
      </c>
      <c r="J188" s="4" t="inlineStr">
        <is>
          <t>Companion</t>
        </is>
      </c>
      <c r="K188" s="4" t="inlineStr">
        <is>
          <t>Fukuoka (Nakagawa)</t>
        </is>
      </c>
      <c r="L188" s="4" t="inlineStr">
        <is>
          <t>Not found</t>
        </is>
      </c>
      <c r="M188" s="4" t="inlineStr">
        <is>
          <t>n/a</t>
        </is>
      </c>
      <c r="N188" s="4" t="inlineStr">
        <is>
          <t>Not identified</t>
        </is>
      </c>
      <c r="O188" s="4" t="inlineStr">
        <is>
          <t>Not identified</t>
        </is>
      </c>
      <c r="P188" s="4" t="inlineStr">
        <is>
          <t>Not searched (search budget)</t>
        </is>
      </c>
      <c r="Q188" s="4" t="inlineStr">
        <is>
          <t>Not found (use site)</t>
        </is>
      </c>
      <c r="R188" s="4" t="inlineStr">
        <is>
          <t>Not identified</t>
        </is>
      </c>
      <c r="S188" s="4" t="inlineStr">
        <is>
          <t>Unverified</t>
        </is>
      </c>
      <c r="T188" s="6">
        <f>SUM(Z188:AF188)</f>
        <v>17</v>
      </c>
      <c r="U188" s="10" t="inlineStr">
        <is>
          <t>V4</t>
        </is>
      </c>
      <c r="V188" s="4" t="inlineStr">
        <is>
          <t>QUALIFY FIRST: animal hospital sales not confirmed in sources. Medical and dental instrument wholesaler.</t>
        </is>
      </c>
      <c r="W188" s="4" t="inlineStr">
        <is>
          <t>Open by asking whether they serve animal hospitals today; if yes, offer a vet line with no overlap to their human ultrasound brands.</t>
        </is>
      </c>
      <c r="X188" s="4" t="inlineStr">
        <is>
          <t>Not checked (human list not in v17)</t>
        </is>
      </c>
      <c r="Y188" s="4" t="inlineStr">
        <is>
          <t>https://www.nikkei.com/compass/company/ib4WUdvTL1TxuRMigwCfQh</t>
        </is>
      </c>
      <c r="Z188" s="4" t="n">
        <v>2</v>
      </c>
      <c r="AA188" s="4" t="n">
        <v>3</v>
      </c>
      <c r="AB188" s="4" t="n">
        <v>3</v>
      </c>
      <c r="AC188" s="4" t="n">
        <v>2</v>
      </c>
      <c r="AD188" s="4" t="n">
        <v>1</v>
      </c>
      <c r="AE188" s="4" t="n">
        <v>4</v>
      </c>
      <c r="AF188" s="4" t="n">
        <v>2</v>
      </c>
      <c r="AG188" s="11" t="inlineStr">
        <is>
          <t>Qualify first</t>
        </is>
      </c>
    </row>
    <row r="189" ht="75" customHeight="1">
      <c r="A189" s="4" t="n">
        <v>185</v>
      </c>
      <c r="B189" s="4" t="inlineStr">
        <is>
          <t>Kyushu Toho Co., Ltd.</t>
        </is>
      </c>
      <c r="C189" s="4" t="inlineStr">
        <is>
          <t>株式会社九州東邦</t>
        </is>
      </c>
      <c r="D189" s="4" t="inlineStr">
        <is>
          <t>Not found (NTA lookup blocked; dedupe by Japanese name)</t>
        </is>
      </c>
      <c r="E189" s="4" t="inlineStr">
        <is>
          <t>Fukuoka</t>
        </is>
      </c>
      <c r="F189" s="4" t="inlineStr">
        <is>
          <t>Kyushu and Okinawa</t>
        </is>
      </c>
      <c r="G189" s="4" t="inlineStr">
        <is>
          <t>Not found</t>
        </is>
      </c>
      <c r="H189" s="4" t="inlineStr">
        <is>
          <t>Human device sales licences; 動物用 licence not confirmed</t>
        </is>
      </c>
      <c r="I189" s="4" t="inlineStr">
        <is>
          <t>Human multi brand lines (ultrasound brands not confirmed)</t>
        </is>
      </c>
      <c r="J189" s="4" t="inlineStr">
        <is>
          <t>Companion</t>
        </is>
      </c>
      <c r="K189" s="4" t="inlineStr">
        <is>
          <t>Kyushu</t>
        </is>
      </c>
      <c r="L189" s="4" t="inlineStr">
        <is>
          <t>Not found</t>
        </is>
      </c>
      <c r="M189" s="4" t="inlineStr">
        <is>
          <t>n/a</t>
        </is>
      </c>
      <c r="N189" s="4" t="inlineStr">
        <is>
          <t>Not identified</t>
        </is>
      </c>
      <c r="O189" s="4" t="inlineStr">
        <is>
          <t>Not identified</t>
        </is>
      </c>
      <c r="P189" s="4" t="inlineStr">
        <is>
          <t>Not searched (search budget)</t>
        </is>
      </c>
      <c r="Q189" s="4" t="inlineStr">
        <is>
          <t>Not found (use site)</t>
        </is>
      </c>
      <c r="R189" s="4" t="inlineStr">
        <is>
          <t>Not identified</t>
        </is>
      </c>
      <c r="S189" s="4" t="inlineStr">
        <is>
          <t>Unverified</t>
        </is>
      </c>
      <c r="T189" s="6">
        <f>SUM(Z189:AF189)</f>
        <v>17</v>
      </c>
      <c r="U189" s="10" t="inlineStr">
        <is>
          <t>V4</t>
        </is>
      </c>
      <c r="V189" s="4" t="inlineStr">
        <is>
          <t>QUALIFY FIRST: animal hospital sales not confirmed in sources. Fukuoka device and supplies trader (Toho group).</t>
        </is>
      </c>
      <c r="W189" s="4" t="inlineStr">
        <is>
          <t>Open by asking whether they serve animal hospitals today; if yes, offer a vet line with no overlap to their human ultrasound brands.</t>
        </is>
      </c>
      <c r="X189" s="4" t="inlineStr">
        <is>
          <t>Not checked (human list not in v17)</t>
        </is>
      </c>
      <c r="Y189" s="4" t="inlineStr">
        <is>
          <t>https://www.navitime.co.jp/category/0516/40/?tags=010190&amp;from=tag</t>
        </is>
      </c>
      <c r="Z189" s="4" t="n">
        <v>2</v>
      </c>
      <c r="AA189" s="4" t="n">
        <v>3</v>
      </c>
      <c r="AB189" s="4" t="n">
        <v>3</v>
      </c>
      <c r="AC189" s="4" t="n">
        <v>2</v>
      </c>
      <c r="AD189" s="4" t="n">
        <v>1</v>
      </c>
      <c r="AE189" s="4" t="n">
        <v>4</v>
      </c>
      <c r="AF189" s="4" t="n">
        <v>2</v>
      </c>
      <c r="AG189" s="11" t="inlineStr">
        <is>
          <t>Qualify first</t>
        </is>
      </c>
    </row>
    <row r="190" ht="75" customHeight="1">
      <c r="A190" s="4" t="n">
        <v>186</v>
      </c>
      <c r="B190" s="4" t="inlineStr">
        <is>
          <t>Miyashin Co., Ltd.</t>
        </is>
      </c>
      <c r="C190" s="4" t="inlineStr">
        <is>
          <t>株式会社宮信</t>
        </is>
      </c>
      <c r="D190" s="4" t="inlineStr">
        <is>
          <t>Not found (NTA lookup blocked; dedupe by Japanese name)</t>
        </is>
      </c>
      <c r="E190" s="4" t="inlineStr">
        <is>
          <t>Okinawa</t>
        </is>
      </c>
      <c r="F190" s="4" t="inlineStr">
        <is>
          <t>Kyushu and Okinawa</t>
        </is>
      </c>
      <c r="G190" s="4" t="inlineStr">
        <is>
          <t>Not found</t>
        </is>
      </c>
      <c r="H190" s="4" t="inlineStr">
        <is>
          <t>Human device sales licences; 動物用 licence not confirmed</t>
        </is>
      </c>
      <c r="I190" s="4" t="inlineStr">
        <is>
          <t>Human multi brand lines (ultrasound brands not confirmed)</t>
        </is>
      </c>
      <c r="J190" s="4" t="inlineStr">
        <is>
          <t>Companion</t>
        </is>
      </c>
      <c r="K190" s="4" t="inlineStr">
        <is>
          <t>Okinawa (Ginowan)</t>
        </is>
      </c>
      <c r="L190" s="4" t="inlineStr">
        <is>
          <t>Not found</t>
        </is>
      </c>
      <c r="M190" s="4" t="inlineStr">
        <is>
          <t>n/a</t>
        </is>
      </c>
      <c r="N190" s="4" t="inlineStr">
        <is>
          <t>Not identified</t>
        </is>
      </c>
      <c r="O190" s="4" t="inlineStr">
        <is>
          <t>Not identified</t>
        </is>
      </c>
      <c r="P190" s="4" t="inlineStr">
        <is>
          <t>Not searched (search budget)</t>
        </is>
      </c>
      <c r="Q190" s="4" t="inlineStr">
        <is>
          <t>Not found (use site)</t>
        </is>
      </c>
      <c r="R190" s="4" t="inlineStr">
        <is>
          <t>Not identified</t>
        </is>
      </c>
      <c r="S190" s="4" t="inlineStr">
        <is>
          <t>Unverified</t>
        </is>
      </c>
      <c r="T190" s="6">
        <f>SUM(Z190:AF190)</f>
        <v>17</v>
      </c>
      <c r="U190" s="10" t="inlineStr">
        <is>
          <t>V4</t>
        </is>
      </c>
      <c r="V190" s="4" t="inlineStr">
        <is>
          <t>QUALIFY FIRST: animal hospital sales not confirmed in sources. Okinawa device trading company.</t>
        </is>
      </c>
      <c r="W190" s="4" t="inlineStr">
        <is>
          <t>Open by asking whether they serve animal hospitals today; if yes, offer a vet line with no overlap to their human ultrasound brands.</t>
        </is>
      </c>
      <c r="X190" s="4" t="inlineStr">
        <is>
          <t>Not checked (human list not in v17)</t>
        </is>
      </c>
      <c r="Y190" s="4" t="inlineStr">
        <is>
          <t>https://www.navitime.co.jp/category/00/47/?tags=010190</t>
        </is>
      </c>
      <c r="Z190" s="4" t="n">
        <v>2</v>
      </c>
      <c r="AA190" s="4" t="n">
        <v>3</v>
      </c>
      <c r="AB190" s="4" t="n">
        <v>3</v>
      </c>
      <c r="AC190" s="4" t="n">
        <v>2</v>
      </c>
      <c r="AD190" s="4" t="n">
        <v>1</v>
      </c>
      <c r="AE190" s="4" t="n">
        <v>4</v>
      </c>
      <c r="AF190" s="4" t="n">
        <v>2</v>
      </c>
      <c r="AG190" s="11" t="inlineStr">
        <is>
          <t>Qualify first</t>
        </is>
      </c>
    </row>
    <row r="191" ht="75" customHeight="1">
      <c r="A191" s="4" t="n">
        <v>187</v>
      </c>
      <c r="B191" s="4" t="inlineStr">
        <is>
          <t>Okinawa Medico Co., Ltd.</t>
        </is>
      </c>
      <c r="C191" s="4" t="inlineStr">
        <is>
          <t>株式会社沖縄メディコ</t>
        </is>
      </c>
      <c r="D191" s="4" t="inlineStr">
        <is>
          <t>Not found (NTA lookup blocked; dedupe by Japanese name)</t>
        </is>
      </c>
      <c r="E191" s="4" t="inlineStr">
        <is>
          <t>Okinawa</t>
        </is>
      </c>
      <c r="F191" s="4" t="inlineStr">
        <is>
          <t>Kyushu and Okinawa</t>
        </is>
      </c>
      <c r="G191" s="5" t="inlineStr">
        <is>
          <t>https://okinawa-medico.com/</t>
        </is>
      </c>
      <c r="H191" s="4" t="inlineStr">
        <is>
          <t>Human device sales licences; 動物用 licence not confirmed</t>
        </is>
      </c>
      <c r="I191" s="4" t="inlineStr">
        <is>
          <t>Human multi brand lines (ultrasound brands not confirmed)</t>
        </is>
      </c>
      <c r="J191" s="4" t="inlineStr">
        <is>
          <t>Companion</t>
        </is>
      </c>
      <c r="K191" s="4" t="inlineStr">
        <is>
          <t>Okinawa</t>
        </is>
      </c>
      <c r="L191" s="4" t="inlineStr">
        <is>
          <t>Not found</t>
        </is>
      </c>
      <c r="M191" s="4" t="inlineStr">
        <is>
          <t>n/a</t>
        </is>
      </c>
      <c r="N191" s="4" t="inlineStr">
        <is>
          <t>Not identified</t>
        </is>
      </c>
      <c r="O191" s="4" t="inlineStr">
        <is>
          <t>Not identified</t>
        </is>
      </c>
      <c r="P191" s="4" t="inlineStr">
        <is>
          <t>Not published; phone only</t>
        </is>
      </c>
      <c r="Q191" s="4" t="inlineStr">
        <is>
          <t>098 876 5280</t>
        </is>
      </c>
      <c r="R191" s="4" t="inlineStr">
        <is>
          <t>Not identified</t>
        </is>
      </c>
      <c r="S191" s="4" t="inlineStr">
        <is>
          <t>Company inquiry only (phone)</t>
        </is>
      </c>
      <c r="T191" s="6">
        <f>SUM(Z191:AF191)</f>
        <v>17</v>
      </c>
      <c r="U191" s="10" t="inlineStr">
        <is>
          <t>V4</t>
        </is>
      </c>
      <c r="V191" s="4" t="inlineStr">
        <is>
          <t>QUALIFY FIRST: animal hospital sales not confirmed in sources. Okinawa general device trading house (Urasoe).</t>
        </is>
      </c>
      <c r="W191" s="4" t="inlineStr">
        <is>
          <t>Open by asking whether they serve animal hospitals today; if yes, offer a vet line with no overlap to their human ultrasound brands.</t>
        </is>
      </c>
      <c r="X191" s="4" t="inlineStr">
        <is>
          <t>Not checked (human list not in v17)</t>
        </is>
      </c>
      <c r="Y191" s="4" t="inlineStr">
        <is>
          <t>https://okinawa-medico.com/company/</t>
        </is>
      </c>
      <c r="Z191" s="4" t="n">
        <v>2</v>
      </c>
      <c r="AA191" s="4" t="n">
        <v>3</v>
      </c>
      <c r="AB191" s="4" t="n">
        <v>3</v>
      </c>
      <c r="AC191" s="4" t="n">
        <v>2</v>
      </c>
      <c r="AD191" s="4" t="n">
        <v>1</v>
      </c>
      <c r="AE191" s="4" t="n">
        <v>4</v>
      </c>
      <c r="AF191" s="4" t="n">
        <v>2</v>
      </c>
      <c r="AG191" s="11" t="inlineStr">
        <is>
          <t>Qualify first</t>
        </is>
      </c>
    </row>
    <row r="192" ht="75" customHeight="1">
      <c r="A192" s="4" t="n">
        <v>188</v>
      </c>
      <c r="B192" s="4" t="inlineStr">
        <is>
          <t>Ryuyaku Co., Ltd.</t>
        </is>
      </c>
      <c r="C192" s="4" t="inlineStr">
        <is>
          <t>株式会社琉薬</t>
        </is>
      </c>
      <c r="D192" s="4" t="inlineStr">
        <is>
          <t>Not found (NTA lookup blocked; dedupe by Japanese name)</t>
        </is>
      </c>
      <c r="E192" s="4" t="inlineStr">
        <is>
          <t>Okinawa</t>
        </is>
      </c>
      <c r="F192" s="4" t="inlineStr">
        <is>
          <t>Kyushu and Okinawa</t>
        </is>
      </c>
      <c r="G192" s="4" t="inlineStr">
        <is>
          <t>Not found</t>
        </is>
      </c>
      <c r="H192" s="4" t="inlineStr">
        <is>
          <t>Human device sales licences; 動物用 licence not confirmed</t>
        </is>
      </c>
      <c r="I192" s="4" t="inlineStr">
        <is>
          <t>Human multi brand lines (ultrasound brands not confirmed)</t>
        </is>
      </c>
      <c r="J192" s="4" t="inlineStr">
        <is>
          <t>Companion</t>
        </is>
      </c>
      <c r="K192" s="4" t="inlineStr">
        <is>
          <t>Okinawa (Urasoe)</t>
        </is>
      </c>
      <c r="L192" s="4" t="inlineStr">
        <is>
          <t>Not found</t>
        </is>
      </c>
      <c r="M192" s="4" t="inlineStr">
        <is>
          <t>n/a</t>
        </is>
      </c>
      <c r="N192" s="4" t="inlineStr">
        <is>
          <t>Not identified</t>
        </is>
      </c>
      <c r="O192" s="4" t="inlineStr">
        <is>
          <t>Not identified</t>
        </is>
      </c>
      <c r="P192" s="4" t="inlineStr">
        <is>
          <t>Not searched (search budget)</t>
        </is>
      </c>
      <c r="Q192" s="4" t="inlineStr">
        <is>
          <t>Not found (use site)</t>
        </is>
      </c>
      <c r="R192" s="4" t="inlineStr">
        <is>
          <t>Not identified</t>
        </is>
      </c>
      <c r="S192" s="4" t="inlineStr">
        <is>
          <t>Unverified</t>
        </is>
      </c>
      <c r="T192" s="6">
        <f>SUM(Z192:AF192)</f>
        <v>17</v>
      </c>
      <c r="U192" s="10" t="inlineStr">
        <is>
          <t>V4</t>
        </is>
      </c>
      <c r="V192" s="4" t="inlineStr">
        <is>
          <t>QUALIFY FIRST: animal hospital sales not confirmed in sources. Okinawa pharma and device wholesaler.</t>
        </is>
      </c>
      <c r="W192" s="4" t="inlineStr">
        <is>
          <t>Open by asking whether they serve animal hospitals today; if yes, offer a vet line with no overlap to their human ultrasound brands.</t>
        </is>
      </c>
      <c r="X192" s="4" t="inlineStr">
        <is>
          <t>Not checked (human list not in v17)</t>
        </is>
      </c>
      <c r="Y192" s="4" t="inlineStr">
        <is>
          <t>https://www.navitime.co.jp/category/00/47/?tags=010190</t>
        </is>
      </c>
      <c r="Z192" s="4" t="n">
        <v>2</v>
      </c>
      <c r="AA192" s="4" t="n">
        <v>3</v>
      </c>
      <c r="AB192" s="4" t="n">
        <v>3</v>
      </c>
      <c r="AC192" s="4" t="n">
        <v>2</v>
      </c>
      <c r="AD192" s="4" t="n">
        <v>1</v>
      </c>
      <c r="AE192" s="4" t="n">
        <v>4</v>
      </c>
      <c r="AF192" s="4" t="n">
        <v>2</v>
      </c>
      <c r="AG192" s="11" t="inlineStr">
        <is>
          <t>Qualify first</t>
        </is>
      </c>
    </row>
    <row r="193" ht="75" customHeight="1">
      <c r="A193" s="4" t="n">
        <v>189</v>
      </c>
      <c r="B193" s="4" t="inlineStr">
        <is>
          <t>Satsuma Yakuhin Co., Ltd.</t>
        </is>
      </c>
      <c r="C193" s="4" t="inlineStr">
        <is>
          <t>サツマ薬品株式会社</t>
        </is>
      </c>
      <c r="D193" s="4" t="inlineStr">
        <is>
          <t>Not found (NTA lookup blocked; dedupe by Japanese name)</t>
        </is>
      </c>
      <c r="E193" s="4" t="inlineStr">
        <is>
          <t>Kagoshima</t>
        </is>
      </c>
      <c r="F193" s="4" t="inlineStr">
        <is>
          <t>Kyushu and Okinawa</t>
        </is>
      </c>
      <c r="G193" s="4" t="inlineStr">
        <is>
          <t>Not found</t>
        </is>
      </c>
      <c r="H193" s="4" t="inlineStr">
        <is>
          <t>Human device sales licences; 動物用 licence not confirmed</t>
        </is>
      </c>
      <c r="I193" s="4" t="inlineStr">
        <is>
          <t>Human multi brand lines (ultrasound brands not confirmed)</t>
        </is>
      </c>
      <c r="J193" s="4" t="inlineStr">
        <is>
          <t>Companion</t>
        </is>
      </c>
      <c r="K193" s="4" t="inlineStr">
        <is>
          <t>Kagoshima</t>
        </is>
      </c>
      <c r="L193" s="4" t="inlineStr">
        <is>
          <t>Not found</t>
        </is>
      </c>
      <c r="M193" s="4" t="inlineStr">
        <is>
          <t>n/a</t>
        </is>
      </c>
      <c r="N193" s="4" t="inlineStr">
        <is>
          <t>Not identified</t>
        </is>
      </c>
      <c r="O193" s="4" t="inlineStr">
        <is>
          <t>Not identified</t>
        </is>
      </c>
      <c r="P193" s="4" t="inlineStr">
        <is>
          <t>Not searched (search budget)</t>
        </is>
      </c>
      <c r="Q193" s="4" t="inlineStr">
        <is>
          <t>Not found (use site)</t>
        </is>
      </c>
      <c r="R193" s="4" t="inlineStr">
        <is>
          <t>Not identified</t>
        </is>
      </c>
      <c r="S193" s="4" t="inlineStr">
        <is>
          <t>Unverified</t>
        </is>
      </c>
      <c r="T193" s="6">
        <f>SUM(Z193:AF193)</f>
        <v>17</v>
      </c>
      <c r="U193" s="10" t="inlineStr">
        <is>
          <t>V4</t>
        </is>
      </c>
      <c r="V193" s="4" t="inlineStr">
        <is>
          <t>QUALIFY FIRST: animal hospital sales not confirmed in sources. Kagoshima device trading company.</t>
        </is>
      </c>
      <c r="W193" s="4" t="inlineStr">
        <is>
          <t>Open by asking whether they serve animal hospitals today; if yes, offer a vet line with no overlap to their human ultrasound brands.</t>
        </is>
      </c>
      <c r="X193" s="4" t="inlineStr">
        <is>
          <t>Not checked (human list not in v17)</t>
        </is>
      </c>
      <c r="Y193" s="4" t="inlineStr">
        <is>
          <t>https://baseconnect.in/companies/prefecture/344720c8-49c6-4a45-94af-958496d86524/category/b2358a1c-c4c6-46f4-a0b1-dee3a1b30a0b</t>
        </is>
      </c>
      <c r="Z193" s="4" t="n">
        <v>2</v>
      </c>
      <c r="AA193" s="4" t="n">
        <v>3</v>
      </c>
      <c r="AB193" s="4" t="n">
        <v>3</v>
      </c>
      <c r="AC193" s="4" t="n">
        <v>2</v>
      </c>
      <c r="AD193" s="4" t="n">
        <v>1</v>
      </c>
      <c r="AE193" s="4" t="n">
        <v>4</v>
      </c>
      <c r="AF193" s="4" t="n">
        <v>2</v>
      </c>
      <c r="AG193" s="11" t="inlineStr">
        <is>
          <t>Qualify first</t>
        </is>
      </c>
    </row>
    <row r="194" ht="75" customHeight="1">
      <c r="A194" s="4" t="n">
        <v>190</v>
      </c>
      <c r="B194" s="4" t="inlineStr">
        <is>
          <t>Shinseido Co., Ltd.</t>
        </is>
      </c>
      <c r="C194" s="4" t="inlineStr">
        <is>
          <t>株式会社新生堂</t>
        </is>
      </c>
      <c r="D194" s="4" t="inlineStr">
        <is>
          <t>Not found (NTA lookup blocked; dedupe by Japanese name)</t>
        </is>
      </c>
      <c r="E194" s="4" t="inlineStr">
        <is>
          <t>Kumamoto</t>
        </is>
      </c>
      <c r="F194" s="4" t="inlineStr">
        <is>
          <t>Kyushu and Okinawa</t>
        </is>
      </c>
      <c r="G194" s="4" t="inlineStr">
        <is>
          <t>Not found</t>
        </is>
      </c>
      <c r="H194" s="4" t="inlineStr">
        <is>
          <t>Human device sales licences; 動物用 licence not confirmed</t>
        </is>
      </c>
      <c r="I194" s="4" t="inlineStr">
        <is>
          <t>Human multi brand lines (ultrasound brands not confirmed)</t>
        </is>
      </c>
      <c r="J194" s="4" t="inlineStr">
        <is>
          <t>Companion</t>
        </is>
      </c>
      <c r="K194" s="4" t="inlineStr">
        <is>
          <t>Kumamoto</t>
        </is>
      </c>
      <c r="L194" s="4" t="inlineStr">
        <is>
          <t>Not found</t>
        </is>
      </c>
      <c r="M194" s="4" t="inlineStr">
        <is>
          <t>n/a</t>
        </is>
      </c>
      <c r="N194" s="4" t="inlineStr">
        <is>
          <t>Not identified</t>
        </is>
      </c>
      <c r="O194" s="4" t="inlineStr">
        <is>
          <t>Not identified</t>
        </is>
      </c>
      <c r="P194" s="4" t="inlineStr">
        <is>
          <t>Not searched (search budget)</t>
        </is>
      </c>
      <c r="Q194" s="4" t="inlineStr">
        <is>
          <t>Not found (use site)</t>
        </is>
      </c>
      <c r="R194" s="4" t="inlineStr">
        <is>
          <t>Not identified</t>
        </is>
      </c>
      <c r="S194" s="4" t="inlineStr">
        <is>
          <t>Unverified</t>
        </is>
      </c>
      <c r="T194" s="6">
        <f>SUM(Z194:AF194)</f>
        <v>17</v>
      </c>
      <c r="U194" s="10" t="inlineStr">
        <is>
          <t>V4</t>
        </is>
      </c>
      <c r="V194" s="4" t="inlineStr">
        <is>
          <t>QUALIFY FIRST: animal hospital sales not confirmed in sources. Kumamoto pharma wholesaler to hospitals and pharmacies.</t>
        </is>
      </c>
      <c r="W194" s="4" t="inlineStr">
        <is>
          <t>Open by asking whether they serve animal hospitals today; if yes, offer a vet line with no overlap to their human ultrasound brands.</t>
        </is>
      </c>
      <c r="X194" s="4" t="inlineStr">
        <is>
          <t>Not checked (human list not in v17)</t>
        </is>
      </c>
      <c r="Y194" s="4" t="inlineStr">
        <is>
          <t>https://baseconnect.in/companies/prefecture/96c84bbe-0dd4-4885-9333-4913e3f022c9/keyword/89941b4e-2dd1-4848-8957-48af280a31e0</t>
        </is>
      </c>
      <c r="Z194" s="4" t="n">
        <v>2</v>
      </c>
      <c r="AA194" s="4" t="n">
        <v>3</v>
      </c>
      <c r="AB194" s="4" t="n">
        <v>3</v>
      </c>
      <c r="AC194" s="4" t="n">
        <v>2</v>
      </c>
      <c r="AD194" s="4" t="n">
        <v>1</v>
      </c>
      <c r="AE194" s="4" t="n">
        <v>4</v>
      </c>
      <c r="AF194" s="4" t="n">
        <v>2</v>
      </c>
      <c r="AG194" s="11" t="inlineStr">
        <is>
          <t>Qualify first</t>
        </is>
      </c>
    </row>
    <row r="195" ht="75" customHeight="1">
      <c r="A195" s="4" t="n">
        <v>191</v>
      </c>
      <c r="B195" s="4" t="inlineStr">
        <is>
          <t>Shoyaku Co., Ltd.</t>
        </is>
      </c>
      <c r="C195" s="4" t="inlineStr">
        <is>
          <t>株式会社翔薬</t>
        </is>
      </c>
      <c r="D195" s="4" t="inlineStr">
        <is>
          <t>Not found (NTA lookup blocked; dedupe by Japanese name)</t>
        </is>
      </c>
      <c r="E195" s="4" t="inlineStr">
        <is>
          <t>Fukuoka</t>
        </is>
      </c>
      <c r="F195" s="4" t="inlineStr">
        <is>
          <t>Kyushu and Okinawa</t>
        </is>
      </c>
      <c r="G195" s="4" t="inlineStr">
        <is>
          <t>Not found</t>
        </is>
      </c>
      <c r="H195" s="4" t="inlineStr">
        <is>
          <t>Human device sales licences; 動物用 licence not confirmed</t>
        </is>
      </c>
      <c r="I195" s="4" t="inlineStr">
        <is>
          <t>Human multi brand lines (ultrasound brands not confirmed)</t>
        </is>
      </c>
      <c r="J195" s="4" t="inlineStr">
        <is>
          <t>Companion</t>
        </is>
      </c>
      <c r="K195" s="4" t="inlineStr">
        <is>
          <t>Fukuoka</t>
        </is>
      </c>
      <c r="L195" s="4" t="inlineStr">
        <is>
          <t>Not found</t>
        </is>
      </c>
      <c r="M195" s="4" t="inlineStr">
        <is>
          <t>n/a</t>
        </is>
      </c>
      <c r="N195" s="4" t="inlineStr">
        <is>
          <t>Not identified</t>
        </is>
      </c>
      <c r="O195" s="4" t="inlineStr">
        <is>
          <t>Not identified</t>
        </is>
      </c>
      <c r="P195" s="4" t="inlineStr">
        <is>
          <t>Not searched (search budget)</t>
        </is>
      </c>
      <c r="Q195" s="4" t="inlineStr">
        <is>
          <t>Not found (use site)</t>
        </is>
      </c>
      <c r="R195" s="4" t="inlineStr">
        <is>
          <t>Not identified</t>
        </is>
      </c>
      <c r="S195" s="4" t="inlineStr">
        <is>
          <t>Unverified</t>
        </is>
      </c>
      <c r="T195" s="6">
        <f>SUM(Z195:AF195)</f>
        <v>17</v>
      </c>
      <c r="U195" s="10" t="inlineStr">
        <is>
          <t>V4</t>
        </is>
      </c>
      <c r="V195" s="4" t="inlineStr">
        <is>
          <t>QUALIFY FIRST: animal hospital sales not confirmed in sources. Pharma and device wholesaler.</t>
        </is>
      </c>
      <c r="W195" s="4" t="inlineStr">
        <is>
          <t>Open by asking whether they serve animal hospitals today; if yes, offer a vet line with no overlap to their human ultrasound brands.</t>
        </is>
      </c>
      <c r="X195" s="4" t="inlineStr">
        <is>
          <t>Not checked (human list not in v17)</t>
        </is>
      </c>
      <c r="Y195" s="4" t="inlineStr">
        <is>
          <t>https://baseconnect.in/companies/prefecture/39b58ff0-63fd-405f-8b8a-37c5443ce5c7/keyword/89941b4e-2dd1-4848-8957-48af280a31e0</t>
        </is>
      </c>
      <c r="Z195" s="4" t="n">
        <v>2</v>
      </c>
      <c r="AA195" s="4" t="n">
        <v>3</v>
      </c>
      <c r="AB195" s="4" t="n">
        <v>3</v>
      </c>
      <c r="AC195" s="4" t="n">
        <v>2</v>
      </c>
      <c r="AD195" s="4" t="n">
        <v>1</v>
      </c>
      <c r="AE195" s="4" t="n">
        <v>4</v>
      </c>
      <c r="AF195" s="4" t="n">
        <v>2</v>
      </c>
      <c r="AG195" s="11" t="inlineStr">
        <is>
          <t>Qualify first</t>
        </is>
      </c>
    </row>
    <row r="196" ht="75" customHeight="1">
      <c r="A196" s="4" t="n">
        <v>192</v>
      </c>
      <c r="B196" s="4" t="inlineStr">
        <is>
          <t>Yokoo Mutoh Co., Ltd.</t>
        </is>
      </c>
      <c r="C196" s="4" t="inlineStr">
        <is>
          <t>株式会社横尾ムトウ</t>
        </is>
      </c>
      <c r="D196" s="4" t="inlineStr">
        <is>
          <t>Not found (NTA lookup blocked; dedupe by Japanese name)</t>
        </is>
      </c>
      <c r="E196" s="4" t="inlineStr">
        <is>
          <t>Kagoshima</t>
        </is>
      </c>
      <c r="F196" s="4" t="inlineStr">
        <is>
          <t>Kyushu and Okinawa</t>
        </is>
      </c>
      <c r="G196" s="4" t="inlineStr">
        <is>
          <t>Not found</t>
        </is>
      </c>
      <c r="H196" s="4" t="inlineStr">
        <is>
          <t>Human device sales licences; 動物用 licence not confirmed</t>
        </is>
      </c>
      <c r="I196" s="4" t="inlineStr">
        <is>
          <t>Human multi brand lines (ultrasound brands not confirmed)</t>
        </is>
      </c>
      <c r="J196" s="4" t="inlineStr">
        <is>
          <t>Companion</t>
        </is>
      </c>
      <c r="K196" s="4" t="inlineStr">
        <is>
          <t>Kagoshima</t>
        </is>
      </c>
      <c r="L196" s="4" t="inlineStr">
        <is>
          <t>Not found</t>
        </is>
      </c>
      <c r="M196" s="4" t="inlineStr">
        <is>
          <t>n/a</t>
        </is>
      </c>
      <c r="N196" s="4" t="inlineStr">
        <is>
          <t>Not identified</t>
        </is>
      </c>
      <c r="O196" s="4" t="inlineStr">
        <is>
          <t>Not identified</t>
        </is>
      </c>
      <c r="P196" s="4" t="inlineStr">
        <is>
          <t>Not searched (search budget)</t>
        </is>
      </c>
      <c r="Q196" s="4" t="inlineStr">
        <is>
          <t>Not found (use site)</t>
        </is>
      </c>
      <c r="R196" s="4" t="inlineStr">
        <is>
          <t>Not identified</t>
        </is>
      </c>
      <c r="S196" s="4" t="inlineStr">
        <is>
          <t>Unverified</t>
        </is>
      </c>
      <c r="T196" s="6">
        <f>SUM(Z196:AF196)</f>
        <v>17</v>
      </c>
      <c r="U196" s="10" t="inlineStr">
        <is>
          <t>V4</t>
        </is>
      </c>
      <c r="V196" s="4" t="inlineStr">
        <is>
          <t>QUALIFY FIRST: animal hospital sales not confirmed in sources. Kagoshima medical and welfare equipment wholesaler. FLAG: Name suggests a Mutoh affiliate; coordinate with Mutoh.</t>
        </is>
      </c>
      <c r="W196" s="4" t="inlineStr">
        <is>
          <t>Open by asking whether they serve animal hospitals today; if yes, offer a vet line with no overlap to their human ultrasound brands.</t>
        </is>
      </c>
      <c r="X196" s="4" t="inlineStr">
        <is>
          <t>Not checked (human list not in v17)</t>
        </is>
      </c>
      <c r="Y196" s="4" t="inlineStr">
        <is>
          <t>https://baseconnect.in/companies/prefecture/344720c8-49c6-4a45-94af-958496d86524/category/b2358a1c-c4c6-46f4-a0b1-dee3a1b30a0b</t>
        </is>
      </c>
      <c r="Z196" s="4" t="n">
        <v>2</v>
      </c>
      <c r="AA196" s="4" t="n">
        <v>3</v>
      </c>
      <c r="AB196" s="4" t="n">
        <v>3</v>
      </c>
      <c r="AC196" s="4" t="n">
        <v>2</v>
      </c>
      <c r="AD196" s="4" t="n">
        <v>1</v>
      </c>
      <c r="AE196" s="4" t="n">
        <v>4</v>
      </c>
      <c r="AF196" s="4" t="n">
        <v>2</v>
      </c>
      <c r="AG196" s="11" t="inlineStr">
        <is>
          <t>Qualify first</t>
        </is>
      </c>
    </row>
    <row r="197" ht="75" customHeight="1">
      <c r="A197" s="4" t="n">
        <v>193</v>
      </c>
      <c r="B197" s="4" t="inlineStr">
        <is>
          <t>Aqua Med Japan Co., Ltd.</t>
        </is>
      </c>
      <c r="C197" s="4" t="inlineStr">
        <is>
          <t>アクアメッドジャパン株式会社</t>
        </is>
      </c>
      <c r="D197" s="4" t="inlineStr">
        <is>
          <t>Not found (NTA lookup blocked; dedupe by Japanese name)</t>
        </is>
      </c>
      <c r="E197" s="4" t="inlineStr">
        <is>
          <t>Miyagi</t>
        </is>
      </c>
      <c r="F197" s="4" t="inlineStr">
        <is>
          <t>Tohoku and Hokkaido</t>
        </is>
      </c>
      <c r="G197" s="4" t="inlineStr">
        <is>
          <t>Not found</t>
        </is>
      </c>
      <c r="H197" s="4" t="inlineStr">
        <is>
          <t>Human device sales licences; 動物用 licence not confirmed</t>
        </is>
      </c>
      <c r="I197" s="4" t="inlineStr">
        <is>
          <t>Human multi brand lines (ultrasound brands not confirmed)</t>
        </is>
      </c>
      <c r="J197" s="4" t="inlineStr">
        <is>
          <t>Companion</t>
        </is>
      </c>
      <c r="K197" s="4" t="inlineStr">
        <is>
          <t>Tohoku</t>
        </is>
      </c>
      <c r="L197" s="4" t="inlineStr">
        <is>
          <t>Not found</t>
        </is>
      </c>
      <c r="M197" s="4" t="inlineStr">
        <is>
          <t>n/a</t>
        </is>
      </c>
      <c r="N197" s="4" t="inlineStr">
        <is>
          <t>Not identified</t>
        </is>
      </c>
      <c r="O197" s="4" t="inlineStr">
        <is>
          <t>Not identified</t>
        </is>
      </c>
      <c r="P197" s="4" t="inlineStr">
        <is>
          <t>Not searched (search budget)</t>
        </is>
      </c>
      <c r="Q197" s="4" t="inlineStr">
        <is>
          <t>Not found (use site)</t>
        </is>
      </c>
      <c r="R197" s="4" t="inlineStr">
        <is>
          <t>Not identified</t>
        </is>
      </c>
      <c r="S197" s="4" t="inlineStr">
        <is>
          <t>Unverified</t>
        </is>
      </c>
      <c r="T197" s="6">
        <f>SUM(Z197:AF197)</f>
        <v>17</v>
      </c>
      <c r="U197" s="10" t="inlineStr">
        <is>
          <t>V4</t>
        </is>
      </c>
      <c r="V197" s="4" t="inlineStr">
        <is>
          <t>QUALIFY FIRST: animal hospital sales not confirmed in sources. Sendai joint replacement device specialist (2005).</t>
        </is>
      </c>
      <c r="W197" s="4" t="inlineStr">
        <is>
          <t>Open by asking whether they serve animal hospitals today; if yes, offer a vet line with no overlap to their human ultrasound brands.</t>
        </is>
      </c>
      <c r="X197" s="4" t="inlineStr">
        <is>
          <t>Not checked (human list not in v17)</t>
        </is>
      </c>
      <c r="Y197" s="4" t="inlineStr">
        <is>
          <t>https://tenshoku.mynavi.jp/tohoku/list/i02090/</t>
        </is>
      </c>
      <c r="Z197" s="4" t="n">
        <v>2</v>
      </c>
      <c r="AA197" s="4" t="n">
        <v>3</v>
      </c>
      <c r="AB197" s="4" t="n">
        <v>3</v>
      </c>
      <c r="AC197" s="4" t="n">
        <v>2</v>
      </c>
      <c r="AD197" s="4" t="n">
        <v>1</v>
      </c>
      <c r="AE197" s="4" t="n">
        <v>4</v>
      </c>
      <c r="AF197" s="4" t="n">
        <v>2</v>
      </c>
      <c r="AG197" s="11" t="inlineStr">
        <is>
          <t>Qualify first</t>
        </is>
      </c>
    </row>
    <row r="198" ht="75" customHeight="1">
      <c r="A198" s="4" t="n">
        <v>194</v>
      </c>
      <c r="B198" s="4" t="inlineStr">
        <is>
          <t>Asaka Ika Kikai</t>
        </is>
      </c>
      <c r="C198" s="4" t="inlineStr">
        <is>
          <t>安積医科器械</t>
        </is>
      </c>
      <c r="D198" s="4" t="inlineStr">
        <is>
          <t>Not found (NTA lookup blocked; dedupe by Japanese name)</t>
        </is>
      </c>
      <c r="E198" s="4" t="inlineStr">
        <is>
          <t>Fukushima</t>
        </is>
      </c>
      <c r="F198" s="4" t="inlineStr">
        <is>
          <t>Tohoku and Hokkaido</t>
        </is>
      </c>
      <c r="G198" s="4" t="inlineStr">
        <is>
          <t>Not found</t>
        </is>
      </c>
      <c r="H198" s="4" t="inlineStr">
        <is>
          <t>Human device sales licences; 動物用 licence not confirmed</t>
        </is>
      </c>
      <c r="I198" s="4" t="inlineStr">
        <is>
          <t>Human multi brand lines (ultrasound brands not confirmed)</t>
        </is>
      </c>
      <c r="J198" s="4" t="inlineStr">
        <is>
          <t>Companion</t>
        </is>
      </c>
      <c r="K198" s="4" t="inlineStr">
        <is>
          <t>Koriyama, Fukushima</t>
        </is>
      </c>
      <c r="L198" s="4" t="inlineStr">
        <is>
          <t>Not found</t>
        </is>
      </c>
      <c r="M198" s="4" t="inlineStr">
        <is>
          <t>n/a</t>
        </is>
      </c>
      <c r="N198" s="4" t="inlineStr">
        <is>
          <t>Not identified</t>
        </is>
      </c>
      <c r="O198" s="4" t="inlineStr">
        <is>
          <t>Not identified</t>
        </is>
      </c>
      <c r="P198" s="4" t="inlineStr">
        <is>
          <t>Not searched (search budget)</t>
        </is>
      </c>
      <c r="Q198" s="4" t="inlineStr">
        <is>
          <t>Not found (use site)</t>
        </is>
      </c>
      <c r="R198" s="4" t="inlineStr">
        <is>
          <t>Not identified</t>
        </is>
      </c>
      <c r="S198" s="4" t="inlineStr">
        <is>
          <t>Unverified</t>
        </is>
      </c>
      <c r="T198" s="6">
        <f>SUM(Z198:AF198)</f>
        <v>17</v>
      </c>
      <c r="U198" s="10" t="inlineStr">
        <is>
          <t>V4</t>
        </is>
      </c>
      <c r="V198" s="4" t="inlineStr">
        <is>
          <t>QUALIFY FIRST: animal hospital sales not confirmed in sources. Koriyama device dealer (AS ONE agent list). FLAG: Legal form not confirmed.</t>
        </is>
      </c>
      <c r="W198" s="4" t="inlineStr">
        <is>
          <t>Open by asking whether they serve animal hospitals today; if yes, offer a vet line with no overlap to their human ultrasound brands.</t>
        </is>
      </c>
      <c r="X198" s="4" t="inlineStr">
        <is>
          <t>Not checked (human list not in v17)</t>
        </is>
      </c>
      <c r="Y198" s="4" t="inlineStr">
        <is>
          <t>https://www.as-1.co.jp/agent/hospital/tohoku/</t>
        </is>
      </c>
      <c r="Z198" s="4" t="n">
        <v>2</v>
      </c>
      <c r="AA198" s="4" t="n">
        <v>3</v>
      </c>
      <c r="AB198" s="4" t="n">
        <v>3</v>
      </c>
      <c r="AC198" s="4" t="n">
        <v>2</v>
      </c>
      <c r="AD198" s="4" t="n">
        <v>1</v>
      </c>
      <c r="AE198" s="4" t="n">
        <v>4</v>
      </c>
      <c r="AF198" s="4" t="n">
        <v>2</v>
      </c>
      <c r="AG198" s="11" t="inlineStr">
        <is>
          <t>Qualify first</t>
        </is>
      </c>
    </row>
    <row r="199" ht="75" customHeight="1">
      <c r="A199" s="4" t="n">
        <v>195</v>
      </c>
      <c r="B199" s="4" t="inlineStr">
        <is>
          <t>Fukuda Denshi Hokkaido Sales Co., Ltd.</t>
        </is>
      </c>
      <c r="C199" s="4" t="inlineStr">
        <is>
          <t>フクダ電子北海道販売株式会社</t>
        </is>
      </c>
      <c r="D199" s="4" t="inlineStr">
        <is>
          <t>Not found (NTA lookup blocked; dedupe by Japanese name)</t>
        </is>
      </c>
      <c r="E199" s="4" t="inlineStr">
        <is>
          <t>Hokkaido</t>
        </is>
      </c>
      <c r="F199" s="4" t="inlineStr">
        <is>
          <t>Tohoku and Hokkaido</t>
        </is>
      </c>
      <c r="G199" s="4" t="inlineStr">
        <is>
          <t>Not found</t>
        </is>
      </c>
      <c r="H199" s="4" t="inlineStr">
        <is>
          <t>Human device sales licences; 動物用 licence not confirmed</t>
        </is>
      </c>
      <c r="I199" s="4" t="inlineStr">
        <is>
          <t>Human multi brand lines (ultrasound brands not confirmed)</t>
        </is>
      </c>
      <c r="J199" s="4" t="inlineStr">
        <is>
          <t>Companion</t>
        </is>
      </c>
      <c r="K199" s="4" t="inlineStr">
        <is>
          <t>Hokkaido</t>
        </is>
      </c>
      <c r="L199" s="4" t="inlineStr">
        <is>
          <t>Not found</t>
        </is>
      </c>
      <c r="M199" s="4" t="inlineStr">
        <is>
          <t>n/a</t>
        </is>
      </c>
      <c r="N199" s="4" t="inlineStr">
        <is>
          <t>Not identified</t>
        </is>
      </c>
      <c r="O199" s="4" t="inlineStr">
        <is>
          <t>Not identified</t>
        </is>
      </c>
      <c r="P199" s="4" t="inlineStr">
        <is>
          <t>Not searched (search budget)</t>
        </is>
      </c>
      <c r="Q199" s="4" t="inlineStr">
        <is>
          <t>Not found (use site)</t>
        </is>
      </c>
      <c r="R199" s="4" t="inlineStr">
        <is>
          <t>Not identified</t>
        </is>
      </c>
      <c r="S199" s="4" t="inlineStr">
        <is>
          <t>Unverified</t>
        </is>
      </c>
      <c r="T199" s="6">
        <f>SUM(Z199:AF199)</f>
        <v>17</v>
      </c>
      <c r="U199" s="10" t="inlineStr">
        <is>
          <t>V4</t>
        </is>
      </c>
      <c r="V199" s="4" t="inlineStr">
        <is>
          <t>QUALIFY FIRST: animal hospital sales not confirmed in sources. Fukuda Denshi sales company in Hokkaido.</t>
        </is>
      </c>
      <c r="W199" s="4" t="inlineStr">
        <is>
          <t>Open by asking whether they serve animal hospitals today; if yes, offer a vet line with no overlap to their human ultrasound brands.</t>
        </is>
      </c>
      <c r="X199" s="4" t="inlineStr">
        <is>
          <t>Not checked (human list not in v17)</t>
        </is>
      </c>
      <c r="Y199" s="4" t="inlineStr">
        <is>
          <t>https://baseconnect.in/companies/prefecture/9ebb3838-effc-47da-b634-994957a78319/keyword/89941b4e-2dd1-4848-8957-48af280a31e0</t>
        </is>
      </c>
      <c r="Z199" s="4" t="n">
        <v>2</v>
      </c>
      <c r="AA199" s="4" t="n">
        <v>3</v>
      </c>
      <c r="AB199" s="4" t="n">
        <v>3</v>
      </c>
      <c r="AC199" s="4" t="n">
        <v>2</v>
      </c>
      <c r="AD199" s="4" t="n">
        <v>1</v>
      </c>
      <c r="AE199" s="4" t="n">
        <v>4</v>
      </c>
      <c r="AF199" s="4" t="n">
        <v>2</v>
      </c>
      <c r="AG199" s="11" t="inlineStr">
        <is>
          <t>Qualify first</t>
        </is>
      </c>
    </row>
    <row r="200" ht="75" customHeight="1">
      <c r="A200" s="4" t="n">
        <v>196</v>
      </c>
      <c r="B200" s="4" t="inlineStr">
        <is>
          <t>Hokkai Medical Co., Ltd.</t>
        </is>
      </c>
      <c r="C200" s="4" t="inlineStr">
        <is>
          <t>株式会社北海メディカル</t>
        </is>
      </c>
      <c r="D200" s="4" t="inlineStr">
        <is>
          <t>Not found (NTA lookup blocked; dedupe by Japanese name)</t>
        </is>
      </c>
      <c r="E200" s="4" t="inlineStr">
        <is>
          <t>Hokkaido</t>
        </is>
      </c>
      <c r="F200" s="4" t="inlineStr">
        <is>
          <t>Tohoku and Hokkaido</t>
        </is>
      </c>
      <c r="G200" s="5" t="inlineStr">
        <is>
          <t>https://hokkai-md.com/</t>
        </is>
      </c>
      <c r="H200" s="4" t="inlineStr">
        <is>
          <t>Human device sales licences; 動物用 licence not confirmed</t>
        </is>
      </c>
      <c r="I200" s="4" t="inlineStr">
        <is>
          <t>Human multi brand lines (ultrasound brands not confirmed)</t>
        </is>
      </c>
      <c r="J200" s="4" t="inlineStr">
        <is>
          <t>Companion</t>
        </is>
      </c>
      <c r="K200" s="4" t="inlineStr">
        <is>
          <t>Sapporo</t>
        </is>
      </c>
      <c r="L200" s="4" t="inlineStr">
        <is>
          <t>Not found</t>
        </is>
      </c>
      <c r="M200" s="4" t="inlineStr">
        <is>
          <t>n/a</t>
        </is>
      </c>
      <c r="N200" s="4" t="inlineStr">
        <is>
          <t>Not identified</t>
        </is>
      </c>
      <c r="O200" s="4" t="inlineStr">
        <is>
          <t>Not identified</t>
        </is>
      </c>
      <c r="P200" s="4" t="inlineStr">
        <is>
          <t>Not published; phone only</t>
        </is>
      </c>
      <c r="Q200" s="4" t="inlineStr">
        <is>
          <t>011 712 0381</t>
        </is>
      </c>
      <c r="R200" s="4" t="inlineStr">
        <is>
          <t>Not identified</t>
        </is>
      </c>
      <c r="S200" s="4" t="inlineStr">
        <is>
          <t>Company inquiry only (phone)</t>
        </is>
      </c>
      <c r="T200" s="6">
        <f>SUM(Z200:AF200)</f>
        <v>17</v>
      </c>
      <c r="U200" s="10" t="inlineStr">
        <is>
          <t>V4</t>
        </is>
      </c>
      <c r="V200" s="4" t="inlineStr">
        <is>
          <t>QUALIFY FIRST: animal hospital sales not confirmed in sources. Sapporo device sales and clinic opening support.</t>
        </is>
      </c>
      <c r="W200" s="4" t="inlineStr">
        <is>
          <t>Open by asking whether they serve animal hospitals today; if yes, offer a vet line with no overlap to their human ultrasound brands.</t>
        </is>
      </c>
      <c r="X200" s="4" t="inlineStr">
        <is>
          <t>Not checked (human list not in v17)</t>
        </is>
      </c>
      <c r="Y200" s="4" t="inlineStr">
        <is>
          <t>https://hokkai-md.com/</t>
        </is>
      </c>
      <c r="Z200" s="4" t="n">
        <v>2</v>
      </c>
      <c r="AA200" s="4" t="n">
        <v>3</v>
      </c>
      <c r="AB200" s="4" t="n">
        <v>3</v>
      </c>
      <c r="AC200" s="4" t="n">
        <v>2</v>
      </c>
      <c r="AD200" s="4" t="n">
        <v>1</v>
      </c>
      <c r="AE200" s="4" t="n">
        <v>4</v>
      </c>
      <c r="AF200" s="4" t="n">
        <v>2</v>
      </c>
      <c r="AG200" s="11" t="inlineStr">
        <is>
          <t>Qualify first</t>
        </is>
      </c>
    </row>
    <row r="201" ht="75" customHeight="1">
      <c r="A201" s="4" t="n">
        <v>197</v>
      </c>
      <c r="B201" s="4" t="inlineStr">
        <is>
          <t>Hokuyaku Co., Ltd.</t>
        </is>
      </c>
      <c r="C201" s="4" t="inlineStr">
        <is>
          <t>株式会社ほくやく</t>
        </is>
      </c>
      <c r="D201" s="4" t="inlineStr">
        <is>
          <t>Not found (NTA lookup blocked; dedupe by Japanese name)</t>
        </is>
      </c>
      <c r="E201" s="4" t="inlineStr">
        <is>
          <t>Hokkaido</t>
        </is>
      </c>
      <c r="F201" s="4" t="inlineStr">
        <is>
          <t>Tohoku and Hokkaido</t>
        </is>
      </c>
      <c r="G201" s="4" t="inlineStr">
        <is>
          <t>Not found</t>
        </is>
      </c>
      <c r="H201" s="4" t="inlineStr">
        <is>
          <t>Human device sales licences; 動物用 licence not confirmed</t>
        </is>
      </c>
      <c r="I201" s="4" t="inlineStr">
        <is>
          <t>Human multi brand lines (ultrasound brands not confirmed)</t>
        </is>
      </c>
      <c r="J201" s="4" t="inlineStr">
        <is>
          <t>Companion</t>
        </is>
      </c>
      <c r="K201" s="4" t="inlineStr">
        <is>
          <t>Hokkaido</t>
        </is>
      </c>
      <c r="L201" s="4" t="inlineStr">
        <is>
          <t>Large</t>
        </is>
      </c>
      <c r="M201" s="4" t="inlineStr">
        <is>
          <t>n/a</t>
        </is>
      </c>
      <c r="N201" s="4" t="inlineStr">
        <is>
          <t>Not identified</t>
        </is>
      </c>
      <c r="O201" s="4" t="inlineStr">
        <is>
          <t>Not identified</t>
        </is>
      </c>
      <c r="P201" s="4" t="inlineStr">
        <is>
          <t>Not published; phone only</t>
        </is>
      </c>
      <c r="Q201" s="4" t="inlineStr">
        <is>
          <t>011 633 1030 (holding company)</t>
        </is>
      </c>
      <c r="R201" s="4" t="inlineStr">
        <is>
          <t>Not identified</t>
        </is>
      </c>
      <c r="S201" s="4" t="inlineStr">
        <is>
          <t>Company inquiry only (phone); via parent ほくやく・竹山ホールディングス</t>
        </is>
      </c>
      <c r="T201" s="6">
        <f>SUM(Z201:AF201)</f>
        <v>17</v>
      </c>
      <c r="U201" s="10" t="inlineStr">
        <is>
          <t>V4</t>
        </is>
      </c>
      <c r="V201" s="4" t="inlineStr">
        <is>
          <t>QUALIFY FIRST: animal hospital sales not confirmed in sources. Core pharma and device wholesaler of Hokuyaku Takeyama Holdings. FLAG: Same holding as Takeyama; coordinate.</t>
        </is>
      </c>
      <c r="W201" s="4" t="inlineStr">
        <is>
          <t>Open by asking whether they serve animal hospitals today; if yes, offer a vet line with no overlap to their human ultrasound brands.</t>
        </is>
      </c>
      <c r="X201" s="4" t="inlineStr">
        <is>
          <t>Not checked (human list not in v17)</t>
        </is>
      </c>
      <c r="Y201" s="4" t="inlineStr">
        <is>
          <t>https://www.hurex.jp/column/company/717/ ; https://www.hokutake.co.jp/company/kaisyagaiyo.html</t>
        </is>
      </c>
      <c r="Z201" s="4" t="n">
        <v>2</v>
      </c>
      <c r="AA201" s="4" t="n">
        <v>3</v>
      </c>
      <c r="AB201" s="4" t="n">
        <v>3</v>
      </c>
      <c r="AC201" s="4" t="n">
        <v>2</v>
      </c>
      <c r="AD201" s="4" t="n">
        <v>1</v>
      </c>
      <c r="AE201" s="4" t="n">
        <v>4</v>
      </c>
      <c r="AF201" s="4" t="n">
        <v>2</v>
      </c>
      <c r="AG201" s="11" t="inlineStr">
        <is>
          <t>Qualify first</t>
        </is>
      </c>
    </row>
    <row r="202" ht="75" customHeight="1">
      <c r="A202" s="4" t="n">
        <v>198</v>
      </c>
      <c r="B202" s="4" t="inlineStr">
        <is>
          <t>Koseki Co., Ltd.</t>
        </is>
      </c>
      <c r="C202" s="4" t="inlineStr">
        <is>
          <t>コセキ株式会社</t>
        </is>
      </c>
      <c r="D202" s="4" t="inlineStr">
        <is>
          <t>Not found (NTA lookup blocked; dedupe by Japanese name)</t>
        </is>
      </c>
      <c r="E202" s="4" t="inlineStr">
        <is>
          <t>Miyagi</t>
        </is>
      </c>
      <c r="F202" s="4" t="inlineStr">
        <is>
          <t>Tohoku and Hokkaido</t>
        </is>
      </c>
      <c r="G202" s="5" t="inlineStr">
        <is>
          <t>https://www.koseki.co.jp/</t>
        </is>
      </c>
      <c r="H202" s="4" t="inlineStr">
        <is>
          <t>Human device sales licences; 動物用 licence not confirmed</t>
        </is>
      </c>
      <c r="I202" s="4" t="inlineStr">
        <is>
          <t>Human multi brand lines (ultrasound brands not confirmed)</t>
        </is>
      </c>
      <c r="J202" s="4" t="inlineStr">
        <is>
          <t>Companion</t>
        </is>
      </c>
      <c r="K202" s="4" t="inlineStr">
        <is>
          <t>Six Tohoku prefectures and Tokyo area</t>
        </is>
      </c>
      <c r="L202" s="4" t="inlineStr">
        <is>
          <t>Not found</t>
        </is>
      </c>
      <c r="M202" s="4" t="inlineStr">
        <is>
          <t>n/a</t>
        </is>
      </c>
      <c r="N202" s="4" t="inlineStr">
        <is>
          <t>Not identified</t>
        </is>
      </c>
      <c r="O202" s="4" t="inlineStr">
        <is>
          <t>Not identified</t>
        </is>
      </c>
      <c r="P202" s="4" t="inlineStr">
        <is>
          <t>Not published; inquiry form: https://www.koseki.co.jp/contact/</t>
        </is>
      </c>
      <c r="Q202" s="4" t="inlineStr">
        <is>
          <t>022 272 2350 (Sendai sales office)</t>
        </is>
      </c>
      <c r="R202" s="4" t="inlineStr">
        <is>
          <t>Not identified</t>
        </is>
      </c>
      <c r="S202" s="4" t="inlineStr">
        <is>
          <t>Company inquiry only (form)</t>
        </is>
      </c>
      <c r="T202" s="6">
        <f>SUM(Z202:AF202)</f>
        <v>17</v>
      </c>
      <c r="U202" s="10" t="inlineStr">
        <is>
          <t>V4</t>
        </is>
      </c>
      <c r="V202" s="4" t="inlineStr">
        <is>
          <t>QUALIFY FIRST: animal hospital sales not confirmed in sources. Sendai multi line trading house (medical devices, AV and ICT).</t>
        </is>
      </c>
      <c r="W202" s="4" t="inlineStr">
        <is>
          <t>Open by asking whether they serve animal hospitals today; if yes, offer a vet line with no overlap to their human ultrasound brands.</t>
        </is>
      </c>
      <c r="X202" s="4" t="inlineStr">
        <is>
          <t>Not checked (human list not in v17)</t>
        </is>
      </c>
      <c r="Y202" s="4" t="inlineStr">
        <is>
          <t>https://www.koseki.co.jp/ ; https://www.koseki.co.jp/contact/</t>
        </is>
      </c>
      <c r="Z202" s="4" t="n">
        <v>2</v>
      </c>
      <c r="AA202" s="4" t="n">
        <v>3</v>
      </c>
      <c r="AB202" s="4" t="n">
        <v>3</v>
      </c>
      <c r="AC202" s="4" t="n">
        <v>2</v>
      </c>
      <c r="AD202" s="4" t="n">
        <v>1</v>
      </c>
      <c r="AE202" s="4" t="n">
        <v>4</v>
      </c>
      <c r="AF202" s="4" t="n">
        <v>2</v>
      </c>
      <c r="AG202" s="11" t="inlineStr">
        <is>
          <t>Qualify first</t>
        </is>
      </c>
    </row>
    <row r="203" ht="75" customHeight="1">
      <c r="A203" s="4" t="n">
        <v>199</v>
      </c>
      <c r="B203" s="4" t="inlineStr">
        <is>
          <t>Kyoritsu Ika Kikai Co., Ltd.</t>
        </is>
      </c>
      <c r="C203" s="4" t="inlineStr">
        <is>
          <t>共立医科器械株式会社</t>
        </is>
      </c>
      <c r="D203" s="4" t="inlineStr">
        <is>
          <t>Not found (NTA lookup blocked; dedupe by Japanese name)</t>
        </is>
      </c>
      <c r="E203" s="4" t="inlineStr">
        <is>
          <t>Iwate</t>
        </is>
      </c>
      <c r="F203" s="4" t="inlineStr">
        <is>
          <t>Tohoku and Hokkaido</t>
        </is>
      </c>
      <c r="G203" s="4" t="inlineStr">
        <is>
          <t>Not found</t>
        </is>
      </c>
      <c r="H203" s="4" t="inlineStr">
        <is>
          <t>Human device sales licences; 動物用 licence not confirmed</t>
        </is>
      </c>
      <c r="I203" s="4" t="inlineStr">
        <is>
          <t>Human multi brand lines (ultrasound brands not confirmed)</t>
        </is>
      </c>
      <c r="J203" s="4" t="inlineStr">
        <is>
          <t>Companion</t>
        </is>
      </c>
      <c r="K203" s="4" t="inlineStr">
        <is>
          <t>Iwate (Morioka)</t>
        </is>
      </c>
      <c r="L203" s="4" t="inlineStr">
        <is>
          <t>Not found</t>
        </is>
      </c>
      <c r="M203" s="4" t="inlineStr">
        <is>
          <t>n/a</t>
        </is>
      </c>
      <c r="N203" s="4" t="inlineStr">
        <is>
          <t>Not identified</t>
        </is>
      </c>
      <c r="O203" s="4" t="inlineStr">
        <is>
          <t>Not identified</t>
        </is>
      </c>
      <c r="P203" s="4" t="inlineStr">
        <is>
          <t>Not searched (search budget)</t>
        </is>
      </c>
      <c r="Q203" s="4" t="inlineStr">
        <is>
          <t>Not found (use site)</t>
        </is>
      </c>
      <c r="R203" s="4" t="inlineStr">
        <is>
          <t>Not identified</t>
        </is>
      </c>
      <c r="S203" s="4" t="inlineStr">
        <is>
          <t>Unverified</t>
        </is>
      </c>
      <c r="T203" s="6">
        <f>SUM(Z203:AF203)</f>
        <v>17</v>
      </c>
      <c r="U203" s="10" t="inlineStr">
        <is>
          <t>V4</t>
        </is>
      </c>
      <c r="V203" s="4" t="inlineStr">
        <is>
          <t>QUALIFY FIRST: animal hospital sales not confirmed in sources. Morioka device dealer; Iwate device dealers association member.</t>
        </is>
      </c>
      <c r="W203" s="4" t="inlineStr">
        <is>
          <t>Open by asking whether they serve animal hospitals today; if yes, offer a vet line with no overlap to their human ultrasound brands.</t>
        </is>
      </c>
      <c r="X203" s="4" t="inlineStr">
        <is>
          <t>Not checked (human list not in v17)</t>
        </is>
      </c>
      <c r="Y203" s="4" t="inlineStr">
        <is>
          <t>https://tohoku-ikihan.com/memberlist_category/iwate/ ; https://www.as-1.co.jp/agent/hospital/tohoku/</t>
        </is>
      </c>
      <c r="Z203" s="4" t="n">
        <v>2</v>
      </c>
      <c r="AA203" s="4" t="n">
        <v>3</v>
      </c>
      <c r="AB203" s="4" t="n">
        <v>3</v>
      </c>
      <c r="AC203" s="4" t="n">
        <v>2</v>
      </c>
      <c r="AD203" s="4" t="n">
        <v>1</v>
      </c>
      <c r="AE203" s="4" t="n">
        <v>4</v>
      </c>
      <c r="AF203" s="4" t="n">
        <v>2</v>
      </c>
      <c r="AG203" s="11" t="inlineStr">
        <is>
          <t>Qualify first</t>
        </is>
      </c>
    </row>
    <row r="204" ht="75" customHeight="1">
      <c r="A204" s="4" t="n">
        <v>200</v>
      </c>
      <c r="B204" s="4" t="inlineStr">
        <is>
          <t>Livinol System Co., Ltd.</t>
        </is>
      </c>
      <c r="C204" s="4" t="inlineStr">
        <is>
          <t>株式会社リヴィノールシステム</t>
        </is>
      </c>
      <c r="D204" s="4" t="inlineStr">
        <is>
          <t>Not found (NTA lookup blocked; dedupe by Japanese name)</t>
        </is>
      </c>
      <c r="E204" s="4" t="inlineStr">
        <is>
          <t>Hokkaido</t>
        </is>
      </c>
      <c r="F204" s="4" t="inlineStr">
        <is>
          <t>Tohoku and Hokkaido</t>
        </is>
      </c>
      <c r="G204" s="4" t="inlineStr">
        <is>
          <t>Not found</t>
        </is>
      </c>
      <c r="H204" s="4" t="inlineStr">
        <is>
          <t>Human device sales licences; 動物用 licence not confirmed</t>
        </is>
      </c>
      <c r="I204" s="4" t="inlineStr">
        <is>
          <t>Human multi brand lines (ultrasound brands not confirmed)</t>
        </is>
      </c>
      <c r="J204" s="4" t="inlineStr">
        <is>
          <t>Companion</t>
        </is>
      </c>
      <c r="K204" s="4" t="inlineStr">
        <is>
          <t>Hokkaido</t>
        </is>
      </c>
      <c r="L204" s="4" t="inlineStr">
        <is>
          <t>Not found</t>
        </is>
      </c>
      <c r="M204" s="4" t="inlineStr">
        <is>
          <t>n/a</t>
        </is>
      </c>
      <c r="N204" s="4" t="inlineStr">
        <is>
          <t>Not identified</t>
        </is>
      </c>
      <c r="O204" s="4" t="inlineStr">
        <is>
          <t>Not identified</t>
        </is>
      </c>
      <c r="P204" s="4" t="inlineStr">
        <is>
          <t>Not searched (search budget)</t>
        </is>
      </c>
      <c r="Q204" s="4" t="inlineStr">
        <is>
          <t>Not found (use site)</t>
        </is>
      </c>
      <c r="R204" s="4" t="inlineStr">
        <is>
          <t>Not identified</t>
        </is>
      </c>
      <c r="S204" s="4" t="inlineStr">
        <is>
          <t>Unverified</t>
        </is>
      </c>
      <c r="T204" s="6">
        <f>SUM(Z204:AF204)</f>
        <v>17</v>
      </c>
      <c r="U204" s="10" t="inlineStr">
        <is>
          <t>V4</t>
        </is>
      </c>
      <c r="V204" s="4" t="inlineStr">
        <is>
          <t>QUALIFY FIRST: animal hospital sales not confirmed in sources. Sapporo device wholesaler and consultancy (1977).</t>
        </is>
      </c>
      <c r="W204" s="4" t="inlineStr">
        <is>
          <t>Open by asking whether they serve animal hospitals today; if yes, offer a vet line with no overlap to their human ultrasound brands.</t>
        </is>
      </c>
      <c r="X204" s="4" t="inlineStr">
        <is>
          <t>Not checked (human list not in v17)</t>
        </is>
      </c>
      <c r="Y204" s="4" t="inlineStr">
        <is>
          <t>https://baseconnect.in/companies/prefecture/9ebb3838-effc-47da-b634-994957a78319/keyword/89941b4e-2dd1-4848-8957-48af280a31e0</t>
        </is>
      </c>
      <c r="Z204" s="4" t="n">
        <v>2</v>
      </c>
      <c r="AA204" s="4" t="n">
        <v>3</v>
      </c>
      <c r="AB204" s="4" t="n">
        <v>3</v>
      </c>
      <c r="AC204" s="4" t="n">
        <v>2</v>
      </c>
      <c r="AD204" s="4" t="n">
        <v>1</v>
      </c>
      <c r="AE204" s="4" t="n">
        <v>4</v>
      </c>
      <c r="AF204" s="4" t="n">
        <v>2</v>
      </c>
      <c r="AG204" s="11" t="inlineStr">
        <is>
          <t>Qualify first</t>
        </is>
      </c>
    </row>
    <row r="205" ht="75" customHeight="1">
      <c r="A205" s="4" t="n">
        <v>201</v>
      </c>
      <c r="B205" s="4" t="inlineStr">
        <is>
          <t>Maruki Ika Kikai Co., Ltd.</t>
        </is>
      </c>
      <c r="C205" s="4" t="inlineStr">
        <is>
          <t>丸木医科器械株式会社</t>
        </is>
      </c>
      <c r="D205" s="4" t="inlineStr">
        <is>
          <t>Not found (NTA lookup blocked; dedupe by Japanese name)</t>
        </is>
      </c>
      <c r="E205" s="4" t="inlineStr">
        <is>
          <t>Miyagi</t>
        </is>
      </c>
      <c r="F205" s="4" t="inlineStr">
        <is>
          <t>Tohoku and Hokkaido</t>
        </is>
      </c>
      <c r="G205" s="5" t="inlineStr">
        <is>
          <t>https://maruki-ms.co.jp/</t>
        </is>
      </c>
      <c r="H205" s="4" t="inlineStr">
        <is>
          <t>Human device sales licences; 動物用 licence not confirmed</t>
        </is>
      </c>
      <c r="I205" s="4" t="inlineStr">
        <is>
          <t>Human multi brand lines (ultrasound brands not confirmed)</t>
        </is>
      </c>
      <c r="J205" s="4" t="inlineStr">
        <is>
          <t>Companion</t>
        </is>
      </c>
      <c r="K205" s="4" t="inlineStr">
        <is>
          <t>Miyagi and Tohoku</t>
        </is>
      </c>
      <c r="L205" s="4" t="inlineStr">
        <is>
          <t>Not found</t>
        </is>
      </c>
      <c r="M205" s="4" t="inlineStr">
        <is>
          <t>n/a</t>
        </is>
      </c>
      <c r="N205" s="4" t="inlineStr">
        <is>
          <t>Not identified</t>
        </is>
      </c>
      <c r="O205" s="4" t="inlineStr">
        <is>
          <t>Not identified</t>
        </is>
      </c>
      <c r="P205" s="4" t="inlineStr">
        <is>
          <t>Not published; phone only</t>
        </is>
      </c>
      <c r="Q205" s="4" t="inlineStr">
        <is>
          <t>022 242 6001</t>
        </is>
      </c>
      <c r="R205" s="4" t="inlineStr">
        <is>
          <t>Not identified</t>
        </is>
      </c>
      <c r="S205" s="4" t="inlineStr">
        <is>
          <t>Company inquiry only (phone)</t>
        </is>
      </c>
      <c r="T205" s="6">
        <f>SUM(Z205:AF205)</f>
        <v>17</v>
      </c>
      <c r="U205" s="10" t="inlineStr">
        <is>
          <t>V4</t>
        </is>
      </c>
      <c r="V205" s="4" t="inlineStr">
        <is>
          <t>QUALIFY FIRST: animal hospital sales not confirmed in sources. Sendai device trading house tracing its roots to 1781.</t>
        </is>
      </c>
      <c r="W205" s="4" t="inlineStr">
        <is>
          <t>Open by asking whether they serve animal hospitals today; if yes, offer a vet line with no overlap to their human ultrasound brands.</t>
        </is>
      </c>
      <c r="X205" s="4" t="inlineStr">
        <is>
          <t>Not checked (human list not in v17)</t>
        </is>
      </c>
      <c r="Y205" s="4" t="inlineStr">
        <is>
          <t>https://maruki-ms.co.jp/ ; https://maruki-ms.co.jp/office</t>
        </is>
      </c>
      <c r="Z205" s="4" t="n">
        <v>2</v>
      </c>
      <c r="AA205" s="4" t="n">
        <v>3</v>
      </c>
      <c r="AB205" s="4" t="n">
        <v>3</v>
      </c>
      <c r="AC205" s="4" t="n">
        <v>2</v>
      </c>
      <c r="AD205" s="4" t="n">
        <v>1</v>
      </c>
      <c r="AE205" s="4" t="n">
        <v>4</v>
      </c>
      <c r="AF205" s="4" t="n">
        <v>2</v>
      </c>
      <c r="AG205" s="11" t="inlineStr">
        <is>
          <t>Qualify first</t>
        </is>
      </c>
    </row>
    <row r="206" ht="75" customHeight="1">
      <c r="A206" s="4" t="n">
        <v>202</v>
      </c>
      <c r="B206" s="4" t="inlineStr">
        <is>
          <t>Megumi Ika Kikai Co., Ltd.</t>
        </is>
      </c>
      <c r="C206" s="4" t="inlineStr">
        <is>
          <t>恵医科器械株式会社</t>
        </is>
      </c>
      <c r="D206" s="4" t="inlineStr">
        <is>
          <t>Not found (NTA lookup blocked; dedupe by Japanese name)</t>
        </is>
      </c>
      <c r="E206" s="4" t="inlineStr">
        <is>
          <t>Iwate</t>
        </is>
      </c>
      <c r="F206" s="4" t="inlineStr">
        <is>
          <t>Tohoku and Hokkaido</t>
        </is>
      </c>
      <c r="G206" s="4" t="inlineStr">
        <is>
          <t>Not found</t>
        </is>
      </c>
      <c r="H206" s="4" t="inlineStr">
        <is>
          <t>Human device sales licences; 動物用 licence not confirmed</t>
        </is>
      </c>
      <c r="I206" s="4" t="inlineStr">
        <is>
          <t>Human multi brand lines (ultrasound brands not confirmed)</t>
        </is>
      </c>
      <c r="J206" s="4" t="inlineStr">
        <is>
          <t>Companion</t>
        </is>
      </c>
      <c r="K206" s="4" t="inlineStr">
        <is>
          <t>Iwate</t>
        </is>
      </c>
      <c r="L206" s="4" t="inlineStr">
        <is>
          <t>Not found</t>
        </is>
      </c>
      <c r="M206" s="4" t="inlineStr">
        <is>
          <t>n/a</t>
        </is>
      </c>
      <c r="N206" s="4" t="inlineStr">
        <is>
          <t>Not identified</t>
        </is>
      </c>
      <c r="O206" s="4" t="inlineStr">
        <is>
          <t>Not identified</t>
        </is>
      </c>
      <c r="P206" s="4" t="inlineStr">
        <is>
          <t>Not published; phone only</t>
        </is>
      </c>
      <c r="Q206" s="4" t="inlineStr">
        <is>
          <t>019 641 8616</t>
        </is>
      </c>
      <c r="R206" s="4" t="inlineStr">
        <is>
          <t>Not identified</t>
        </is>
      </c>
      <c r="S206" s="4" t="inlineStr">
        <is>
          <t>Company inquiry only (phone)</t>
        </is>
      </c>
      <c r="T206" s="6">
        <f>SUM(Z206:AF206)</f>
        <v>17</v>
      </c>
      <c r="U206" s="10" t="inlineStr">
        <is>
          <t>V4</t>
        </is>
      </c>
      <c r="V206" s="4" t="inlineStr">
        <is>
          <t>QUALIFY FIRST: animal hospital sales not confirmed in sources. Iwate device dealers association member.</t>
        </is>
      </c>
      <c r="W206" s="4" t="inlineStr">
        <is>
          <t>Open by asking whether they serve animal hospitals today; if yes, offer a vet line with no overlap to their human ultrasound brands.</t>
        </is>
      </c>
      <c r="X206" s="4" t="inlineStr">
        <is>
          <t>Not checked (human list not in v17)</t>
        </is>
      </c>
      <c r="Y206" s="4" t="inlineStr">
        <is>
          <t>https://tohoku-ikihan.com/memberlist_category/iwate/ ; https://info.gbiz.go.jp/hojin/ichiran?hojinBango=6400001001554</t>
        </is>
      </c>
      <c r="Z206" s="4" t="n">
        <v>2</v>
      </c>
      <c r="AA206" s="4" t="n">
        <v>3</v>
      </c>
      <c r="AB206" s="4" t="n">
        <v>3</v>
      </c>
      <c r="AC206" s="4" t="n">
        <v>2</v>
      </c>
      <c r="AD206" s="4" t="n">
        <v>1</v>
      </c>
      <c r="AE206" s="4" t="n">
        <v>4</v>
      </c>
      <c r="AF206" s="4" t="n">
        <v>2</v>
      </c>
      <c r="AG206" s="11" t="inlineStr">
        <is>
          <t>Qualify first</t>
        </is>
      </c>
    </row>
    <row r="207" ht="75" customHeight="1">
      <c r="A207" s="4" t="n">
        <v>203</v>
      </c>
      <c r="B207" s="4" t="inlineStr">
        <is>
          <t>Nanbu Irika Co., Ltd.</t>
        </is>
      </c>
      <c r="C207" s="4" t="inlineStr">
        <is>
          <t>南部医理科株式会社</t>
        </is>
      </c>
      <c r="D207" s="4" t="inlineStr">
        <is>
          <t>Not found (NTA lookup blocked; dedupe by Japanese name)</t>
        </is>
      </c>
      <c r="E207" s="4" t="inlineStr">
        <is>
          <t>Iwate</t>
        </is>
      </c>
      <c r="F207" s="4" t="inlineStr">
        <is>
          <t>Tohoku and Hokkaido</t>
        </is>
      </c>
      <c r="G207" s="5" t="inlineStr">
        <is>
          <t>http://www.nanbu-irika.com/</t>
        </is>
      </c>
      <c r="H207" s="4" t="inlineStr">
        <is>
          <t>Human device sales licences; 動物用 licence not confirmed</t>
        </is>
      </c>
      <c r="I207" s="4" t="inlineStr">
        <is>
          <t>Human multi brand lines (ultrasound brands not confirmed)</t>
        </is>
      </c>
      <c r="J207" s="4" t="inlineStr">
        <is>
          <t>Companion</t>
        </is>
      </c>
      <c r="K207" s="4" t="inlineStr">
        <is>
          <t>Iwate</t>
        </is>
      </c>
      <c r="L207" s="4" t="inlineStr">
        <is>
          <t>Not found</t>
        </is>
      </c>
      <c r="M207" s="4" t="inlineStr">
        <is>
          <t>n/a</t>
        </is>
      </c>
      <c r="N207" s="4" t="inlineStr">
        <is>
          <t>Not identified</t>
        </is>
      </c>
      <c r="O207" s="4" t="inlineStr">
        <is>
          <t>Not identified</t>
        </is>
      </c>
      <c r="P207" s="4" t="inlineStr">
        <is>
          <t>Not published; phone only</t>
        </is>
      </c>
      <c r="Q207" s="4" t="inlineStr">
        <is>
          <t>Not found (use site)</t>
        </is>
      </c>
      <c r="R207" s="4" t="inlineStr">
        <is>
          <t>Not identified</t>
        </is>
      </c>
      <c r="S207" s="4" t="inlineStr">
        <is>
          <t>Company inquiry only (phone)</t>
        </is>
      </c>
      <c r="T207" s="6">
        <f>SUM(Z207:AF207)</f>
        <v>17</v>
      </c>
      <c r="U207" s="10" t="inlineStr">
        <is>
          <t>V4</t>
        </is>
      </c>
      <c r="V207" s="4" t="inlineStr">
        <is>
          <t>QUALIFY FIRST: animal hospital sales not confirmed in sources. Iwate device and lab dealer; association member.</t>
        </is>
      </c>
      <c r="W207" s="4" t="inlineStr">
        <is>
          <t>Open by asking whether they serve animal hospitals today; if yes, offer a vet line with no overlap to their human ultrasound brands.</t>
        </is>
      </c>
      <c r="X207" s="4" t="inlineStr">
        <is>
          <t>Not checked (human list not in v17)</t>
        </is>
      </c>
      <c r="Y207" s="4" t="inlineStr">
        <is>
          <t>https://tohoku-ikihan.com/memberlist_category/iwate/ ; http://nanbu-irika.com/company/gaiyo.html</t>
        </is>
      </c>
      <c r="Z207" s="4" t="n">
        <v>2</v>
      </c>
      <c r="AA207" s="4" t="n">
        <v>3</v>
      </c>
      <c r="AB207" s="4" t="n">
        <v>3</v>
      </c>
      <c r="AC207" s="4" t="n">
        <v>2</v>
      </c>
      <c r="AD207" s="4" t="n">
        <v>1</v>
      </c>
      <c r="AE207" s="4" t="n">
        <v>4</v>
      </c>
      <c r="AF207" s="4" t="n">
        <v>2</v>
      </c>
      <c r="AG207" s="11" t="inlineStr">
        <is>
          <t>Qualify first</t>
        </is>
      </c>
    </row>
    <row r="208" ht="75" customHeight="1">
      <c r="A208" s="4" t="n">
        <v>204</v>
      </c>
      <c r="B208" s="4" t="inlineStr">
        <is>
          <t>Okazaki Iryo</t>
        </is>
      </c>
      <c r="C208" s="4" t="inlineStr">
        <is>
          <t>岡崎医療</t>
        </is>
      </c>
      <c r="D208" s="4" t="inlineStr">
        <is>
          <t>Not found (NTA lookup blocked; dedupe by Japanese name)</t>
        </is>
      </c>
      <c r="E208" s="4" t="inlineStr">
        <is>
          <t>Yamagata</t>
        </is>
      </c>
      <c r="F208" s="4" t="inlineStr">
        <is>
          <t>Tohoku and Hokkaido</t>
        </is>
      </c>
      <c r="G208" s="4" t="inlineStr">
        <is>
          <t>Not found</t>
        </is>
      </c>
      <c r="H208" s="4" t="inlineStr">
        <is>
          <t>Human device sales licences; 動物用 licence not confirmed</t>
        </is>
      </c>
      <c r="I208" s="4" t="inlineStr">
        <is>
          <t>Human multi brand lines (ultrasound brands not confirmed)</t>
        </is>
      </c>
      <c r="J208" s="4" t="inlineStr">
        <is>
          <t>Companion</t>
        </is>
      </c>
      <c r="K208" s="4" t="inlineStr">
        <is>
          <t>Yamagata</t>
        </is>
      </c>
      <c r="L208" s="4" t="inlineStr">
        <is>
          <t>Not found</t>
        </is>
      </c>
      <c r="M208" s="4" t="inlineStr">
        <is>
          <t>n/a</t>
        </is>
      </c>
      <c r="N208" s="4" t="inlineStr">
        <is>
          <t>Not identified</t>
        </is>
      </c>
      <c r="O208" s="4" t="inlineStr">
        <is>
          <t>Not identified</t>
        </is>
      </c>
      <c r="P208" s="4" t="inlineStr">
        <is>
          <t>Not searched (search budget)</t>
        </is>
      </c>
      <c r="Q208" s="4" t="inlineStr">
        <is>
          <t>Not found (use site)</t>
        </is>
      </c>
      <c r="R208" s="4" t="inlineStr">
        <is>
          <t>Not identified</t>
        </is>
      </c>
      <c r="S208" s="4" t="inlineStr">
        <is>
          <t>Unverified</t>
        </is>
      </c>
      <c r="T208" s="6">
        <f>SUM(Z208:AF208)</f>
        <v>17</v>
      </c>
      <c r="U208" s="10" t="inlineStr">
        <is>
          <t>V4</t>
        </is>
      </c>
      <c r="V208" s="4" t="inlineStr">
        <is>
          <t>QUALIFY FIRST: animal hospital sales not confirmed in sources. Yamagata device dealer (AS ONE agent list). FLAG: Legal form not confirmed.</t>
        </is>
      </c>
      <c r="W208" s="4" t="inlineStr">
        <is>
          <t>Open by asking whether they serve animal hospitals today; if yes, offer a vet line with no overlap to their human ultrasound brands.</t>
        </is>
      </c>
      <c r="X208" s="4" t="inlineStr">
        <is>
          <t>Not checked (human list not in v17)</t>
        </is>
      </c>
      <c r="Y208" s="4" t="inlineStr">
        <is>
          <t>https://www.as-1.co.jp/agent/hospital/tohoku/</t>
        </is>
      </c>
      <c r="Z208" s="4" t="n">
        <v>2</v>
      </c>
      <c r="AA208" s="4" t="n">
        <v>3</v>
      </c>
      <c r="AB208" s="4" t="n">
        <v>3</v>
      </c>
      <c r="AC208" s="4" t="n">
        <v>2</v>
      </c>
      <c r="AD208" s="4" t="n">
        <v>1</v>
      </c>
      <c r="AE208" s="4" t="n">
        <v>4</v>
      </c>
      <c r="AF208" s="4" t="n">
        <v>2</v>
      </c>
      <c r="AG208" s="11" t="inlineStr">
        <is>
          <t>Qualify first</t>
        </is>
      </c>
    </row>
    <row r="209" ht="75" customHeight="1">
      <c r="A209" s="4" t="n">
        <v>205</v>
      </c>
      <c r="B209" s="4" t="inlineStr">
        <is>
          <t>Sanou Co., Ltd.</t>
        </is>
      </c>
      <c r="C209" s="4" t="inlineStr">
        <is>
          <t>株式会社三櫻</t>
        </is>
      </c>
      <c r="D209" s="4" t="inlineStr">
        <is>
          <t>Not found (NTA lookup blocked; dedupe by Japanese name)</t>
        </is>
      </c>
      <c r="E209" s="4" t="inlineStr">
        <is>
          <t>Iwate</t>
        </is>
      </c>
      <c r="F209" s="4" t="inlineStr">
        <is>
          <t>Tohoku and Hokkaido</t>
        </is>
      </c>
      <c r="G209" s="5" t="inlineStr">
        <is>
          <t>https://san-ou.co.jp/</t>
        </is>
      </c>
      <c r="H209" s="4" t="inlineStr">
        <is>
          <t>Human device sales licences; 動物用 licence not confirmed</t>
        </is>
      </c>
      <c r="I209" s="4" t="inlineStr">
        <is>
          <t>Human multi brand lines (ultrasound brands not confirmed)</t>
        </is>
      </c>
      <c r="J209" s="4" t="inlineStr">
        <is>
          <t>Companion</t>
        </is>
      </c>
      <c r="K209" s="4" t="inlineStr">
        <is>
          <t>Iwate</t>
        </is>
      </c>
      <c r="L209" s="4" t="inlineStr">
        <is>
          <t>Not found</t>
        </is>
      </c>
      <c r="M209" s="4" t="inlineStr">
        <is>
          <t>n/a</t>
        </is>
      </c>
      <c r="N209" s="4" t="inlineStr">
        <is>
          <t>Not identified</t>
        </is>
      </c>
      <c r="O209" s="4" t="inlineStr">
        <is>
          <t>Not identified</t>
        </is>
      </c>
      <c r="P209" s="4" t="inlineStr">
        <is>
          <t>morioka@san-ou.co.jp</t>
        </is>
      </c>
      <c r="Q209" s="4" t="inlineStr">
        <is>
          <t>019 625 3030</t>
        </is>
      </c>
      <c r="R209" s="4" t="inlineStr">
        <is>
          <t>Not identified</t>
        </is>
      </c>
      <c r="S209" s="4" t="inlineStr">
        <is>
          <t>Verified (published on own site, read via search); Morioka office, page about 3 years old</t>
        </is>
      </c>
      <c r="T209" s="6">
        <f>SUM(Z209:AF209)</f>
        <v>17</v>
      </c>
      <c r="U209" s="10" t="inlineStr">
        <is>
          <t>V4</t>
        </is>
      </c>
      <c r="V209" s="4" t="inlineStr">
        <is>
          <t>QUALIFY FIRST: animal hospital sales not confirmed in sources. Iwate device dealers association member.</t>
        </is>
      </c>
      <c r="W209" s="4" t="inlineStr">
        <is>
          <t>Open by asking whether they serve animal hospitals today; if yes, offer a vet line with no overlap to their human ultrasound brands.</t>
        </is>
      </c>
      <c r="X209" s="4" t="inlineStr">
        <is>
          <t>Not checked (human list not in v17)</t>
        </is>
      </c>
      <c r="Y209" s="4" t="inlineStr">
        <is>
          <t>https://tohoku-ikihan.com/memberlist_category/iwate/ ; https://san-ou.co.jp/company/ ; https://san-ou.co.jp/contacts/</t>
        </is>
      </c>
      <c r="Z209" s="4" t="n">
        <v>2</v>
      </c>
      <c r="AA209" s="4" t="n">
        <v>3</v>
      </c>
      <c r="AB209" s="4" t="n">
        <v>3</v>
      </c>
      <c r="AC209" s="4" t="n">
        <v>2</v>
      </c>
      <c r="AD209" s="4" t="n">
        <v>1</v>
      </c>
      <c r="AE209" s="4" t="n">
        <v>4</v>
      </c>
      <c r="AF209" s="4" t="n">
        <v>2</v>
      </c>
      <c r="AG209" s="11" t="inlineStr">
        <is>
          <t>Qualify first</t>
        </is>
      </c>
    </row>
    <row r="210" ht="75" customHeight="1">
      <c r="A210" s="4" t="n">
        <v>206</v>
      </c>
      <c r="B210" s="4" t="inlineStr">
        <is>
          <t>Shibata Intech Co., Ltd.</t>
        </is>
      </c>
      <c r="C210" s="4" t="inlineStr">
        <is>
          <t>株式会社シバタインテック</t>
        </is>
      </c>
      <c r="D210" s="4" t="inlineStr">
        <is>
          <t>Not found (NTA lookup blocked; dedupe by Japanese name)</t>
        </is>
      </c>
      <c r="E210" s="4" t="inlineStr">
        <is>
          <t>Miyagi</t>
        </is>
      </c>
      <c r="F210" s="4" t="inlineStr">
        <is>
          <t>Tohoku and Hokkaido</t>
        </is>
      </c>
      <c r="G210" s="5" t="inlineStr">
        <is>
          <t>https://www.shibataintech.co.jp/</t>
        </is>
      </c>
      <c r="H210" s="4" t="inlineStr">
        <is>
          <t>Human device sales licences; 動物用 licence not confirmed</t>
        </is>
      </c>
      <c r="I210" s="4" t="inlineStr">
        <is>
          <t>Human multi brand lines (ultrasound brands not confirmed)</t>
        </is>
      </c>
      <c r="J210" s="4" t="inlineStr">
        <is>
          <t>Companion</t>
        </is>
      </c>
      <c r="K210" s="4" t="inlineStr">
        <is>
          <t>Miyagi, Yamagata, Fukushima (10 sites)</t>
        </is>
      </c>
      <c r="L210" s="4" t="inlineStr">
        <is>
          <t>Not found</t>
        </is>
      </c>
      <c r="M210" s="4" t="inlineStr">
        <is>
          <t>n/a</t>
        </is>
      </c>
      <c r="N210" s="4" t="inlineStr">
        <is>
          <t>Not identified</t>
        </is>
      </c>
      <c r="O210" s="4" t="inlineStr">
        <is>
          <t>Not identified</t>
        </is>
      </c>
      <c r="P210" s="4" t="inlineStr">
        <is>
          <t>Not published; phone only</t>
        </is>
      </c>
      <c r="Q210" s="4" t="inlineStr">
        <is>
          <t>022 236 2311</t>
        </is>
      </c>
      <c r="R210" s="4" t="inlineStr">
        <is>
          <t>Not identified</t>
        </is>
      </c>
      <c r="S210" s="4" t="inlineStr">
        <is>
          <t>Company inquiry only (phone)</t>
        </is>
      </c>
      <c r="T210" s="6">
        <f>SUM(Z210:AF210)</f>
        <v>17</v>
      </c>
      <c r="U210" s="10" t="inlineStr">
        <is>
          <t>V4</t>
        </is>
      </c>
      <c r="V210" s="4" t="inlineStr">
        <is>
          <t>QUALIFY FIRST: animal hospital sales not confirmed in sources. Sendai dealer with device maintenance as a core service.</t>
        </is>
      </c>
      <c r="W210" s="4" t="inlineStr">
        <is>
          <t>Open by asking whether they serve animal hospitals today; if yes, offer a vet line with no overlap to their human ultrasound brands.</t>
        </is>
      </c>
      <c r="X210" s="4" t="inlineStr">
        <is>
          <t>Not checked (human list not in v17)</t>
        </is>
      </c>
      <c r="Y210" s="4" t="inlineStr">
        <is>
          <t>https://www.shibataintech.co.jp/</t>
        </is>
      </c>
      <c r="Z210" s="4" t="n">
        <v>2</v>
      </c>
      <c r="AA210" s="4" t="n">
        <v>3</v>
      </c>
      <c r="AB210" s="4" t="n">
        <v>3</v>
      </c>
      <c r="AC210" s="4" t="n">
        <v>2</v>
      </c>
      <c r="AD210" s="4" t="n">
        <v>1</v>
      </c>
      <c r="AE210" s="4" t="n">
        <v>4</v>
      </c>
      <c r="AF210" s="4" t="n">
        <v>2</v>
      </c>
      <c r="AG210" s="11" t="inlineStr">
        <is>
          <t>Qualify first</t>
        </is>
      </c>
    </row>
    <row r="211" ht="75" customHeight="1">
      <c r="A211" s="4" t="n">
        <v>207</v>
      </c>
      <c r="B211" s="4" t="inlineStr">
        <is>
          <t>Takeyama Co., Ltd.</t>
        </is>
      </c>
      <c r="C211" s="4" t="inlineStr">
        <is>
          <t>株式会社竹山</t>
        </is>
      </c>
      <c r="D211" s="4" t="inlineStr">
        <is>
          <t>Not found (NTA lookup blocked; dedupe by Japanese name)</t>
        </is>
      </c>
      <c r="E211" s="4" t="inlineStr">
        <is>
          <t>Hokkaido</t>
        </is>
      </c>
      <c r="F211" s="4" t="inlineStr">
        <is>
          <t>Tohoku and Hokkaido</t>
        </is>
      </c>
      <c r="G211" s="5" t="inlineStr">
        <is>
          <t>https://www.takeyama.co.jp/</t>
        </is>
      </c>
      <c r="H211" s="4" t="inlineStr">
        <is>
          <t>Human device sales licences; 動物用 licence not confirmed</t>
        </is>
      </c>
      <c r="I211" s="4" t="inlineStr">
        <is>
          <t>Human multi brand lines (ultrasound brands not confirmed)</t>
        </is>
      </c>
      <c r="J211" s="4" t="inlineStr">
        <is>
          <t>Companion</t>
        </is>
      </c>
      <c r="K211" s="4" t="inlineStr">
        <is>
          <t>Hokkaido</t>
        </is>
      </c>
      <c r="L211" s="4" t="inlineStr">
        <is>
          <t>Not found</t>
        </is>
      </c>
      <c r="M211" s="4" t="inlineStr">
        <is>
          <t>n/a</t>
        </is>
      </c>
      <c r="N211" s="4" t="inlineStr">
        <is>
          <t>Not identified</t>
        </is>
      </c>
      <c r="O211" s="4" t="inlineStr">
        <is>
          <t>Not identified</t>
        </is>
      </c>
      <c r="P211" s="4" t="inlineStr">
        <is>
          <t>Not published; phone only</t>
        </is>
      </c>
      <c r="Q211" s="4" t="inlineStr">
        <is>
          <t>011 611 0100</t>
        </is>
      </c>
      <c r="R211" s="4" t="inlineStr">
        <is>
          <t>Not identified</t>
        </is>
      </c>
      <c r="S211" s="4" t="inlineStr">
        <is>
          <t>Company inquiry only (form); parent ほくやく・竹山ホールディングス</t>
        </is>
      </c>
      <c r="T211" s="6">
        <f>SUM(Z211:AF211)</f>
        <v>17</v>
      </c>
      <c r="U211" s="10" t="inlineStr">
        <is>
          <t>V4</t>
        </is>
      </c>
      <c r="V211" s="4" t="inlineStr">
        <is>
          <t>QUALIFY FIRST: animal hospital sales not confirmed in sources. Sapporo medical and dental device wholesaler with branches across Hokkaido.</t>
        </is>
      </c>
      <c r="W211" s="4" t="inlineStr">
        <is>
          <t>Open by asking whether they serve animal hospitals today; if yes, offer a vet line with no overlap to their human ultrasound brands.</t>
        </is>
      </c>
      <c r="X211" s="4" t="inlineStr">
        <is>
          <t>Not checked (human list not in v17)</t>
        </is>
      </c>
      <c r="Y211" s="4" t="inlineStr">
        <is>
          <t>https://www.nikkei.com/compass/company/qXdeUEKA1xdNAfnfizWWaB ; https://townpage.goo.ne.jp/shopdetail.php?matomeid=019388011000000899</t>
        </is>
      </c>
      <c r="Z211" s="4" t="n">
        <v>2</v>
      </c>
      <c r="AA211" s="4" t="n">
        <v>3</v>
      </c>
      <c r="AB211" s="4" t="n">
        <v>3</v>
      </c>
      <c r="AC211" s="4" t="n">
        <v>2</v>
      </c>
      <c r="AD211" s="4" t="n">
        <v>1</v>
      </c>
      <c r="AE211" s="4" t="n">
        <v>4</v>
      </c>
      <c r="AF211" s="4" t="n">
        <v>2</v>
      </c>
      <c r="AG211" s="11" t="inlineStr">
        <is>
          <t>Qualify first</t>
        </is>
      </c>
    </row>
    <row r="212" ht="75" customHeight="1">
      <c r="A212" s="4" t="n">
        <v>208</v>
      </c>
      <c r="B212" s="4" t="inlineStr">
        <is>
          <t>Tohoku Iryo Kiki Co., Ltd.</t>
        </is>
      </c>
      <c r="C212" s="4" t="inlineStr">
        <is>
          <t>東北医療機器株式会社</t>
        </is>
      </c>
      <c r="D212" s="4" t="inlineStr">
        <is>
          <t>Not found (NTA lookup blocked; dedupe by Japanese name)</t>
        </is>
      </c>
      <c r="E212" s="4" t="inlineStr">
        <is>
          <t>Yamagata</t>
        </is>
      </c>
      <c r="F212" s="4" t="inlineStr">
        <is>
          <t>Tohoku and Hokkaido</t>
        </is>
      </c>
      <c r="G212" s="5" t="inlineStr">
        <is>
          <t>https://www.tohoku-tmt.com/</t>
        </is>
      </c>
      <c r="H212" s="4" t="inlineStr">
        <is>
          <t>Human device sales licences; 動物用 licence not confirmed</t>
        </is>
      </c>
      <c r="I212" s="4" t="inlineStr">
        <is>
          <t>Human multi brand lines (ultrasound brands not confirmed)</t>
        </is>
      </c>
      <c r="J212" s="4" t="inlineStr">
        <is>
          <t>Companion</t>
        </is>
      </c>
      <c r="K212" s="4" t="inlineStr">
        <is>
          <t>Yamagata and Tohoku</t>
        </is>
      </c>
      <c r="L212" s="4" t="inlineStr">
        <is>
          <t>Not found</t>
        </is>
      </c>
      <c r="M212" s="4" t="inlineStr">
        <is>
          <t>n/a</t>
        </is>
      </c>
      <c r="N212" s="4" t="inlineStr">
        <is>
          <t>Not identified</t>
        </is>
      </c>
      <c r="O212" s="4" t="inlineStr">
        <is>
          <t>Not identified</t>
        </is>
      </c>
      <c r="P212" s="4" t="inlineStr">
        <is>
          <t>Not published; phone only</t>
        </is>
      </c>
      <c r="Q212" s="4" t="inlineStr">
        <is>
          <t>023 688 7173</t>
        </is>
      </c>
      <c r="R212" s="4" t="inlineStr">
        <is>
          <t>Not identified</t>
        </is>
      </c>
      <c r="S212" s="4" t="inlineStr">
        <is>
          <t>Company inquiry only (phone)</t>
        </is>
      </c>
      <c r="T212" s="6">
        <f>SUM(Z212:AF212)</f>
        <v>17</v>
      </c>
      <c r="U212" s="10" t="inlineStr">
        <is>
          <t>V4</t>
        </is>
      </c>
      <c r="V212" s="4" t="inlineStr">
        <is>
          <t>QUALIFY FIRST: animal hospital sales not confirmed in sources. Device sales with technical service for devices.</t>
        </is>
      </c>
      <c r="W212" s="4" t="inlineStr">
        <is>
          <t>Open by asking whether they serve animal hospitals today; if yes, offer a vet line with no overlap to their human ultrasound brands.</t>
        </is>
      </c>
      <c r="X212" s="4" t="inlineStr">
        <is>
          <t>Not checked (human list not in v17)</t>
        </is>
      </c>
      <c r="Y212" s="4" t="inlineStr">
        <is>
          <t>https://www.tohoku-tmt.com/about/index.html</t>
        </is>
      </c>
      <c r="Z212" s="4" t="n">
        <v>2</v>
      </c>
      <c r="AA212" s="4" t="n">
        <v>3</v>
      </c>
      <c r="AB212" s="4" t="n">
        <v>3</v>
      </c>
      <c r="AC212" s="4" t="n">
        <v>2</v>
      </c>
      <c r="AD212" s="4" t="n">
        <v>1</v>
      </c>
      <c r="AE212" s="4" t="n">
        <v>4</v>
      </c>
      <c r="AF212" s="4" t="n">
        <v>2</v>
      </c>
      <c r="AG212" s="11" t="inlineStr">
        <is>
          <t>Qualify first</t>
        </is>
      </c>
    </row>
    <row r="213" ht="75" customHeight="1">
      <c r="A213" s="4" t="n">
        <v>209</v>
      </c>
      <c r="B213" s="4" t="inlineStr">
        <is>
          <t>Tosei Medical Co., Ltd.</t>
        </is>
      </c>
      <c r="C213" s="4" t="inlineStr">
        <is>
          <t>トーセイメディカル株式会社</t>
        </is>
      </c>
      <c r="D213" s="4" t="inlineStr">
        <is>
          <t>Not found (NTA lookup blocked; dedupe by Japanese name)</t>
        </is>
      </c>
      <c r="E213" s="4" t="inlineStr">
        <is>
          <t>Iwate</t>
        </is>
      </c>
      <c r="F213" s="4" t="inlineStr">
        <is>
          <t>Tohoku and Hokkaido</t>
        </is>
      </c>
      <c r="G213" s="4" t="inlineStr">
        <is>
          <t>Not found</t>
        </is>
      </c>
      <c r="H213" s="4" t="inlineStr">
        <is>
          <t>Human device sales licences; 動物用 licence not confirmed</t>
        </is>
      </c>
      <c r="I213" s="4" t="inlineStr">
        <is>
          <t>Human multi brand lines (ultrasound brands not confirmed)</t>
        </is>
      </c>
      <c r="J213" s="4" t="inlineStr">
        <is>
          <t>Companion</t>
        </is>
      </c>
      <c r="K213" s="4" t="inlineStr">
        <is>
          <t>Iwate</t>
        </is>
      </c>
      <c r="L213" s="4" t="inlineStr">
        <is>
          <t>Not found</t>
        </is>
      </c>
      <c r="M213" s="4" t="inlineStr">
        <is>
          <t>n/a</t>
        </is>
      </c>
      <c r="N213" s="4" t="inlineStr">
        <is>
          <t>Not identified</t>
        </is>
      </c>
      <c r="O213" s="4" t="inlineStr">
        <is>
          <t>Not identified</t>
        </is>
      </c>
      <c r="P213" s="4" t="inlineStr">
        <is>
          <t>Not searched (search budget)</t>
        </is>
      </c>
      <c r="Q213" s="4" t="inlineStr">
        <is>
          <t>Not found (use site)</t>
        </is>
      </c>
      <c r="R213" s="4" t="inlineStr">
        <is>
          <t>Not identified</t>
        </is>
      </c>
      <c r="S213" s="4" t="inlineStr">
        <is>
          <t>Unverified</t>
        </is>
      </c>
      <c r="T213" s="6">
        <f>SUM(Z213:AF213)</f>
        <v>17</v>
      </c>
      <c r="U213" s="10" t="inlineStr">
        <is>
          <t>V4</t>
        </is>
      </c>
      <c r="V213" s="4" t="inlineStr">
        <is>
          <t>QUALIFY FIRST: animal hospital sales not confirmed in sources. Iwate device dealers association member.</t>
        </is>
      </c>
      <c r="W213" s="4" t="inlineStr">
        <is>
          <t>Open by asking whether they serve animal hospitals today; if yes, offer a vet line with no overlap to their human ultrasound brands.</t>
        </is>
      </c>
      <c r="X213" s="4" t="inlineStr">
        <is>
          <t>Not checked (human list not in v17)</t>
        </is>
      </c>
      <c r="Y213" s="4" t="inlineStr">
        <is>
          <t>https://tohoku-ikihan.com/memberlist_category/iwate/</t>
        </is>
      </c>
      <c r="Z213" s="4" t="n">
        <v>2</v>
      </c>
      <c r="AA213" s="4" t="n">
        <v>3</v>
      </c>
      <c r="AB213" s="4" t="n">
        <v>3</v>
      </c>
      <c r="AC213" s="4" t="n">
        <v>2</v>
      </c>
      <c r="AD213" s="4" t="n">
        <v>1</v>
      </c>
      <c r="AE213" s="4" t="n">
        <v>4</v>
      </c>
      <c r="AF213" s="4" t="n">
        <v>2</v>
      </c>
      <c r="AG213" s="11" t="inlineStr">
        <is>
          <t>Qualify first</t>
        </is>
      </c>
    </row>
    <row r="214" ht="75" customHeight="1">
      <c r="A214" s="4" t="n">
        <v>210</v>
      </c>
      <c r="B214" s="4" t="inlineStr">
        <is>
          <t>Hokkaido Animal Medical Center (Kushiro)</t>
        </is>
      </c>
      <c r="C214" s="4" t="inlineStr">
        <is>
          <t>北海道アニマルメディカルセンター 釧路動物病院</t>
        </is>
      </c>
      <c r="D214" s="4" t="inlineStr">
        <is>
          <t>Not found (NTA lookup blocked; dedupe by Japanese name)</t>
        </is>
      </c>
      <c r="E214" s="4" t="inlineStr">
        <is>
          <t>Hokkaido</t>
        </is>
      </c>
      <c r="F214" s="4" t="inlineStr">
        <is>
          <t>Tohoku and Hokkaido</t>
        </is>
      </c>
      <c r="G214" s="5" t="inlineStr">
        <is>
          <t>https://www.hamc-kah.com/</t>
        </is>
      </c>
      <c r="H214" s="4" t="inlineStr">
        <is>
          <t>End user (animal hospital group)</t>
        </is>
      </c>
      <c r="I214" s="4" t="inlineStr">
        <is>
          <t>Not identified</t>
        </is>
      </c>
      <c r="J214" s="4" t="inlineStr">
        <is>
          <t>Both</t>
        </is>
      </c>
      <c r="K214" s="4" t="inlineStr">
        <is>
          <t>East Hokkaido</t>
        </is>
      </c>
      <c r="L214" s="4" t="inlineStr">
        <is>
          <t>Not found</t>
        </is>
      </c>
      <c r="M214" s="4" t="inlineStr">
        <is>
          <t>Centre plus research unit</t>
        </is>
      </c>
      <c r="N214" s="4" t="inlineStr">
        <is>
          <t>Not identified</t>
        </is>
      </c>
      <c r="O214" s="4" t="inlineStr">
        <is>
          <t>Not identified</t>
        </is>
      </c>
      <c r="P214" s="4" t="inlineStr">
        <is>
          <t>Not published; phone only</t>
        </is>
      </c>
      <c r="Q214" s="4" t="inlineStr">
        <is>
          <t>0154 23 1122</t>
        </is>
      </c>
      <c r="R214" s="4" t="inlineStr">
        <is>
          <t>Not identified</t>
        </is>
      </c>
      <c r="S214" s="4" t="inlineStr">
        <is>
          <t>Company inquiry only (phone)</t>
        </is>
      </c>
      <c r="T214" s="6">
        <f>SUM(Z214:AF214)</f>
        <v>20</v>
      </c>
      <c r="U214" s="12" t="inlineStr">
        <is>
          <t>V5</t>
        </is>
      </c>
      <c r="V214" s="4" t="inlineStr">
        <is>
          <t>Kushiro referral centre with research arm; East Hokkaido has mixed practice demand.</t>
        </is>
      </c>
      <c r="W214" s="4" t="inlineStr">
        <is>
          <t>Fleet evaluation: 30 day placement in two sites, then a group standard.</t>
        </is>
      </c>
      <c r="X214" s="4" t="inlineStr">
        <is>
          <t>Not checked (human list not in v17)</t>
        </is>
      </c>
      <c r="Y214" s="4" t="inlineStr">
        <is>
          <t>https://www.hamc-kah.com/ ; https://www.hamc-kah.com/info_sc/time.cgi</t>
        </is>
      </c>
      <c r="Z214" s="4" t="n">
        <v>1</v>
      </c>
      <c r="AA214" s="4" t="n">
        <v>4</v>
      </c>
      <c r="AB214" s="4" t="n">
        <v>3</v>
      </c>
      <c r="AC214" s="4" t="n">
        <v>5</v>
      </c>
      <c r="AD214" s="4" t="n">
        <v>3</v>
      </c>
      <c r="AE214" s="4" t="n">
        <v>1</v>
      </c>
      <c r="AF214" s="4" t="n">
        <v>3</v>
      </c>
      <c r="AG214" s="4" t="inlineStr">
        <is>
          <t>Evidence backed</t>
        </is>
      </c>
    </row>
    <row r="215" ht="75" customHeight="1">
      <c r="A215" s="4" t="n">
        <v>211</v>
      </c>
      <c r="B215" s="4" t="inlineStr">
        <is>
          <t>Homma Veterinary Clinic Group</t>
        </is>
      </c>
      <c r="C215" s="4" t="inlineStr">
        <is>
          <t>本間獣医科医院グループ</t>
        </is>
      </c>
      <c r="D215" s="4" t="inlineStr">
        <is>
          <t>Not found (NTA lookup blocked; dedupe by Japanese name)</t>
        </is>
      </c>
      <c r="E215" s="4" t="inlineStr">
        <is>
          <t>Shizuoka</t>
        </is>
      </c>
      <c r="F215" s="4" t="inlineStr">
        <is>
          <t>Chubu</t>
        </is>
      </c>
      <c r="G215" s="4" t="inlineStr">
        <is>
          <t>Not found</t>
        </is>
      </c>
      <c r="H215" s="4" t="inlineStr">
        <is>
          <t>End user (animal hospital group)</t>
        </is>
      </c>
      <c r="I215" s="4" t="inlineStr">
        <is>
          <t>Not identified</t>
        </is>
      </c>
      <c r="J215" s="4" t="inlineStr">
        <is>
          <t>Companion</t>
        </is>
      </c>
      <c r="K215" s="4" t="inlineStr">
        <is>
          <t>Shizuoka and overseas</t>
        </is>
      </c>
      <c r="L215" s="4" t="inlineStr">
        <is>
          <t>Not found</t>
        </is>
      </c>
      <c r="M215" s="4" t="inlineStr">
        <is>
          <t>40 (AHHD 2021)</t>
        </is>
      </c>
      <c r="N215" s="4" t="inlineStr">
        <is>
          <t>Not identified</t>
        </is>
      </c>
      <c r="O215" s="4" t="inlineStr">
        <is>
          <t>Not identified</t>
        </is>
      </c>
      <c r="P215" s="4" t="inlineStr">
        <is>
          <t>Not published; phone only</t>
        </is>
      </c>
      <c r="Q215" s="4" t="inlineStr">
        <is>
          <t>0538 35 9911 (Iwata main hospital)</t>
        </is>
      </c>
      <c r="R215" s="4" t="inlineStr">
        <is>
          <t>Not identified</t>
        </is>
      </c>
      <c r="S215" s="4" t="inlineStr">
        <is>
          <t>Company inquiry only (phone); FLAG renamed DCC動物病院 in 2024</t>
        </is>
      </c>
      <c r="T215" s="6">
        <f>SUM(Z215:AF215)</f>
        <v>18</v>
      </c>
      <c r="U215" s="12" t="inlineStr">
        <is>
          <t>V5</t>
        </is>
      </c>
      <c r="V215" s="4" t="inlineStr">
        <is>
          <t>Ranked second by hospital count in 2021 with 40 sites. FLAG: Operating entity and current count not confirmed.</t>
        </is>
      </c>
      <c r="W215" s="4" t="inlineStr">
        <is>
          <t>Fleet evaluation: 30 day placement in two sites, then a group standard.</t>
        </is>
      </c>
      <c r="X215" s="4" t="inlineStr">
        <is>
          <t>Not checked (human list not in v17)</t>
        </is>
      </c>
      <c r="Y215" s="4" t="inlineStr">
        <is>
          <t>https://ahhd.jp/I0000003 ; https://dccpets.jp/clinictop/dcc-shimizutorisaka/</t>
        </is>
      </c>
      <c r="Z215" s="4" t="n">
        <v>1</v>
      </c>
      <c r="AA215" s="4" t="n">
        <v>4</v>
      </c>
      <c r="AB215" s="4" t="n">
        <v>3</v>
      </c>
      <c r="AC215" s="4" t="n">
        <v>5</v>
      </c>
      <c r="AD215" s="4" t="n">
        <v>1</v>
      </c>
      <c r="AE215" s="4" t="n">
        <v>1</v>
      </c>
      <c r="AF215" s="4" t="n">
        <v>3</v>
      </c>
      <c r="AG215" s="4" t="inlineStr">
        <is>
          <t>Evidence backed</t>
        </is>
      </c>
    </row>
    <row r="216" ht="75" customHeight="1">
      <c r="A216" s="4" t="n">
        <v>212</v>
      </c>
      <c r="B216" s="4" t="inlineStr">
        <is>
          <t>NOSAI Niigata</t>
        </is>
      </c>
      <c r="C216" s="4" t="inlineStr">
        <is>
          <t>新潟県農業共済組合</t>
        </is>
      </c>
      <c r="D216" s="4" t="inlineStr">
        <is>
          <t>Not found (NTA lookup blocked; dedupe by Japanese name)</t>
        </is>
      </c>
      <c r="E216" s="4" t="inlineStr">
        <is>
          <t>Niigata</t>
        </is>
      </c>
      <c r="F216" s="4" t="inlineStr">
        <is>
          <t>Chubu</t>
        </is>
      </c>
      <c r="G216" s="5" t="inlineStr">
        <is>
          <t>https://www.nosai-niigata.or.jp/</t>
        </is>
      </c>
      <c r="H216" s="4" t="inlineStr">
        <is>
          <t>End user (livestock clinic network)</t>
        </is>
      </c>
      <c r="I216" s="4" t="inlineStr">
        <is>
          <t>Not identified</t>
        </is>
      </c>
      <c r="J216" s="4" t="inlineStr">
        <is>
          <t>Large animal</t>
        </is>
      </c>
      <c r="K216" s="4" t="inlineStr">
        <is>
          <t>Niigata livestock clinics</t>
        </is>
      </c>
      <c r="L216" s="4" t="inlineStr">
        <is>
          <t>Not found</t>
        </is>
      </c>
      <c r="M216" s="4" t="inlineStr">
        <is>
          <t>Livestock clinics (count not confirmed)</t>
        </is>
      </c>
      <c r="N216" s="4" t="inlineStr">
        <is>
          <t>Not identified</t>
        </is>
      </c>
      <c r="O216" s="4" t="inlineStr">
        <is>
          <t>Not identified</t>
        </is>
      </c>
      <c r="P216" s="4" t="inlineStr">
        <is>
          <t>honsho@nosai-nc.or.jp</t>
        </is>
      </c>
      <c r="Q216" s="4" t="inlineStr">
        <is>
          <t>025 288 6888</t>
        </is>
      </c>
      <c r="R216" s="4" t="inlineStr">
        <is>
          <t>Not identified</t>
        </is>
      </c>
      <c r="S216" s="4" t="inlineStr">
        <is>
          <t>Likely (third party listing); legacy pre merger domain, may be inactive</t>
        </is>
      </c>
      <c r="T216" s="6">
        <f>SUM(Z216:AF216)</f>
        <v>18</v>
      </c>
      <c r="U216" s="12" t="inlineStr">
        <is>
          <t>V5</t>
        </is>
      </c>
      <c r="V216" s="4" t="inlineStr">
        <is>
          <t>Niigata dairy and beef.</t>
        </is>
      </c>
      <c r="W216" s="4" t="inlineStr">
        <is>
          <t>Field trial of a rugged livestock portable (EBit 50) with clinic vets during pregnancy checks.</t>
        </is>
      </c>
      <c r="X216" s="4" t="inlineStr">
        <is>
          <t>Not checked (human list not in v17)</t>
        </is>
      </c>
      <c r="Y216" s="4" t="inlineStr">
        <is>
          <t>https://www.nosai.or.jp/nosai_kasou/nosai_kakuchi01.html ; http://www.nosai-nc.or.jp/gaiyou.html</t>
        </is>
      </c>
      <c r="Z216" s="4" t="n">
        <v>1</v>
      </c>
      <c r="AA216" s="4" t="n">
        <v>4</v>
      </c>
      <c r="AB216" s="4" t="n">
        <v>3</v>
      </c>
      <c r="AC216" s="4" t="n">
        <v>1</v>
      </c>
      <c r="AD216" s="4" t="n">
        <v>5</v>
      </c>
      <c r="AE216" s="4" t="n">
        <v>1</v>
      </c>
      <c r="AF216" s="4" t="n">
        <v>3</v>
      </c>
      <c r="AG216" s="4" t="inlineStr">
        <is>
          <t>Evidence backed</t>
        </is>
      </c>
    </row>
    <row r="217" ht="75" customHeight="1">
      <c r="A217" s="4" t="n">
        <v>213</v>
      </c>
      <c r="B217" s="4" t="inlineStr">
        <is>
          <t>NOSAI Hiroshima</t>
        </is>
      </c>
      <c r="C217" s="4" t="inlineStr">
        <is>
          <t>広島県農業共済組合</t>
        </is>
      </c>
      <c r="D217" s="4" t="inlineStr">
        <is>
          <t>Not found (NTA lookup blocked; dedupe by Japanese name)</t>
        </is>
      </c>
      <c r="E217" s="4" t="inlineStr">
        <is>
          <t>Hiroshima</t>
        </is>
      </c>
      <c r="F217" s="4" t="inlineStr">
        <is>
          <t>Chugoku and Shikoku</t>
        </is>
      </c>
      <c r="G217" s="5" t="inlineStr">
        <is>
          <t>https://nosai-hiroshima.or.jp</t>
        </is>
      </c>
      <c r="H217" s="4" t="inlineStr">
        <is>
          <t>End user (livestock clinic network)</t>
        </is>
      </c>
      <c r="I217" s="4" t="inlineStr">
        <is>
          <t>Not identified</t>
        </is>
      </c>
      <c r="J217" s="4" t="inlineStr">
        <is>
          <t>Large animal</t>
        </is>
      </c>
      <c r="K217" s="4" t="inlineStr">
        <is>
          <t>Hiroshima livestock clinics</t>
        </is>
      </c>
      <c r="L217" s="4" t="inlineStr">
        <is>
          <t>Not found</t>
        </is>
      </c>
      <c r="M217" s="4" t="inlineStr">
        <is>
          <t>5 livestock clinics plus clinical training centre</t>
        </is>
      </c>
      <c r="N217" s="4" t="inlineStr">
        <is>
          <t>Not identified</t>
        </is>
      </c>
      <c r="O217" s="4" t="inlineStr">
        <is>
          <t>Not identified</t>
        </is>
      </c>
      <c r="P217" s="4" t="inlineStr">
        <is>
          <t>Not published; phone only</t>
        </is>
      </c>
      <c r="Q217" s="4" t="inlineStr">
        <is>
          <t>082 262 4711</t>
        </is>
      </c>
      <c r="R217" s="4" t="inlineStr">
        <is>
          <t>Not identified</t>
        </is>
      </c>
      <c r="S217" s="4" t="inlineStr">
        <is>
          <t>Company inquiry only (phone)</t>
        </is>
      </c>
      <c r="T217" s="6">
        <f>SUM(Z217:AF217)</f>
        <v>18</v>
      </c>
      <c r="U217" s="12" t="inlineStr">
        <is>
          <t>V5</t>
        </is>
      </c>
      <c r="V217" s="4" t="inlineStr">
        <is>
          <t>Clinical training centre in Higashi Hiroshima.</t>
        </is>
      </c>
      <c r="W217" s="4" t="inlineStr">
        <is>
          <t>Field trial of a rugged livestock portable (EBit 50) with clinic vets during pregnancy checks.</t>
        </is>
      </c>
      <c r="X217" s="4" t="inlineStr">
        <is>
          <t>Not checked (human list not in v17)</t>
        </is>
      </c>
      <c r="Y217" s="4" t="inlineStr">
        <is>
          <t>https://nosai-hiroshima.or.jp/access-kachiku/ ; https://www.maff.go.jp/j/keiei/nogyohoken/contact.html</t>
        </is>
      </c>
      <c r="Z217" s="4" t="n">
        <v>1</v>
      </c>
      <c r="AA217" s="4" t="n">
        <v>4</v>
      </c>
      <c r="AB217" s="4" t="n">
        <v>3</v>
      </c>
      <c r="AC217" s="4" t="n">
        <v>1</v>
      </c>
      <c r="AD217" s="4" t="n">
        <v>5</v>
      </c>
      <c r="AE217" s="4" t="n">
        <v>1</v>
      </c>
      <c r="AF217" s="4" t="n">
        <v>3</v>
      </c>
      <c r="AG217" s="4" t="inlineStr">
        <is>
          <t>Evidence backed</t>
        </is>
      </c>
    </row>
    <row r="218" ht="75" customHeight="1">
      <c r="A218" s="4" t="n">
        <v>214</v>
      </c>
      <c r="B218" s="4" t="inlineStr">
        <is>
          <t>NOSAI Kagawa</t>
        </is>
      </c>
      <c r="C218" s="4" t="inlineStr">
        <is>
          <t>香川県農業共済組合</t>
        </is>
      </c>
      <c r="D218" s="4" t="inlineStr">
        <is>
          <t>Not found (NTA lookup blocked; dedupe by Japanese name)</t>
        </is>
      </c>
      <c r="E218" s="4" t="inlineStr">
        <is>
          <t>Kagawa</t>
        </is>
      </c>
      <c r="F218" s="4" t="inlineStr">
        <is>
          <t>Chugoku and Shikoku</t>
        </is>
      </c>
      <c r="G218" s="4" t="inlineStr">
        <is>
          <t>Not found</t>
        </is>
      </c>
      <c r="H218" s="4" t="inlineStr">
        <is>
          <t>End user (livestock clinic network)</t>
        </is>
      </c>
      <c r="I218" s="4" t="inlineStr">
        <is>
          <t>Not identified</t>
        </is>
      </c>
      <c r="J218" s="4" t="inlineStr">
        <is>
          <t>Large animal</t>
        </is>
      </c>
      <c r="K218" s="4" t="inlineStr">
        <is>
          <t>Kagawa livestock clinics</t>
        </is>
      </c>
      <c r="L218" s="4" t="inlineStr">
        <is>
          <t>Not found</t>
        </is>
      </c>
      <c r="M218" s="4" t="inlineStr">
        <is>
          <t>Livestock clinics (count not confirmed)</t>
        </is>
      </c>
      <c r="N218" s="4" t="inlineStr">
        <is>
          <t>Not identified</t>
        </is>
      </c>
      <c r="O218" s="4" t="inlineStr">
        <is>
          <t>Not identified</t>
        </is>
      </c>
      <c r="P218" s="4" t="inlineStr">
        <is>
          <t>Not published; phone only</t>
        </is>
      </c>
      <c r="Q218" s="4" t="inlineStr">
        <is>
          <t>087 888 2121</t>
        </is>
      </c>
      <c r="R218" s="4" t="inlineStr">
        <is>
          <t>Not identified</t>
        </is>
      </c>
      <c r="S218" s="4" t="inlineStr">
        <is>
          <t>Company inquiry only (phone)</t>
        </is>
      </c>
      <c r="T218" s="6">
        <f>SUM(Z218:AF218)</f>
        <v>18</v>
      </c>
      <c r="U218" s="12" t="inlineStr">
        <is>
          <t>V5</t>
        </is>
      </c>
      <c r="V218" s="4" t="inlineStr">
        <is>
          <t>Kagawa dairy and beef (Olive beef) area.</t>
        </is>
      </c>
      <c r="W218" s="4" t="inlineStr">
        <is>
          <t>Field trial of a rugged livestock portable (EBit 50) with clinic vets during pregnancy checks.</t>
        </is>
      </c>
      <c r="X218" s="4" t="inlineStr">
        <is>
          <t>Not checked (human list not in v17)</t>
        </is>
      </c>
      <c r="Y218" s="4" t="inlineStr">
        <is>
          <t>https://www.nosai.or.jp/nosai_kasou/nosai_kakuchi01.html ; https://www.maff.go.jp/j/keiei/nogyohoken/contact.html</t>
        </is>
      </c>
      <c r="Z218" s="4" t="n">
        <v>1</v>
      </c>
      <c r="AA218" s="4" t="n">
        <v>4</v>
      </c>
      <c r="AB218" s="4" t="n">
        <v>3</v>
      </c>
      <c r="AC218" s="4" t="n">
        <v>1</v>
      </c>
      <c r="AD218" s="4" t="n">
        <v>5</v>
      </c>
      <c r="AE218" s="4" t="n">
        <v>1</v>
      </c>
      <c r="AF218" s="4" t="n">
        <v>3</v>
      </c>
      <c r="AG218" s="4" t="inlineStr">
        <is>
          <t>Evidence backed</t>
        </is>
      </c>
    </row>
    <row r="219" ht="75" customHeight="1">
      <c r="A219" s="4" t="n">
        <v>215</v>
      </c>
      <c r="B219" s="4" t="inlineStr">
        <is>
          <t>NOSAI Okayama</t>
        </is>
      </c>
      <c r="C219" s="4" t="inlineStr">
        <is>
          <t>岡山県農業共済組合</t>
        </is>
      </c>
      <c r="D219" s="4" t="inlineStr">
        <is>
          <t>Not found (NTA lookup blocked; dedupe by Japanese name)</t>
        </is>
      </c>
      <c r="E219" s="4" t="inlineStr">
        <is>
          <t>Okayama</t>
        </is>
      </c>
      <c r="F219" s="4" t="inlineStr">
        <is>
          <t>Chugoku and Shikoku</t>
        </is>
      </c>
      <c r="G219" s="5" t="inlineStr">
        <is>
          <t>https://www.ok-nosai.or.jp</t>
        </is>
      </c>
      <c r="H219" s="4" t="inlineStr">
        <is>
          <t>End user (livestock clinic network)</t>
        </is>
      </c>
      <c r="I219" s="4" t="inlineStr">
        <is>
          <t>Not identified</t>
        </is>
      </c>
      <c r="J219" s="4" t="inlineStr">
        <is>
          <t>Large animal</t>
        </is>
      </c>
      <c r="K219" s="4" t="inlineStr">
        <is>
          <t>Okayama livestock clinics</t>
        </is>
      </c>
      <c r="L219" s="4" t="inlineStr">
        <is>
          <t>Not found</t>
        </is>
      </c>
      <c r="M219" s="4" t="inlineStr">
        <is>
          <t>2 clinics, 2 satellites, production support centre</t>
        </is>
      </c>
      <c r="N219" s="4" t="inlineStr">
        <is>
          <t>Not identified</t>
        </is>
      </c>
      <c r="O219" s="4" t="inlineStr">
        <is>
          <t>Not identified</t>
        </is>
      </c>
      <c r="P219" s="4" t="inlineStr">
        <is>
          <t>nosai@ok-nosai.or.jp</t>
        </is>
      </c>
      <c r="Q219" s="4" t="inlineStr">
        <is>
          <t>086 224 5588</t>
        </is>
      </c>
      <c r="R219" s="4" t="inlineStr">
        <is>
          <t>Not identified</t>
        </is>
      </c>
      <c r="S219" s="4" t="inlineStr">
        <is>
          <t>Verified (published on own site, read via search)</t>
        </is>
      </c>
      <c r="T219" s="6">
        <f>SUM(Z219:AF219)</f>
        <v>18</v>
      </c>
      <c r="U219" s="12" t="inlineStr">
        <is>
          <t>V5</t>
        </is>
      </c>
      <c r="V219" s="4" t="inlineStr">
        <is>
          <t>Includes the Hiruzen dairy area.</t>
        </is>
      </c>
      <c r="W219" s="4" t="inlineStr">
        <is>
          <t>Field trial of a rugged livestock portable (EBit 50) with clinic vets during pregnancy checks.</t>
        </is>
      </c>
      <c r="X219" s="4" t="inlineStr">
        <is>
          <t>Not checked (human list not in v17)</t>
        </is>
      </c>
      <c r="Y219" s="4" t="inlineStr">
        <is>
          <t>https://www.ok-nosai.or.jp/office/livestock.html ; https://www.ok-nosai.or.jp/</t>
        </is>
      </c>
      <c r="Z219" s="4" t="n">
        <v>1</v>
      </c>
      <c r="AA219" s="4" t="n">
        <v>4</v>
      </c>
      <c r="AB219" s="4" t="n">
        <v>3</v>
      </c>
      <c r="AC219" s="4" t="n">
        <v>1</v>
      </c>
      <c r="AD219" s="4" t="n">
        <v>5</v>
      </c>
      <c r="AE219" s="4" t="n">
        <v>1</v>
      </c>
      <c r="AF219" s="4" t="n">
        <v>3</v>
      </c>
      <c r="AG219" s="4" t="inlineStr">
        <is>
          <t>Evidence backed</t>
        </is>
      </c>
    </row>
    <row r="220" ht="75" customHeight="1">
      <c r="A220" s="4" t="n">
        <v>216</v>
      </c>
      <c r="B220" s="4" t="inlineStr">
        <is>
          <t>NOSAI Shimane</t>
        </is>
      </c>
      <c r="C220" s="4" t="inlineStr">
        <is>
          <t>島根県農業共済組合</t>
        </is>
      </c>
      <c r="D220" s="4" t="inlineStr">
        <is>
          <t>Not found (NTA lookup blocked; dedupe by Japanese name)</t>
        </is>
      </c>
      <c r="E220" s="4" t="inlineStr">
        <is>
          <t>Shimane</t>
        </is>
      </c>
      <c r="F220" s="4" t="inlineStr">
        <is>
          <t>Chugoku and Shikoku</t>
        </is>
      </c>
      <c r="G220" s="4" t="inlineStr">
        <is>
          <t>Not found</t>
        </is>
      </c>
      <c r="H220" s="4" t="inlineStr">
        <is>
          <t>End user (livestock clinic network)</t>
        </is>
      </c>
      <c r="I220" s="4" t="inlineStr">
        <is>
          <t>Not identified</t>
        </is>
      </c>
      <c r="J220" s="4" t="inlineStr">
        <is>
          <t>Large animal</t>
        </is>
      </c>
      <c r="K220" s="4" t="inlineStr">
        <is>
          <t>Shimane livestock clinics</t>
        </is>
      </c>
      <c r="L220" s="4" t="inlineStr">
        <is>
          <t>Not found</t>
        </is>
      </c>
      <c r="M220" s="4" t="inlineStr">
        <is>
          <t>Livestock clinics (count not confirmed)</t>
        </is>
      </c>
      <c r="N220" s="4" t="inlineStr">
        <is>
          <t>Not identified</t>
        </is>
      </c>
      <c r="O220" s="4" t="inlineStr">
        <is>
          <t>Not identified</t>
        </is>
      </c>
      <c r="P220" s="4" t="inlineStr">
        <is>
          <t>Not published; phone only</t>
        </is>
      </c>
      <c r="Q220" s="4" t="inlineStr">
        <is>
          <t>0853 22 1478</t>
        </is>
      </c>
      <c r="R220" s="4" t="inlineStr">
        <is>
          <t>Not identified</t>
        </is>
      </c>
      <c r="S220" s="4" t="inlineStr">
        <is>
          <t>Company inquiry only (phone)</t>
        </is>
      </c>
      <c r="T220" s="6">
        <f>SUM(Z220:AF220)</f>
        <v>18</v>
      </c>
      <c r="U220" s="12" t="inlineStr">
        <is>
          <t>V5</t>
        </is>
      </c>
      <c r="V220" s="4" t="inlineStr">
        <is>
          <t>Shimane beef area (Oki, Unnan).</t>
        </is>
      </c>
      <c r="W220" s="4" t="inlineStr">
        <is>
          <t>Field trial of a rugged livestock portable (EBit 50) with clinic vets during pregnancy checks.</t>
        </is>
      </c>
      <c r="X220" s="4" t="inlineStr">
        <is>
          <t>Not checked (human list not in v17)</t>
        </is>
      </c>
      <c r="Y220" s="4" t="inlineStr">
        <is>
          <t>https://www.nosai.or.jp/nosai_kasou/nosai_kakuchi01.html ; https://www.maff.go.jp/j/keiei/nogyohoken/contact.html</t>
        </is>
      </c>
      <c r="Z220" s="4" t="n">
        <v>1</v>
      </c>
      <c r="AA220" s="4" t="n">
        <v>4</v>
      </c>
      <c r="AB220" s="4" t="n">
        <v>3</v>
      </c>
      <c r="AC220" s="4" t="n">
        <v>1</v>
      </c>
      <c r="AD220" s="4" t="n">
        <v>5</v>
      </c>
      <c r="AE220" s="4" t="n">
        <v>1</v>
      </c>
      <c r="AF220" s="4" t="n">
        <v>3</v>
      </c>
      <c r="AG220" s="4" t="inlineStr">
        <is>
          <t>Evidence backed</t>
        </is>
      </c>
    </row>
    <row r="221" ht="75" customHeight="1">
      <c r="A221" s="4" t="n">
        <v>217</v>
      </c>
      <c r="B221" s="4" t="inlineStr">
        <is>
          <t>NOSAI Tottori</t>
        </is>
      </c>
      <c r="C221" s="4" t="inlineStr">
        <is>
          <t>鳥取県農業共済組合</t>
        </is>
      </c>
      <c r="D221" s="4" t="inlineStr">
        <is>
          <t>Not found (NTA lookup blocked; dedupe by Japanese name)</t>
        </is>
      </c>
      <c r="E221" s="4" t="inlineStr">
        <is>
          <t>Tottori</t>
        </is>
      </c>
      <c r="F221" s="4" t="inlineStr">
        <is>
          <t>Chugoku and Shikoku</t>
        </is>
      </c>
      <c r="G221" s="4" t="inlineStr">
        <is>
          <t>Not found</t>
        </is>
      </c>
      <c r="H221" s="4" t="inlineStr">
        <is>
          <t>End user (livestock clinic network)</t>
        </is>
      </c>
      <c r="I221" s="4" t="inlineStr">
        <is>
          <t>Not identified</t>
        </is>
      </c>
      <c r="J221" s="4" t="inlineStr">
        <is>
          <t>Large animal</t>
        </is>
      </c>
      <c r="K221" s="4" t="inlineStr">
        <is>
          <t>Tottori livestock clinics</t>
        </is>
      </c>
      <c r="L221" s="4" t="inlineStr">
        <is>
          <t>Not found</t>
        </is>
      </c>
      <c r="M221" s="4" t="inlineStr">
        <is>
          <t>Livestock clinics (count not confirmed)</t>
        </is>
      </c>
      <c r="N221" s="4" t="inlineStr">
        <is>
          <t>Not identified</t>
        </is>
      </c>
      <c r="O221" s="4" t="inlineStr">
        <is>
          <t>Not identified</t>
        </is>
      </c>
      <c r="P221" s="4" t="inlineStr">
        <is>
          <t>Not published; phone only</t>
        </is>
      </c>
      <c r="Q221" s="4" t="inlineStr">
        <is>
          <t>0120 031 559</t>
        </is>
      </c>
      <c r="R221" s="4" t="inlineStr">
        <is>
          <t>Not identified</t>
        </is>
      </c>
      <c r="S221" s="4" t="inlineStr">
        <is>
          <t>Company inquiry only (phone)</t>
        </is>
      </c>
      <c r="T221" s="6">
        <f>SUM(Z221:AF221)</f>
        <v>18</v>
      </c>
      <c r="U221" s="12" t="inlineStr">
        <is>
          <t>V5</t>
        </is>
      </c>
      <c r="V221" s="4" t="inlineStr">
        <is>
          <t>Daisen dairy and beef area.</t>
        </is>
      </c>
      <c r="W221" s="4" t="inlineStr">
        <is>
          <t>Field trial of a rugged livestock portable (EBit 50) with clinic vets during pregnancy checks.</t>
        </is>
      </c>
      <c r="X221" s="4" t="inlineStr">
        <is>
          <t>Not checked (human list not in v17)</t>
        </is>
      </c>
      <c r="Y221" s="4" t="inlineStr">
        <is>
          <t>https://www.nosai.or.jp/nosai_kasou/nosai_kakuchi01.html ; https://www.maff.go.jp/j/keiei/nogyohoken/contact.html</t>
        </is>
      </c>
      <c r="Z221" s="4" t="n">
        <v>1</v>
      </c>
      <c r="AA221" s="4" t="n">
        <v>4</v>
      </c>
      <c r="AB221" s="4" t="n">
        <v>3</v>
      </c>
      <c r="AC221" s="4" t="n">
        <v>1</v>
      </c>
      <c r="AD221" s="4" t="n">
        <v>5</v>
      </c>
      <c r="AE221" s="4" t="n">
        <v>1</v>
      </c>
      <c r="AF221" s="4" t="n">
        <v>3</v>
      </c>
      <c r="AG221" s="4" t="inlineStr">
        <is>
          <t>Evidence backed</t>
        </is>
      </c>
    </row>
    <row r="222" ht="75" customHeight="1">
      <c r="A222" s="4" t="n">
        <v>218</v>
      </c>
      <c r="B222" s="4" t="inlineStr">
        <is>
          <t>NOSAI Yamaguchi</t>
        </is>
      </c>
      <c r="C222" s="4" t="inlineStr">
        <is>
          <t>山口県農業共済組合</t>
        </is>
      </c>
      <c r="D222" s="4" t="inlineStr">
        <is>
          <t>Not found (NTA lookup blocked; dedupe by Japanese name)</t>
        </is>
      </c>
      <c r="E222" s="4" t="inlineStr">
        <is>
          <t>Yamaguchi</t>
        </is>
      </c>
      <c r="F222" s="4" t="inlineStr">
        <is>
          <t>Chugoku and Shikoku</t>
        </is>
      </c>
      <c r="G222" s="5" t="inlineStr">
        <is>
          <t>https://ymgc-nosai.org</t>
        </is>
      </c>
      <c r="H222" s="4" t="inlineStr">
        <is>
          <t>End user (livestock clinic network)</t>
        </is>
      </c>
      <c r="I222" s="4" t="inlineStr">
        <is>
          <t>Not identified</t>
        </is>
      </c>
      <c r="J222" s="4" t="inlineStr">
        <is>
          <t>Large animal</t>
        </is>
      </c>
      <c r="K222" s="4" t="inlineStr">
        <is>
          <t>Yamaguchi livestock clinics</t>
        </is>
      </c>
      <c r="L222" s="4" t="inlineStr">
        <is>
          <t>Not found</t>
        </is>
      </c>
      <c r="M222" s="4" t="inlineStr">
        <is>
          <t>Multiple livestock clinics</t>
        </is>
      </c>
      <c r="N222" s="4" t="inlineStr">
        <is>
          <t>Not identified</t>
        </is>
      </c>
      <c r="O222" s="4" t="inlineStr">
        <is>
          <t>Not identified</t>
        </is>
      </c>
      <c r="P222" s="4" t="inlineStr">
        <is>
          <t>Not published; phone only</t>
        </is>
      </c>
      <c r="Q222" s="4" t="inlineStr">
        <is>
          <t>083 972 7500</t>
        </is>
      </c>
      <c r="R222" s="4" t="inlineStr">
        <is>
          <t>Not identified</t>
        </is>
      </c>
      <c r="S222" s="4" t="inlineStr">
        <is>
          <t>Company inquiry only (phone)</t>
        </is>
      </c>
      <c r="T222" s="6">
        <f>SUM(Z222:AF222)</f>
        <v>18</v>
      </c>
      <c r="U222" s="12" t="inlineStr">
        <is>
          <t>V5</t>
        </is>
      </c>
      <c r="V222" s="4" t="inlineStr">
        <is>
          <t>Published clinic network.</t>
        </is>
      </c>
      <c r="W222" s="4" t="inlineStr">
        <is>
          <t>Field trial of a rugged livestock portable (EBit 50) with clinic vets during pregnancy checks.</t>
        </is>
      </c>
      <c r="X222" s="4" t="inlineStr">
        <is>
          <t>Not checked (human list not in v17)</t>
        </is>
      </c>
      <c r="Y222" s="4" t="inlineStr">
        <is>
          <t>https://ymgc-nosai.org/cms/page106.html ; https://www.maff.go.jp/j/keiei/nogyohoken/contact.html</t>
        </is>
      </c>
      <c r="Z222" s="4" t="n">
        <v>1</v>
      </c>
      <c r="AA222" s="4" t="n">
        <v>4</v>
      </c>
      <c r="AB222" s="4" t="n">
        <v>3</v>
      </c>
      <c r="AC222" s="4" t="n">
        <v>1</v>
      </c>
      <c r="AD222" s="4" t="n">
        <v>5</v>
      </c>
      <c r="AE222" s="4" t="n">
        <v>1</v>
      </c>
      <c r="AF222" s="4" t="n">
        <v>3</v>
      </c>
      <c r="AG222" s="4" t="inlineStr">
        <is>
          <t>Evidence backed</t>
        </is>
      </c>
    </row>
    <row r="223" ht="75" customHeight="1">
      <c r="A223" s="4" t="n">
        <v>219</v>
      </c>
      <c r="B223" s="4" t="inlineStr">
        <is>
          <t>Okayama Animal Medical Center Group</t>
        </is>
      </c>
      <c r="C223" s="4" t="inlineStr">
        <is>
          <t>岡山動物医療センターグループ</t>
        </is>
      </c>
      <c r="D223" s="4" t="inlineStr">
        <is>
          <t>Not found (NTA lookup blocked; dedupe by Japanese name)</t>
        </is>
      </c>
      <c r="E223" s="4" t="inlineStr">
        <is>
          <t>Okayama</t>
        </is>
      </c>
      <c r="F223" s="4" t="inlineStr">
        <is>
          <t>Chugoku and Shikoku</t>
        </is>
      </c>
      <c r="G223" s="5" t="inlineStr">
        <is>
          <t>https://www.okayama-amc.com/</t>
        </is>
      </c>
      <c r="H223" s="4" t="inlineStr">
        <is>
          <t>End user (animal hospital group)</t>
        </is>
      </c>
      <c r="I223" s="4" t="inlineStr">
        <is>
          <t>Not identified</t>
        </is>
      </c>
      <c r="J223" s="4" t="inlineStr">
        <is>
          <t>Companion</t>
        </is>
      </c>
      <c r="K223" s="4" t="inlineStr">
        <is>
          <t>Okayama, Kurashiki, Takamatsu</t>
        </is>
      </c>
      <c r="L223" s="4" t="inlineStr">
        <is>
          <t>Not found</t>
        </is>
      </c>
      <c r="M223" s="4" t="inlineStr">
        <is>
          <t>5</t>
        </is>
      </c>
      <c r="N223" s="4" t="inlineStr">
        <is>
          <t>Not identified</t>
        </is>
      </c>
      <c r="O223" s="4" t="inlineStr">
        <is>
          <t>Not identified</t>
        </is>
      </c>
      <c r="P223" s="4" t="inlineStr">
        <is>
          <t>Not published; phone only</t>
        </is>
      </c>
      <c r="Q223" s="4" t="inlineStr">
        <is>
          <t>086 246 8100</t>
        </is>
      </c>
      <c r="R223" s="4" t="inlineStr">
        <is>
          <t>Not identified</t>
        </is>
      </c>
      <c r="S223" s="4" t="inlineStr">
        <is>
          <t>Company inquiry only (phone)</t>
        </is>
      </c>
      <c r="T223" s="6">
        <f>SUM(Z223:AF223)</f>
        <v>18</v>
      </c>
      <c r="U223" s="12" t="inlineStr">
        <is>
          <t>V5</t>
        </is>
      </c>
      <c r="V223" s="4" t="inlineStr">
        <is>
          <t>Five hospitals led by an advanced core hospital.</t>
        </is>
      </c>
      <c r="W223" s="4" t="inlineStr">
        <is>
          <t>Fleet evaluation: 30 day placement in two sites, then a group standard.</t>
        </is>
      </c>
      <c r="X223" s="4" t="inlineStr">
        <is>
          <t>Not checked (human list not in v17)</t>
        </is>
      </c>
      <c r="Y223" s="4" t="inlineStr">
        <is>
          <t>https://www.okayama-amc.com/</t>
        </is>
      </c>
      <c r="Z223" s="4" t="n">
        <v>1</v>
      </c>
      <c r="AA223" s="4" t="n">
        <v>4</v>
      </c>
      <c r="AB223" s="4" t="n">
        <v>3</v>
      </c>
      <c r="AC223" s="4" t="n">
        <v>5</v>
      </c>
      <c r="AD223" s="4" t="n">
        <v>1</v>
      </c>
      <c r="AE223" s="4" t="n">
        <v>1</v>
      </c>
      <c r="AF223" s="4" t="n">
        <v>3</v>
      </c>
      <c r="AG223" s="4" t="inlineStr">
        <is>
          <t>Evidence backed</t>
        </is>
      </c>
    </row>
    <row r="224" ht="75" customHeight="1">
      <c r="A224" s="4" t="n">
        <v>220</v>
      </c>
      <c r="B224" s="4" t="inlineStr">
        <is>
          <t>Doubutsu Byoin Kyoto Co., Ltd. (CUaRE)</t>
        </is>
      </c>
      <c r="C224" s="4" t="inlineStr">
        <is>
          <t>どうぶつ病院京都株式会社</t>
        </is>
      </c>
      <c r="D224" s="4" t="inlineStr">
        <is>
          <t>Not found (NTA lookup blocked; dedupe by Japanese name)</t>
        </is>
      </c>
      <c r="E224" s="4" t="inlineStr">
        <is>
          <t>Kyoto</t>
        </is>
      </c>
      <c r="F224" s="4" t="inlineStr">
        <is>
          <t>Kansai</t>
        </is>
      </c>
      <c r="G224" s="5" t="inlineStr">
        <is>
          <t>https://ahk-cuare.com/</t>
        </is>
      </c>
      <c r="H224" s="4" t="inlineStr">
        <is>
          <t>End user (animal hospital group)</t>
        </is>
      </c>
      <c r="I224" s="4" t="inlineStr">
        <is>
          <t>Not identified</t>
        </is>
      </c>
      <c r="J224" s="4" t="inlineStr">
        <is>
          <t>Companion</t>
        </is>
      </c>
      <c r="K224" s="4" t="inlineStr">
        <is>
          <t>Kyoto and Chiba</t>
        </is>
      </c>
      <c r="L224" s="4" t="inlineStr">
        <is>
          <t>Not found</t>
        </is>
      </c>
      <c r="M224" s="4" t="inlineStr">
        <is>
          <t>6</t>
        </is>
      </c>
      <c r="N224" s="4" t="inlineStr">
        <is>
          <t>Not identified</t>
        </is>
      </c>
      <c r="O224" s="4" t="inlineStr">
        <is>
          <t>Not identified</t>
        </is>
      </c>
      <c r="P224" s="4" t="inlineStr">
        <is>
          <t>info@cuareofficial.com</t>
        </is>
      </c>
      <c r="Q224" s="4" t="inlineStr">
        <is>
          <t>075 334 8122</t>
        </is>
      </c>
      <c r="R224" s="4" t="inlineStr">
        <is>
          <t>Not identified</t>
        </is>
      </c>
      <c r="S224" s="4" t="inlineStr">
        <is>
          <t>Verified (published on own site, read via search); product business page</t>
        </is>
      </c>
      <c r="T224" s="6">
        <f>SUM(Z224:AF224)</f>
        <v>18</v>
      </c>
      <c r="U224" s="12" t="inlineStr">
        <is>
          <t>V5</t>
        </is>
      </c>
      <c r="V224" s="4" t="inlineStr">
        <is>
          <t>Six hospitals plus four grooming salons.</t>
        </is>
      </c>
      <c r="W224" s="4" t="inlineStr">
        <is>
          <t>Fleet evaluation: 30 day placement in two sites, then a group standard.</t>
        </is>
      </c>
      <c r="X224" s="4" t="inlineStr">
        <is>
          <t>Not checked (human list not in v17)</t>
        </is>
      </c>
      <c r="Y224" s="4" t="inlineStr">
        <is>
          <t>https://ahk-cuare.com/ ; https://ahk-cuare.com/%E4%BA%8B%E6%A5%AD%E7%B4%B9%E4%BB%8B%E3%83%88%E3%83%83%E3%83%97/%E3%81%A9%E3%81%86%E3%81%B6%E3%81%A4%E7%97%85%E9%99%A2%E4%BA%AC%E9%83%BD%E3%82%B0%E3%83%AB%E3%83%BC%E3%83%97%E4%BA%8B%E6%A5%AD/product%E4%BA%8B%E6%A5%AD/</t>
        </is>
      </c>
      <c r="Z224" s="4" t="n">
        <v>1</v>
      </c>
      <c r="AA224" s="4" t="n">
        <v>4</v>
      </c>
      <c r="AB224" s="4" t="n">
        <v>3</v>
      </c>
      <c r="AC224" s="4" t="n">
        <v>5</v>
      </c>
      <c r="AD224" s="4" t="n">
        <v>1</v>
      </c>
      <c r="AE224" s="4" t="n">
        <v>1</v>
      </c>
      <c r="AF224" s="4" t="n">
        <v>3</v>
      </c>
      <c r="AG224" s="4" t="inlineStr">
        <is>
          <t>Evidence backed</t>
        </is>
      </c>
    </row>
    <row r="225" ht="75" customHeight="1">
      <c r="A225" s="4" t="n">
        <v>221</v>
      </c>
      <c r="B225" s="4" t="inlineStr">
        <is>
          <t>Elsa Animal Hospital Group (Elsa Kreis)</t>
        </is>
      </c>
      <c r="C225" s="4" t="inlineStr">
        <is>
          <t>エルザ動物病院グループ (株式会社エルザクライス)</t>
        </is>
      </c>
      <c r="D225" s="4" t="inlineStr">
        <is>
          <t>Not found (NTA lookup blocked; dedupe by Japanese name)</t>
        </is>
      </c>
      <c r="E225" s="4" t="inlineStr">
        <is>
          <t>Hyogo</t>
        </is>
      </c>
      <c r="F225" s="4" t="inlineStr">
        <is>
          <t>Kansai</t>
        </is>
      </c>
      <c r="G225" s="5" t="inlineStr">
        <is>
          <t>https://www.elsa-hp.com</t>
        </is>
      </c>
      <c r="H225" s="4" t="inlineStr">
        <is>
          <t>End user (animal hospital group)</t>
        </is>
      </c>
      <c r="I225" s="4" t="inlineStr">
        <is>
          <t>Not identified</t>
        </is>
      </c>
      <c r="J225" s="4" t="inlineStr">
        <is>
          <t>Companion</t>
        </is>
      </c>
      <c r="K225" s="4" t="inlineStr">
        <is>
          <t>Hyogo</t>
        </is>
      </c>
      <c r="L225" s="4" t="inlineStr">
        <is>
          <t>Not found</t>
        </is>
      </c>
      <c r="M225" s="4" t="inlineStr">
        <is>
          <t>8</t>
        </is>
      </c>
      <c r="N225" s="4" t="inlineStr">
        <is>
          <t>Not identified</t>
        </is>
      </c>
      <c r="O225" s="4" t="inlineStr">
        <is>
          <t>Not identified</t>
        </is>
      </c>
      <c r="P225" s="4" t="inlineStr">
        <is>
          <t>Not published; inquiry form: https://www.elsa-hp.com/contact/</t>
        </is>
      </c>
      <c r="Q225" s="4" t="inlineStr">
        <is>
          <t>079 297 8181</t>
        </is>
      </c>
      <c r="R225" s="4" t="inlineStr">
        <is>
          <t>Not identified</t>
        </is>
      </c>
      <c r="S225" s="4" t="inlineStr">
        <is>
          <t>Company inquiry only (form)</t>
        </is>
      </c>
      <c r="T225" s="6">
        <f>SUM(Z225:AF225)</f>
        <v>18</v>
      </c>
      <c r="U225" s="12" t="inlineStr">
        <is>
          <t>V5</t>
        </is>
      </c>
      <c r="V225" s="4" t="inlineStr">
        <is>
          <t>Eight hospital Hyogo group inside MiraiVets/JPAC. FLAG: Part of MiraiVets/JPAC.</t>
        </is>
      </c>
      <c r="W225" s="4" t="inlineStr">
        <is>
          <t>Fleet evaluation: 30 day placement in two sites, then a group standard.</t>
        </is>
      </c>
      <c r="X225" s="4" t="inlineStr">
        <is>
          <t>Not checked (human list not in v17)</t>
        </is>
      </c>
      <c r="Y225" s="4" t="inlineStr">
        <is>
          <t>https://www.kobe-np.co.jp/info/prtimes/202602/c170012_r8.shtml ; https://www.ondeck.jp/library/interview/20526 ; https://www.elsa-hp.com/contact/</t>
        </is>
      </c>
      <c r="Z225" s="4" t="n">
        <v>1</v>
      </c>
      <c r="AA225" s="4" t="n">
        <v>4</v>
      </c>
      <c r="AB225" s="4" t="n">
        <v>3</v>
      </c>
      <c r="AC225" s="4" t="n">
        <v>5</v>
      </c>
      <c r="AD225" s="4" t="n">
        <v>1</v>
      </c>
      <c r="AE225" s="4" t="n">
        <v>1</v>
      </c>
      <c r="AF225" s="4" t="n">
        <v>3</v>
      </c>
      <c r="AG225" s="4" t="inlineStr">
        <is>
          <t>Evidence backed</t>
        </is>
      </c>
    </row>
    <row r="226" ht="75" customHeight="1">
      <c r="A226" s="4" t="n">
        <v>222</v>
      </c>
      <c r="B226" s="4" t="inlineStr">
        <is>
          <t>Hazukikai Co., Ltd.</t>
        </is>
      </c>
      <c r="C226" s="4" t="inlineStr">
        <is>
          <t>株式会社葉月会</t>
        </is>
      </c>
      <c r="D226" s="4" t="inlineStr">
        <is>
          <t>Not found (NTA lookup blocked; dedupe by Japanese name)</t>
        </is>
      </c>
      <c r="E226" s="4" t="inlineStr">
        <is>
          <t>Osaka</t>
        </is>
      </c>
      <c r="F226" s="4" t="inlineStr">
        <is>
          <t>Kansai</t>
        </is>
      </c>
      <c r="G226" s="5" t="inlineStr">
        <is>
          <t>https://hadukikai.co.jp/</t>
        </is>
      </c>
      <c r="H226" s="4" t="inlineStr">
        <is>
          <t>End user (animal hospital group)</t>
        </is>
      </c>
      <c r="I226" s="4" t="inlineStr">
        <is>
          <t>Not identified</t>
        </is>
      </c>
      <c r="J226" s="4" t="inlineStr">
        <is>
          <t>Companion</t>
        </is>
      </c>
      <c r="K226" s="4" t="inlineStr">
        <is>
          <t>North Osaka and East Hyogo</t>
        </is>
      </c>
      <c r="L226" s="4" t="inlineStr">
        <is>
          <t>Not found</t>
        </is>
      </c>
      <c r="M226" s="4" t="inlineStr">
        <is>
          <t>100 plus participating hospitals</t>
        </is>
      </c>
      <c r="N226" s="4" t="inlineStr">
        <is>
          <t>Not identified</t>
        </is>
      </c>
      <c r="O226" s="4" t="inlineStr">
        <is>
          <t>Not identified</t>
        </is>
      </c>
      <c r="P226" s="4" t="inlineStr">
        <is>
          <t>Not published; phone only</t>
        </is>
      </c>
      <c r="Q226" s="4" t="inlineStr">
        <is>
          <t>072 730 8200</t>
        </is>
      </c>
      <c r="R226" s="4" t="inlineStr">
        <is>
          <t>Not identified</t>
        </is>
      </c>
      <c r="S226" s="4" t="inlineStr">
        <is>
          <t>Company inquiry only (phone)</t>
        </is>
      </c>
      <c r="T226" s="6">
        <f>SUM(Z226:AF226)</f>
        <v>18</v>
      </c>
      <c r="U226" s="12" t="inlineStr">
        <is>
          <t>V5</t>
        </is>
      </c>
      <c r="V226" s="4" t="inlineStr">
        <is>
          <t>Network of more than 100 animal hospitals in North Osaka and East Hyogo (Nishinomiya, Amagasaki, Takarazuka). FLAG: A cooperative network, not one owner; purchasing may be per hospital. HQ prefecture assumed Osaka.</t>
        </is>
      </c>
      <c r="W226" s="4" t="inlineStr">
        <is>
          <t>Fleet evaluation: 30 day placement in two sites, then a group standard.</t>
        </is>
      </c>
      <c r="X226" s="4" t="inlineStr">
        <is>
          <t>Not checked (human list not in v17)</t>
        </is>
      </c>
      <c r="Y226" s="4" t="inlineStr">
        <is>
          <t>https://hadukikai.co.jp/group_hosp/hyougo/ ; https://hadukikai.co.jp/info/</t>
        </is>
      </c>
      <c r="Z226" s="4" t="n">
        <v>1</v>
      </c>
      <c r="AA226" s="4" t="n">
        <v>4</v>
      </c>
      <c r="AB226" s="4" t="n">
        <v>3</v>
      </c>
      <c r="AC226" s="4" t="n">
        <v>5</v>
      </c>
      <c r="AD226" s="4" t="n">
        <v>1</v>
      </c>
      <c r="AE226" s="4" t="n">
        <v>1</v>
      </c>
      <c r="AF226" s="4" t="n">
        <v>3</v>
      </c>
      <c r="AG226" s="4" t="inlineStr">
        <is>
          <t>Evidence backed</t>
        </is>
      </c>
    </row>
    <row r="227" ht="75" customHeight="1">
      <c r="A227" s="4" t="n">
        <v>223</v>
      </c>
      <c r="B227" s="4" t="inlineStr">
        <is>
          <t>Junishikai Co., Ltd. (Osaka Night Emergency)</t>
        </is>
      </c>
      <c r="C227" s="4" t="inlineStr">
        <is>
          <t>株式会社十二志会</t>
        </is>
      </c>
      <c r="D227" s="4" t="inlineStr">
        <is>
          <t>Not found (NTA lookup blocked; dedupe by Japanese name)</t>
        </is>
      </c>
      <c r="E227" s="4" t="inlineStr">
        <is>
          <t>Osaka</t>
        </is>
      </c>
      <c r="F227" s="4" t="inlineStr">
        <is>
          <t>Kansai</t>
        </is>
      </c>
      <c r="G227" s="5" t="inlineStr">
        <is>
          <t>https://doubutsuyakan.jp</t>
        </is>
      </c>
      <c r="H227" s="4" t="inlineStr">
        <is>
          <t>End user (animal hospital group)</t>
        </is>
      </c>
      <c r="I227" s="4" t="inlineStr">
        <is>
          <t>Not identified</t>
        </is>
      </c>
      <c r="J227" s="4" t="inlineStr">
        <is>
          <t>Companion</t>
        </is>
      </c>
      <c r="K227" s="4" t="inlineStr">
        <is>
          <t>Osaka</t>
        </is>
      </c>
      <c r="L227" s="4" t="inlineStr">
        <is>
          <t>Not found</t>
        </is>
      </c>
      <c r="M227" s="4" t="inlineStr">
        <is>
          <t>Night ER owned by member hospitals</t>
        </is>
      </c>
      <c r="N227" s="4" t="inlineStr">
        <is>
          <t>Not identified</t>
        </is>
      </c>
      <c r="O227" s="4" t="inlineStr">
        <is>
          <t>Not identified</t>
        </is>
      </c>
      <c r="P227" s="4" t="inlineStr">
        <is>
          <t>Not published; phone only</t>
        </is>
      </c>
      <c r="Q227" s="4" t="inlineStr">
        <is>
          <t>06 4259 1212</t>
        </is>
      </c>
      <c r="R227" s="4" t="inlineStr">
        <is>
          <t>Not identified</t>
        </is>
      </c>
      <c r="S227" s="4" t="inlineStr">
        <is>
          <t>Company inquiry only (phone)</t>
        </is>
      </c>
      <c r="T227" s="6">
        <f>SUM(Z227:AF227)</f>
        <v>18</v>
      </c>
      <c r="U227" s="12" t="inlineStr">
        <is>
          <t>V5</t>
        </is>
      </c>
      <c r="V227" s="4" t="inlineStr">
        <is>
          <t>Shareholder hospitals jointly run Osaka's night emergency centre; ER is a point of care ultrasound use case.</t>
        </is>
      </c>
      <c r="W227" s="4" t="inlineStr">
        <is>
          <t>Fleet evaluation: 30 day placement in two sites, then a group standard.</t>
        </is>
      </c>
      <c r="X227" s="4" t="inlineStr">
        <is>
          <t>Not checked (human list not in v17)</t>
        </is>
      </c>
      <c r="Y227" s="4" t="inlineStr">
        <is>
          <t>https://doubutsuyakan.jp/about.html</t>
        </is>
      </c>
      <c r="Z227" s="4" t="n">
        <v>1</v>
      </c>
      <c r="AA227" s="4" t="n">
        <v>4</v>
      </c>
      <c r="AB227" s="4" t="n">
        <v>3</v>
      </c>
      <c r="AC227" s="4" t="n">
        <v>5</v>
      </c>
      <c r="AD227" s="4" t="n">
        <v>1</v>
      </c>
      <c r="AE227" s="4" t="n">
        <v>1</v>
      </c>
      <c r="AF227" s="4" t="n">
        <v>3</v>
      </c>
      <c r="AG227" s="4" t="inlineStr">
        <is>
          <t>Evidence backed</t>
        </is>
      </c>
    </row>
    <row r="228" ht="75" customHeight="1">
      <c r="A228" s="4" t="n">
        <v>224</v>
      </c>
      <c r="B228" s="4" t="inlineStr">
        <is>
          <t>WOLVES HAND Co., Ltd.</t>
        </is>
      </c>
      <c r="C228" s="4" t="inlineStr">
        <is>
          <t>株式会社WOLVES HAND</t>
        </is>
      </c>
      <c r="D228" s="4" t="inlineStr">
        <is>
          <t>Not found (NTA lookup blocked; dedupe by Japanese name)</t>
        </is>
      </c>
      <c r="E228" s="4" t="inlineStr">
        <is>
          <t>Osaka</t>
        </is>
      </c>
      <c r="F228" s="4" t="inlineStr">
        <is>
          <t>Kansai</t>
        </is>
      </c>
      <c r="G228" s="5" t="inlineStr">
        <is>
          <t>https://wolveshand.jp/</t>
        </is>
      </c>
      <c r="H228" s="4" t="inlineStr">
        <is>
          <t>End user (animal hospital group)</t>
        </is>
      </c>
      <c r="I228" s="4" t="inlineStr">
        <is>
          <t>Not identified</t>
        </is>
      </c>
      <c r="J228" s="4" t="inlineStr">
        <is>
          <t>Companion</t>
        </is>
      </c>
      <c r="K228" s="4" t="inlineStr">
        <is>
          <t>Kansai, Kanto, Okinawa</t>
        </is>
      </c>
      <c r="L228" s="4" t="inlineStr">
        <is>
          <t>Not found</t>
        </is>
      </c>
      <c r="M228" s="4" t="inlineStr">
        <is>
          <t>29 (AHHD 2021) incl. 9 in Osaka</t>
        </is>
      </c>
      <c r="N228" s="4" t="inlineStr">
        <is>
          <t>Not identified</t>
        </is>
      </c>
      <c r="O228" s="4" t="inlineStr">
        <is>
          <t>Not identified</t>
        </is>
      </c>
      <c r="P228" s="4" t="inlineStr">
        <is>
          <t>Not published; inquiry form: https://wolveshand.jp/ir/</t>
        </is>
      </c>
      <c r="Q228" s="4" t="inlineStr">
        <is>
          <t>06 6599 9106</t>
        </is>
      </c>
      <c r="R228" s="4" t="inlineStr">
        <is>
          <t>Not identified</t>
        </is>
      </c>
      <c r="S228" s="4" t="inlineStr">
        <is>
          <t>Company inquiry only (form)</t>
        </is>
      </c>
      <c r="T228" s="6">
        <f>SUM(Z228:AF228)</f>
        <v>18</v>
      </c>
      <c r="U228" s="12" t="inlineStr">
        <is>
          <t>V5</t>
        </is>
      </c>
      <c r="V228" s="4" t="inlineStr">
        <is>
          <t>Listed group (EDINET filer) with Osaka as its largest cluster.</t>
        </is>
      </c>
      <c r="W228" s="4" t="inlineStr">
        <is>
          <t>Fleet evaluation: 30 day placement in two sites, then a group standard.</t>
        </is>
      </c>
      <c r="X228" s="4" t="inlineStr">
        <is>
          <t>Not checked (human list not in v17)</t>
        </is>
      </c>
      <c r="Y228" s="4" t="inlineStr">
        <is>
          <t>https://ahhd.jp/I0000003 ; https://edinetdb.jp/company/E39640/text?fy=2024 ; https://wolveshand.jp/ir/</t>
        </is>
      </c>
      <c r="Z228" s="4" t="n">
        <v>1</v>
      </c>
      <c r="AA228" s="4" t="n">
        <v>4</v>
      </c>
      <c r="AB228" s="4" t="n">
        <v>3</v>
      </c>
      <c r="AC228" s="4" t="n">
        <v>5</v>
      </c>
      <c r="AD228" s="4" t="n">
        <v>1</v>
      </c>
      <c r="AE228" s="4" t="n">
        <v>1</v>
      </c>
      <c r="AF228" s="4" t="n">
        <v>3</v>
      </c>
      <c r="AG228" s="4" t="inlineStr">
        <is>
          <t>Evidence backed</t>
        </is>
      </c>
    </row>
    <row r="229" ht="75" customHeight="1">
      <c r="A229" s="4" t="n">
        <v>225</v>
      </c>
      <c r="B229" s="4" t="inlineStr">
        <is>
          <t>ALLONE Animal Hospital Group (FOR Inc.)</t>
        </is>
      </c>
      <c r="C229" s="4" t="inlineStr">
        <is>
          <t>ALLONE動物病院グループ (株式会社FOR)</t>
        </is>
      </c>
      <c r="D229" s="4" t="inlineStr">
        <is>
          <t>Not found (NTA lookup blocked; dedupe by Japanese name)</t>
        </is>
      </c>
      <c r="E229" s="4" t="inlineStr">
        <is>
          <t>Tokyo</t>
        </is>
      </c>
      <c r="F229" s="4" t="inlineStr">
        <is>
          <t>Kanto</t>
        </is>
      </c>
      <c r="G229" s="5" t="inlineStr">
        <is>
          <t>https://allone-ah.co.jp</t>
        </is>
      </c>
      <c r="H229" s="4" t="inlineStr">
        <is>
          <t>End user (animal hospital group)</t>
        </is>
      </c>
      <c r="I229" s="4" t="inlineStr">
        <is>
          <t>Not identified</t>
        </is>
      </c>
      <c r="J229" s="4" t="inlineStr">
        <is>
          <t>Companion</t>
        </is>
      </c>
      <c r="K229" s="4" t="inlineStr">
        <is>
          <t>Tokyo and Kanagawa</t>
        </is>
      </c>
      <c r="L229" s="4" t="inlineStr">
        <is>
          <t>Not found</t>
        </is>
      </c>
      <c r="M229" s="4" t="inlineStr">
        <is>
          <t>6 to 7</t>
        </is>
      </c>
      <c r="N229" s="4" t="inlineStr">
        <is>
          <t>Not identified</t>
        </is>
      </c>
      <c r="O229" s="4" t="inlineStr">
        <is>
          <t>Not identified</t>
        </is>
      </c>
      <c r="P229" s="4" t="inlineStr">
        <is>
          <t>info@allone-ah.co.jp</t>
        </is>
      </c>
      <c r="Q229" s="4" t="inlineStr">
        <is>
          <t>Not found (use site)</t>
        </is>
      </c>
      <c r="R229" s="4" t="inlineStr">
        <is>
          <t>Not identified</t>
        </is>
      </c>
      <c r="S229" s="4" t="inlineStr">
        <is>
          <t>Verified (published on own site, read via search); published in site terms for link requests, ask to forward</t>
        </is>
      </c>
      <c r="T229" s="6">
        <f>SUM(Z229:AF229)</f>
        <v>18</v>
      </c>
      <c r="U229" s="12" t="inlineStr">
        <is>
          <t>V5</t>
        </is>
      </c>
      <c r="V229" s="4" t="inlineStr">
        <is>
          <t>Young group (2017) growing across Tokyo and Kanagawa.</t>
        </is>
      </c>
      <c r="W229" s="4" t="inlineStr">
        <is>
          <t>Fleet evaluation: 30 day placement in two sites, then a group standard.</t>
        </is>
      </c>
      <c r="X229" s="4" t="inlineStr">
        <is>
          <t>Not checked (human list not in v17)</t>
        </is>
      </c>
      <c r="Y229" s="4" t="inlineStr">
        <is>
          <t>https://allone-ah.co.jp/company ; https://allone-ah.co.jp/terms ; https://allone-ah.co.jp/contact</t>
        </is>
      </c>
      <c r="Z229" s="4" t="n">
        <v>1</v>
      </c>
      <c r="AA229" s="4" t="n">
        <v>4</v>
      </c>
      <c r="AB229" s="4" t="n">
        <v>3</v>
      </c>
      <c r="AC229" s="4" t="n">
        <v>5</v>
      </c>
      <c r="AD229" s="4" t="n">
        <v>1</v>
      </c>
      <c r="AE229" s="4" t="n">
        <v>1</v>
      </c>
      <c r="AF229" s="4" t="n">
        <v>3</v>
      </c>
      <c r="AG229" s="4" t="inlineStr">
        <is>
          <t>Evidence backed</t>
        </is>
      </c>
    </row>
    <row r="230" ht="75" customHeight="1">
      <c r="A230" s="4" t="n">
        <v>226</v>
      </c>
      <c r="B230" s="4" t="inlineStr">
        <is>
          <t>Ai Animal Medical Center Group</t>
        </is>
      </c>
      <c r="C230" s="4" t="inlineStr">
        <is>
          <t>アイ動物医療センターグループ</t>
        </is>
      </c>
      <c r="D230" s="4" t="inlineStr">
        <is>
          <t>Not found (NTA lookup blocked; dedupe by Japanese name)</t>
        </is>
      </c>
      <c r="E230" s="4" t="inlineStr">
        <is>
          <t>Ibaraki</t>
        </is>
      </c>
      <c r="F230" s="4" t="inlineStr">
        <is>
          <t>Kanto</t>
        </is>
      </c>
      <c r="G230" s="5" t="inlineStr">
        <is>
          <t>https://www.aitom.jp/</t>
        </is>
      </c>
      <c r="H230" s="4" t="inlineStr">
        <is>
          <t>End user (animal hospital group)</t>
        </is>
      </c>
      <c r="I230" s="4" t="inlineStr">
        <is>
          <t>Not identified</t>
        </is>
      </c>
      <c r="J230" s="4" t="inlineStr">
        <is>
          <t>Companion</t>
        </is>
      </c>
      <c r="K230" s="4" t="inlineStr">
        <is>
          <t>Ibaraki</t>
        </is>
      </c>
      <c r="L230" s="4" t="inlineStr">
        <is>
          <t>Not found</t>
        </is>
      </c>
      <c r="M230" s="4" t="inlineStr">
        <is>
          <t>6</t>
        </is>
      </c>
      <c r="N230" s="4" t="inlineStr">
        <is>
          <t>Not identified</t>
        </is>
      </c>
      <c r="O230" s="4" t="inlineStr">
        <is>
          <t>Not identified</t>
        </is>
      </c>
      <c r="P230" s="4" t="inlineStr">
        <is>
          <t>Not published; phone only</t>
        </is>
      </c>
      <c r="Q230" s="4" t="inlineStr">
        <is>
          <t>0293 24 3535 (Takahagi main)</t>
        </is>
      </c>
      <c r="R230" s="4" t="inlineStr">
        <is>
          <t>Not identified</t>
        </is>
      </c>
      <c r="S230" s="4" t="inlineStr">
        <is>
          <t>Company inquiry only (phone)</t>
        </is>
      </c>
      <c r="T230" s="6">
        <f>SUM(Z230:AF230)</f>
        <v>18</v>
      </c>
      <c r="U230" s="12" t="inlineStr">
        <is>
          <t>V5</t>
        </is>
      </c>
      <c r="V230" s="4" t="inlineStr">
        <is>
          <t>Six hospital Ibaraki group offering advanced care. FLAG: Part of MiraiVets/JPAC.</t>
        </is>
      </c>
      <c r="W230" s="4" t="inlineStr">
        <is>
          <t>Fleet evaluation: 30 day placement in two sites, then a group standard.</t>
        </is>
      </c>
      <c r="X230" s="4" t="inlineStr">
        <is>
          <t>Not checked (human list not in v17)</t>
        </is>
      </c>
      <c r="Y230" s="4" t="inlineStr">
        <is>
          <t>https://www.aitom.jp/about/ ; https://www.ondeck.jp/library/interview/20468</t>
        </is>
      </c>
      <c r="Z230" s="4" t="n">
        <v>1</v>
      </c>
      <c r="AA230" s="4" t="n">
        <v>4</v>
      </c>
      <c r="AB230" s="4" t="n">
        <v>3</v>
      </c>
      <c r="AC230" s="4" t="n">
        <v>5</v>
      </c>
      <c r="AD230" s="4" t="n">
        <v>1</v>
      </c>
      <c r="AE230" s="4" t="n">
        <v>1</v>
      </c>
      <c r="AF230" s="4" t="n">
        <v>3</v>
      </c>
      <c r="AG230" s="4" t="inlineStr">
        <is>
          <t>Evidence backed</t>
        </is>
      </c>
    </row>
    <row r="231" ht="75" customHeight="1">
      <c r="A231" s="4" t="n">
        <v>227</v>
      </c>
      <c r="B231" s="4" t="inlineStr">
        <is>
          <t>Anicom Senshin Iryo Kenkyusho / Anicom Pafe</t>
        </is>
      </c>
      <c r="C231" s="4" t="inlineStr">
        <is>
          <t>アニコム先進医療研究所株式会社 / アニコム パフェ株式会社</t>
        </is>
      </c>
      <c r="D231" s="4" t="inlineStr">
        <is>
          <t>Not found (NTA lookup blocked; dedupe by Japanese name)</t>
        </is>
      </c>
      <c r="E231" s="4" t="inlineStr">
        <is>
          <t>Tokyo</t>
        </is>
      </c>
      <c r="F231" s="4" t="inlineStr">
        <is>
          <t>Kanto</t>
        </is>
      </c>
      <c r="G231" s="5" t="inlineStr">
        <is>
          <t>https://www.anicom-pafe.com</t>
        </is>
      </c>
      <c r="H231" s="4" t="inlineStr">
        <is>
          <t>End user (animal hospital group)</t>
        </is>
      </c>
      <c r="I231" s="4" t="inlineStr">
        <is>
          <t>Not identified</t>
        </is>
      </c>
      <c r="J231" s="4" t="inlineStr">
        <is>
          <t>Companion</t>
        </is>
      </c>
      <c r="K231" s="4" t="inlineStr">
        <is>
          <t>National</t>
        </is>
      </c>
      <c r="L231" s="4" t="inlineStr">
        <is>
          <t>Not found</t>
        </is>
      </c>
      <c r="M231" s="4" t="inlineStr">
        <is>
          <t>17 (2021); Anicom group runs 50 plus</t>
        </is>
      </c>
      <c r="N231" s="4" t="inlineStr">
        <is>
          <t>Not identified</t>
        </is>
      </c>
      <c r="O231" s="4" t="inlineStr">
        <is>
          <t>Not identified</t>
        </is>
      </c>
      <c r="P231" s="4" t="inlineStr">
        <is>
          <t>Not published; inquiry form: https://www.anicom-pafe.com/inquiry.html</t>
        </is>
      </c>
      <c r="Q231" s="4" t="inlineStr">
        <is>
          <t>0570 09 1212 (opening support)</t>
        </is>
      </c>
      <c r="R231" s="4" t="inlineStr">
        <is>
          <t>Not identified</t>
        </is>
      </c>
      <c r="S231" s="4" t="inlineStr">
        <is>
          <t>Company inquiry only (form)</t>
        </is>
      </c>
      <c r="T231" s="6">
        <f>SUM(Z231:AF231)</f>
        <v>18</v>
      </c>
      <c r="U231" s="12" t="inlineStr">
        <is>
          <t>V5</t>
        </is>
      </c>
      <c r="V231" s="4" t="inlineStr">
        <is>
          <t>Insurer owned hospital network plus a clinic opening support arm.</t>
        </is>
      </c>
      <c r="W231" s="4" t="inlineStr">
        <is>
          <t>Fleet evaluation: 30 day placement in two sites, then a group standard.</t>
        </is>
      </c>
      <c r="X231" s="4" t="inlineStr">
        <is>
          <t>Not checked (human list not in v17)</t>
        </is>
      </c>
      <c r="Y231" s="4" t="inlineStr">
        <is>
          <t>https://ahhd.jp/I0000003 ; https://www.anicom-pafe.com/hospital/openingsupport.html ; https://www.anicom-pafe.com/inquiry.html</t>
        </is>
      </c>
      <c r="Z231" s="4" t="n">
        <v>1</v>
      </c>
      <c r="AA231" s="4" t="n">
        <v>4</v>
      </c>
      <c r="AB231" s="4" t="n">
        <v>3</v>
      </c>
      <c r="AC231" s="4" t="n">
        <v>5</v>
      </c>
      <c r="AD231" s="4" t="n">
        <v>1</v>
      </c>
      <c r="AE231" s="4" t="n">
        <v>1</v>
      </c>
      <c r="AF231" s="4" t="n">
        <v>3</v>
      </c>
      <c r="AG231" s="4" t="inlineStr">
        <is>
          <t>Evidence backed</t>
        </is>
      </c>
    </row>
    <row r="232" ht="75" customHeight="1">
      <c r="A232" s="4" t="n">
        <v>228</v>
      </c>
      <c r="B232" s="4" t="inlineStr">
        <is>
          <t>Fanimedic Animal Medical Group</t>
        </is>
      </c>
      <c r="C232" s="4" t="inlineStr">
        <is>
          <t>ファニメディック動物医療グループ</t>
        </is>
      </c>
      <c r="D232" s="4" t="inlineStr">
        <is>
          <t>Not found (NTA lookup blocked; dedupe by Japanese name)</t>
        </is>
      </c>
      <c r="E232" s="4" t="inlineStr">
        <is>
          <t>Chiba</t>
        </is>
      </c>
      <c r="F232" s="4" t="inlineStr">
        <is>
          <t>Kanto</t>
        </is>
      </c>
      <c r="G232" s="5" t="inlineStr">
        <is>
          <t>https://www.fanimedic-ah.com</t>
        </is>
      </c>
      <c r="H232" s="4" t="inlineStr">
        <is>
          <t>End user (animal hospital group)</t>
        </is>
      </c>
      <c r="I232" s="4" t="inlineStr">
        <is>
          <t>Not identified</t>
        </is>
      </c>
      <c r="J232" s="4" t="inlineStr">
        <is>
          <t>Companion</t>
        </is>
      </c>
      <c r="K232" s="4" t="inlineStr">
        <is>
          <t>Chiba, Tokyo, Saitama</t>
        </is>
      </c>
      <c r="L232" s="4" t="inlineStr">
        <is>
          <t>Not found</t>
        </is>
      </c>
      <c r="M232" s="4" t="inlineStr">
        <is>
          <t>About 20</t>
        </is>
      </c>
      <c r="N232" s="4" t="inlineStr">
        <is>
          <t>Not identified</t>
        </is>
      </c>
      <c r="O232" s="4" t="inlineStr">
        <is>
          <t>Not identified</t>
        </is>
      </c>
      <c r="P232" s="4" t="inlineStr">
        <is>
          <t>Not published; inquiry form: https://www.fanimedic.com/about-us.php</t>
        </is>
      </c>
      <c r="Q232" s="4" t="inlineStr">
        <is>
          <t>04 7158 9722 (management office)</t>
        </is>
      </c>
      <c r="R232" s="4" t="inlineStr">
        <is>
          <t>Not identified</t>
        </is>
      </c>
      <c r="S232" s="4" t="inlineStr">
        <is>
          <t>Company inquiry only (form)</t>
        </is>
      </c>
      <c r="T232" s="6">
        <f>SUM(Z232:AF232)</f>
        <v>18</v>
      </c>
      <c r="U232" s="12" t="inlineStr">
        <is>
          <t>V5</t>
        </is>
      </c>
      <c r="V232" s="4" t="inlineStr">
        <is>
          <t>About 20 hospitals incl. three advanced centres.</t>
        </is>
      </c>
      <c r="W232" s="4" t="inlineStr">
        <is>
          <t>Fleet evaluation: 30 day placement in two sites, then a group standard.</t>
        </is>
      </c>
      <c r="X232" s="4" t="inlineStr">
        <is>
          <t>Not checked (human list not in v17)</t>
        </is>
      </c>
      <c r="Y232" s="4" t="inlineStr">
        <is>
          <t>https://www.fanimedic-ah.com/group-hospitals/ ; https://www.fanimedic.com/about-us.php</t>
        </is>
      </c>
      <c r="Z232" s="4" t="n">
        <v>1</v>
      </c>
      <c r="AA232" s="4" t="n">
        <v>4</v>
      </c>
      <c r="AB232" s="4" t="n">
        <v>3</v>
      </c>
      <c r="AC232" s="4" t="n">
        <v>5</v>
      </c>
      <c r="AD232" s="4" t="n">
        <v>1</v>
      </c>
      <c r="AE232" s="4" t="n">
        <v>1</v>
      </c>
      <c r="AF232" s="4" t="n">
        <v>3</v>
      </c>
      <c r="AG232" s="4" t="inlineStr">
        <is>
          <t>Evidence backed</t>
        </is>
      </c>
    </row>
    <row r="233" ht="75" customHeight="1">
      <c r="A233" s="4" t="n">
        <v>229</v>
      </c>
      <c r="B233" s="4" t="inlineStr">
        <is>
          <t>Inagaki Animal Hospital</t>
        </is>
      </c>
      <c r="C233" s="4" t="inlineStr">
        <is>
          <t>いながき動物病院</t>
        </is>
      </c>
      <c r="D233" s="4" t="inlineStr">
        <is>
          <t>Not found (NTA lookup blocked; dedupe by Japanese name)</t>
        </is>
      </c>
      <c r="E233" s="4" t="inlineStr">
        <is>
          <t>Saitama</t>
        </is>
      </c>
      <c r="F233" s="4" t="inlineStr">
        <is>
          <t>Kanto</t>
        </is>
      </c>
      <c r="G233" s="5" t="inlineStr">
        <is>
          <t>https://inagakiah.com/</t>
        </is>
      </c>
      <c r="H233" s="4" t="inlineStr">
        <is>
          <t>End user (animal hospital group)</t>
        </is>
      </c>
      <c r="I233" s="4" t="inlineStr">
        <is>
          <t>Not identified</t>
        </is>
      </c>
      <c r="J233" s="4" t="inlineStr">
        <is>
          <t>Companion</t>
        </is>
      </c>
      <c r="K233" s="4" t="inlineStr">
        <is>
          <t>Saitama, Gunma, Chiba, Ibaraki</t>
        </is>
      </c>
      <c r="L233" s="4" t="inlineStr">
        <is>
          <t>Not found</t>
        </is>
      </c>
      <c r="M233" s="4" t="inlineStr">
        <is>
          <t>6 plus (Koshigaya main and branches)</t>
        </is>
      </c>
      <c r="N233" s="4" t="inlineStr">
        <is>
          <t>Not identified</t>
        </is>
      </c>
      <c r="O233" s="4" t="inlineStr">
        <is>
          <t>Not identified</t>
        </is>
      </c>
      <c r="P233" s="4" t="inlineStr">
        <is>
          <t>Not published; inquiry form: https://inagakiah.com/contact/</t>
        </is>
      </c>
      <c r="Q233" s="4" t="inlineStr">
        <is>
          <t>080 7715 7321</t>
        </is>
      </c>
      <c r="R233" s="4" t="inlineStr">
        <is>
          <t>Not identified</t>
        </is>
      </c>
      <c r="S233" s="4" t="inlineStr">
        <is>
          <t>Company inquiry only (form)</t>
        </is>
      </c>
      <c r="T233" s="6">
        <f>SUM(Z233:AF233)</f>
        <v>18</v>
      </c>
      <c r="U233" s="12" t="inlineStr">
        <is>
          <t>V5</t>
        </is>
      </c>
      <c r="V233" s="4" t="inlineStr">
        <is>
          <t>Multi branch TNR focused group across North Kanto.</t>
        </is>
      </c>
      <c r="W233" s="4" t="inlineStr">
        <is>
          <t>Fleet evaluation: 30 day placement in two sites, then a group standard.</t>
        </is>
      </c>
      <c r="X233" s="4" t="inlineStr">
        <is>
          <t>Not checked (human list not in v17)</t>
        </is>
      </c>
      <c r="Y233" s="4" t="inlineStr">
        <is>
          <t>https://inagakiah.com/ ; https://inagakiah.com/contact/</t>
        </is>
      </c>
      <c r="Z233" s="4" t="n">
        <v>1</v>
      </c>
      <c r="AA233" s="4" t="n">
        <v>4</v>
      </c>
      <c r="AB233" s="4" t="n">
        <v>3</v>
      </c>
      <c r="AC233" s="4" t="n">
        <v>5</v>
      </c>
      <c r="AD233" s="4" t="n">
        <v>1</v>
      </c>
      <c r="AE233" s="4" t="n">
        <v>1</v>
      </c>
      <c r="AF233" s="4" t="n">
        <v>3</v>
      </c>
      <c r="AG233" s="4" t="inlineStr">
        <is>
          <t>Evidence backed</t>
        </is>
      </c>
    </row>
    <row r="234" ht="75" customHeight="1">
      <c r="A234" s="4" t="n">
        <v>230</v>
      </c>
      <c r="B234" s="4" t="inlineStr">
        <is>
          <t>JPR Co., Ltd. (Primo Animal Hospital Group)</t>
        </is>
      </c>
      <c r="C234" s="4" t="inlineStr">
        <is>
          <t>株式会社JPR (プリモ動物病院グループ)</t>
        </is>
      </c>
      <c r="D234" s="4" t="inlineStr">
        <is>
          <t>Not found (NTA lookup blocked; dedupe by Japanese name)</t>
        </is>
      </c>
      <c r="E234" s="4" t="inlineStr">
        <is>
          <t>Tokyo</t>
        </is>
      </c>
      <c r="F234" s="4" t="inlineStr">
        <is>
          <t>Kanto</t>
        </is>
      </c>
      <c r="G234" s="5" t="inlineStr">
        <is>
          <t>https://www.primo-ah.com/</t>
        </is>
      </c>
      <c r="H234" s="4" t="inlineStr">
        <is>
          <t>End user (animal hospital group)</t>
        </is>
      </c>
      <c r="I234" s="4" t="inlineStr">
        <is>
          <t>Not identified</t>
        </is>
      </c>
      <c r="J234" s="4" t="inlineStr">
        <is>
          <t>Companion</t>
        </is>
      </c>
      <c r="K234" s="4" t="inlineStr">
        <is>
          <t>Sagamihara, Machida, Atsugi, Totsuka, Nerima; Miyagi</t>
        </is>
      </c>
      <c r="L234" s="4" t="inlineStr">
        <is>
          <t>Not found</t>
        </is>
      </c>
      <c r="M234" s="4" t="inlineStr">
        <is>
          <t>11 plus Sendai Higashi</t>
        </is>
      </c>
      <c r="N234" s="4" t="inlineStr">
        <is>
          <t>Not identified</t>
        </is>
      </c>
      <c r="O234" s="4" t="inlineStr">
        <is>
          <t>Not identified</t>
        </is>
      </c>
      <c r="P234" s="4" t="inlineStr">
        <is>
          <t>Not published; inquiry form: https://www.primo-ah.com/about/</t>
        </is>
      </c>
      <c r="Q234" s="4" t="inlineStr">
        <is>
          <t>042 860 6980</t>
        </is>
      </c>
      <c r="R234" s="4" t="inlineStr">
        <is>
          <t>Not identified</t>
        </is>
      </c>
      <c r="S234" s="4" t="inlineStr">
        <is>
          <t>Company inquiry only (form); operator confirmed as 株式会社JPR, Machida, Tokyo</t>
        </is>
      </c>
      <c r="T234" s="6">
        <f>SUM(Z234:AF234)</f>
        <v>18</v>
      </c>
      <c r="U234" s="12" t="inlineStr">
        <is>
          <t>V5</t>
        </is>
      </c>
      <c r="V234" s="4" t="inlineStr">
        <is>
          <t>Eleven hospital Kanagawa group that expanded to Sendai by succession in 2026. NOTE: operator confirmed as 株式会社JPR on recheck (one older source shows JPB株式会社); HQ Tokyo.</t>
        </is>
      </c>
      <c r="W234" s="4" t="inlineStr">
        <is>
          <t>Fleet evaluation: 30 day placement in two sites, then a group standard.</t>
        </is>
      </c>
      <c r="X234" s="4" t="inlineStr">
        <is>
          <t>Not checked (human list not in v17)</t>
        </is>
      </c>
      <c r="Y234" s="4" t="inlineStr">
        <is>
          <t>https://www.primo-ah.com/ ; https://sendaihigashi.jpbvet.com/ ; https://www.primo-ah.com/about/</t>
        </is>
      </c>
      <c r="Z234" s="4" t="n">
        <v>1</v>
      </c>
      <c r="AA234" s="4" t="n">
        <v>4</v>
      </c>
      <c r="AB234" s="4" t="n">
        <v>3</v>
      </c>
      <c r="AC234" s="4" t="n">
        <v>5</v>
      </c>
      <c r="AD234" s="4" t="n">
        <v>1</v>
      </c>
      <c r="AE234" s="4" t="n">
        <v>1</v>
      </c>
      <c r="AF234" s="4" t="n">
        <v>3</v>
      </c>
      <c r="AG234" s="4" t="inlineStr">
        <is>
          <t>Evidence backed</t>
        </is>
      </c>
    </row>
    <row r="235" ht="75" customHeight="1">
      <c r="A235" s="4" t="n">
        <v>231</v>
      </c>
      <c r="B235" s="4" t="inlineStr">
        <is>
          <t>Lifemate Animal Hospital Group</t>
        </is>
      </c>
      <c r="C235" s="4" t="inlineStr">
        <is>
          <t>ライフメイト動物病院グループ</t>
        </is>
      </c>
      <c r="D235" s="4" t="inlineStr">
        <is>
          <t>Not found (NTA lookup blocked; dedupe by Japanese name)</t>
        </is>
      </c>
      <c r="E235" s="4" t="inlineStr">
        <is>
          <t>Tokyo</t>
        </is>
      </c>
      <c r="F235" s="4" t="inlineStr">
        <is>
          <t>Kanto</t>
        </is>
      </c>
      <c r="G235" s="5" t="inlineStr">
        <is>
          <t>https://lifemate-vh.com/</t>
        </is>
      </c>
      <c r="H235" s="4" t="inlineStr">
        <is>
          <t>End user (animal hospital group)</t>
        </is>
      </c>
      <c r="I235" s="4" t="inlineStr">
        <is>
          <t>Not identified</t>
        </is>
      </c>
      <c r="J235" s="4" t="inlineStr">
        <is>
          <t>Companion</t>
        </is>
      </c>
      <c r="K235" s="4" t="inlineStr">
        <is>
          <t>Kanto and Hokkaido</t>
        </is>
      </c>
      <c r="L235" s="4" t="inlineStr">
        <is>
          <t>Not found</t>
        </is>
      </c>
      <c r="M235" s="4" t="inlineStr">
        <is>
          <t>9</t>
        </is>
      </c>
      <c r="N235" s="4" t="inlineStr">
        <is>
          <t>Not identified</t>
        </is>
      </c>
      <c r="O235" s="4" t="inlineStr">
        <is>
          <t>Not identified</t>
        </is>
      </c>
      <c r="P235" s="4" t="inlineStr">
        <is>
          <t>Not published; inquiry form: https://lifemate-vh.com/company-info/</t>
        </is>
      </c>
      <c r="Q235" s="4" t="inlineStr">
        <is>
          <t>03 3909 4444 (per job site)</t>
        </is>
      </c>
      <c r="R235" s="4" t="inlineStr">
        <is>
          <t>Not identified</t>
        </is>
      </c>
      <c r="S235" s="4" t="inlineStr">
        <is>
          <t>Company inquiry only (form); operator 株式会社LVG, Minato, Tokyo</t>
        </is>
      </c>
      <c r="T235" s="6">
        <f>SUM(Z235:AF235)</f>
        <v>18</v>
      </c>
      <c r="U235" s="12" t="inlineStr">
        <is>
          <t>V5</t>
        </is>
      </c>
      <c r="V235" s="4" t="inlineStr">
        <is>
          <t>Nine hospitals across Kanto and Hokkaido. FLAG: HQ prefecture assumed Tokyo; confirm.</t>
        </is>
      </c>
      <c r="W235" s="4" t="inlineStr">
        <is>
          <t>Fleet evaluation: 30 day placement in two sites, then a group standard.</t>
        </is>
      </c>
      <c r="X235" s="4" t="inlineStr">
        <is>
          <t>Not checked (human list not in v17)</t>
        </is>
      </c>
      <c r="Y235" s="4" t="inlineStr">
        <is>
          <t>https://lifemate-vh.com/ ; https://lifemate-vh.com/company-info/</t>
        </is>
      </c>
      <c r="Z235" s="4" t="n">
        <v>1</v>
      </c>
      <c r="AA235" s="4" t="n">
        <v>4</v>
      </c>
      <c r="AB235" s="4" t="n">
        <v>3</v>
      </c>
      <c r="AC235" s="4" t="n">
        <v>5</v>
      </c>
      <c r="AD235" s="4" t="n">
        <v>1</v>
      </c>
      <c r="AE235" s="4" t="n">
        <v>1</v>
      </c>
      <c r="AF235" s="4" t="n">
        <v>3</v>
      </c>
      <c r="AG235" s="4" t="inlineStr">
        <is>
          <t>Evidence backed</t>
        </is>
      </c>
    </row>
    <row r="236" ht="75" customHeight="1">
      <c r="A236" s="4" t="n">
        <v>232</v>
      </c>
      <c r="B236" s="4" t="inlineStr">
        <is>
          <t>Minami Animal Hospital Group</t>
        </is>
      </c>
      <c r="C236" s="4" t="inlineStr">
        <is>
          <t>南動物病院グループ (minami ahg)</t>
        </is>
      </c>
      <c r="D236" s="4" t="inlineStr">
        <is>
          <t>Not found (NTA lookup blocked; dedupe by Japanese name)</t>
        </is>
      </c>
      <c r="E236" s="4" t="inlineStr">
        <is>
          <t>Kanagawa</t>
        </is>
      </c>
      <c r="F236" s="4" t="inlineStr">
        <is>
          <t>Kanto</t>
        </is>
      </c>
      <c r="G236" s="5" t="inlineStr">
        <is>
          <t>https://bayside.minami-ahg.jp/</t>
        </is>
      </c>
      <c r="H236" s="4" t="inlineStr">
        <is>
          <t>End user (animal hospital group)</t>
        </is>
      </c>
      <c r="I236" s="4" t="inlineStr">
        <is>
          <t>Not identified</t>
        </is>
      </c>
      <c r="J236" s="4" t="inlineStr">
        <is>
          <t>Companion</t>
        </is>
      </c>
      <c r="K236" s="4" t="inlineStr">
        <is>
          <t>Yokohama</t>
        </is>
      </c>
      <c r="L236" s="4" t="inlineStr">
        <is>
          <t>Not found</t>
        </is>
      </c>
      <c r="M236" s="4" t="inlineStr">
        <is>
          <t>Multiple</t>
        </is>
      </c>
      <c r="N236" s="4" t="inlineStr">
        <is>
          <t>Not identified</t>
        </is>
      </c>
      <c r="O236" s="4" t="inlineStr">
        <is>
          <t>Not identified</t>
        </is>
      </c>
      <c r="P236" s="4" t="inlineStr">
        <is>
          <t>Not published; phone only</t>
        </is>
      </c>
      <c r="Q236" s="4" t="inlineStr">
        <is>
          <t>045 440 0987 (Bayside clinic)</t>
        </is>
      </c>
      <c r="R236" s="4" t="inlineStr">
        <is>
          <t>Not identified</t>
        </is>
      </c>
      <c r="S236" s="4" t="inlineStr">
        <is>
          <t>Company inquiry only (phone)</t>
        </is>
      </c>
      <c r="T236" s="6">
        <f>SUM(Z236:AF236)</f>
        <v>18</v>
      </c>
      <c r="U236" s="12" t="inlineStr">
        <is>
          <t>V5</t>
        </is>
      </c>
      <c r="V236" s="4" t="inlineStr">
        <is>
          <t>Yokohama group incl. Bayside Animal Clinic. FLAG: Hospital count not confirmed.</t>
        </is>
      </c>
      <c r="W236" s="4" t="inlineStr">
        <is>
          <t>Fleet evaluation: 30 day placement in two sites, then a group standard.</t>
        </is>
      </c>
      <c r="X236" s="4" t="inlineStr">
        <is>
          <t>Not checked (human list not in v17)</t>
        </is>
      </c>
      <c r="Y236" s="4" t="inlineStr">
        <is>
          <t>https://bayside.minami-ahg.jp/ ; https://www.minami-ahg.jp/service/index.html</t>
        </is>
      </c>
      <c r="Z236" s="4" t="n">
        <v>1</v>
      </c>
      <c r="AA236" s="4" t="n">
        <v>4</v>
      </c>
      <c r="AB236" s="4" t="n">
        <v>3</v>
      </c>
      <c r="AC236" s="4" t="n">
        <v>5</v>
      </c>
      <c r="AD236" s="4" t="n">
        <v>1</v>
      </c>
      <c r="AE236" s="4" t="n">
        <v>1</v>
      </c>
      <c r="AF236" s="4" t="n">
        <v>3</v>
      </c>
      <c r="AG236" s="4" t="inlineStr">
        <is>
          <t>Evidence backed</t>
        </is>
      </c>
    </row>
    <row r="237" ht="75" customHeight="1">
      <c r="A237" s="4" t="n">
        <v>233</v>
      </c>
      <c r="B237" s="4" t="inlineStr">
        <is>
          <t>MiraiVets Partners / Japan Animal Care Holdings (JPAC)</t>
        </is>
      </c>
      <c r="C237" s="4" t="inlineStr">
        <is>
          <t>MiraiVets Partners株式会社 / 株式会社Japan Animal Care Holdings</t>
        </is>
      </c>
      <c r="D237" s="4" t="inlineStr">
        <is>
          <t>Not found (NTA lookup blocked; dedupe by Japanese name)</t>
        </is>
      </c>
      <c r="E237" s="4" t="inlineStr">
        <is>
          <t>Tokyo</t>
        </is>
      </c>
      <c r="F237" s="4" t="inlineStr">
        <is>
          <t>Kanto</t>
        </is>
      </c>
      <c r="G237" s="5" t="inlineStr">
        <is>
          <t>https://www.jpac.jp/</t>
        </is>
      </c>
      <c r="H237" s="4" t="inlineStr">
        <is>
          <t>End user (animal hospital group)</t>
        </is>
      </c>
      <c r="I237" s="4" t="inlineStr">
        <is>
          <t>Not identified</t>
        </is>
      </c>
      <c r="J237" s="4" t="inlineStr">
        <is>
          <t>Companion</t>
        </is>
      </c>
      <c r="K237" s="4" t="inlineStr">
        <is>
          <t>National</t>
        </is>
      </c>
      <c r="L237" s="4" t="inlineStr">
        <is>
          <t>Not found</t>
        </is>
      </c>
      <c r="M237" s="4" t="inlineStr">
        <is>
          <t>About 50 facilities in 15 prefectures</t>
        </is>
      </c>
      <c r="N237" s="4" t="inlineStr">
        <is>
          <t>Not identified</t>
        </is>
      </c>
      <c r="O237" s="4" t="inlineStr">
        <is>
          <t>Not identified</t>
        </is>
      </c>
      <c r="P237" s="4" t="inlineStr">
        <is>
          <t>info@mail.jpac.jp</t>
        </is>
      </c>
      <c r="Q237" s="4" t="inlineStr">
        <is>
          <t>03 3525 8668</t>
        </is>
      </c>
      <c r="R237" s="4" t="inlineStr">
        <is>
          <t>Not identified</t>
        </is>
      </c>
      <c r="S237" s="4" t="inlineStr">
        <is>
          <t>Verified (published on own site, read via search); PR and marketing dept, from company press release</t>
        </is>
      </c>
      <c r="T237" s="6">
        <f>SUM(Z237:AF237)</f>
        <v>18</v>
      </c>
      <c r="U237" s="12" t="inlineStr">
        <is>
          <t>V5</t>
        </is>
      </c>
      <c r="V237" s="4" t="inlineStr">
        <is>
          <t>Holding formed by JPAC and ANCHORS with about 50 facilities; group purchasing makes a fleet deal possible. FLAG: Group overlap: Elsa, Will and Ai groups below sit inside this holding; agree which entity owns the conversation.</t>
        </is>
      </c>
      <c r="W237" s="4" t="inlineStr">
        <is>
          <t>Fleet evaluation: 30 day placement in two sites, then a group standard.</t>
        </is>
      </c>
      <c r="X237" s="4" t="inlineStr">
        <is>
          <t>Not checked (human list not in v17)</t>
        </is>
      </c>
      <c r="Y237" s="4" t="inlineStr">
        <is>
          <t>https://prtimes.jp/main/html/rd/p/000000001.000183725.html ; https://www.jpac.jp/ ; https://prtimes.jp/main/html/rd/p/000000007.000170012.html</t>
        </is>
      </c>
      <c r="Z237" s="4" t="n">
        <v>1</v>
      </c>
      <c r="AA237" s="4" t="n">
        <v>4</v>
      </c>
      <c r="AB237" s="4" t="n">
        <v>3</v>
      </c>
      <c r="AC237" s="4" t="n">
        <v>5</v>
      </c>
      <c r="AD237" s="4" t="n">
        <v>1</v>
      </c>
      <c r="AE237" s="4" t="n">
        <v>1</v>
      </c>
      <c r="AF237" s="4" t="n">
        <v>3</v>
      </c>
      <c r="AG237" s="4" t="inlineStr">
        <is>
          <t>Evidence backed</t>
        </is>
      </c>
    </row>
    <row r="238" ht="75" customHeight="1">
      <c r="A238" s="4" t="n">
        <v>234</v>
      </c>
      <c r="B238" s="4" t="inlineStr">
        <is>
          <t>NOSAI Chiba</t>
        </is>
      </c>
      <c r="C238" s="4" t="inlineStr">
        <is>
          <t>千葉県農業共済組合</t>
        </is>
      </c>
      <c r="D238" s="4" t="inlineStr">
        <is>
          <t>Not found (NTA lookup blocked; dedupe by Japanese name)</t>
        </is>
      </c>
      <c r="E238" s="4" t="inlineStr">
        <is>
          <t>Chiba</t>
        </is>
      </c>
      <c r="F238" s="4" t="inlineStr">
        <is>
          <t>Kanto</t>
        </is>
      </c>
      <c r="G238" s="5" t="inlineStr">
        <is>
          <t>https://nosai-chiba.or.jp</t>
        </is>
      </c>
      <c r="H238" s="4" t="inlineStr">
        <is>
          <t>End user (livestock clinic network)</t>
        </is>
      </c>
      <c r="I238" s="4" t="inlineStr">
        <is>
          <t>Not identified</t>
        </is>
      </c>
      <c r="J238" s="4" t="inlineStr">
        <is>
          <t>Large animal</t>
        </is>
      </c>
      <c r="K238" s="4" t="inlineStr">
        <is>
          <t>Chiba livestock clinics</t>
        </is>
      </c>
      <c r="L238" s="4" t="inlineStr">
        <is>
          <t>Not found</t>
        </is>
      </c>
      <c r="M238" s="4" t="inlineStr">
        <is>
          <t>7 livestock clinics</t>
        </is>
      </c>
      <c r="N238" s="4" t="inlineStr">
        <is>
          <t>Not identified</t>
        </is>
      </c>
      <c r="O238" s="4" t="inlineStr">
        <is>
          <t>Not identified</t>
        </is>
      </c>
      <c r="P238" s="4" t="inlineStr">
        <is>
          <t>Not published; phone only</t>
        </is>
      </c>
      <c r="Q238" s="4" t="inlineStr">
        <is>
          <t>043 245 7449</t>
        </is>
      </c>
      <c r="R238" s="4" t="inlineStr">
        <is>
          <t>Not identified</t>
        </is>
      </c>
      <c r="S238" s="4" t="inlineStr">
        <is>
          <t>Company inquiry only (phone)</t>
        </is>
      </c>
      <c r="T238" s="6">
        <f>SUM(Z238:AF238)</f>
        <v>18</v>
      </c>
      <c r="U238" s="12" t="inlineStr">
        <is>
          <t>V5</t>
        </is>
      </c>
      <c r="V238" s="4" t="inlineStr">
        <is>
          <t>Chiba is a top dairy prefecture near Tokyo.</t>
        </is>
      </c>
      <c r="W238" s="4" t="inlineStr">
        <is>
          <t>Field trial of a rugged livestock portable (EBit 50) with clinic vets during pregnancy checks.</t>
        </is>
      </c>
      <c r="X238" s="4" t="inlineStr">
        <is>
          <t>Not checked (human list not in v17)</t>
        </is>
      </c>
      <c r="Y238" s="4" t="inlineStr">
        <is>
          <t>https://nosai-chiba.or.jp/soshiki/shinryo/ ; https://nosai-chiba.or.jp/</t>
        </is>
      </c>
      <c r="Z238" s="4" t="n">
        <v>1</v>
      </c>
      <c r="AA238" s="4" t="n">
        <v>4</v>
      </c>
      <c r="AB238" s="4" t="n">
        <v>3</v>
      </c>
      <c r="AC238" s="4" t="n">
        <v>1</v>
      </c>
      <c r="AD238" s="4" t="n">
        <v>5</v>
      </c>
      <c r="AE238" s="4" t="n">
        <v>1</v>
      </c>
      <c r="AF238" s="4" t="n">
        <v>3</v>
      </c>
      <c r="AG238" s="4" t="inlineStr">
        <is>
          <t>Evidence backed</t>
        </is>
      </c>
    </row>
    <row r="239" ht="75" customHeight="1">
      <c r="A239" s="4" t="n">
        <v>235</v>
      </c>
      <c r="B239" s="4" t="inlineStr">
        <is>
          <t>NOSAI Gunma</t>
        </is>
      </c>
      <c r="C239" s="4" t="inlineStr">
        <is>
          <t>群馬県農業共済組合</t>
        </is>
      </c>
      <c r="D239" s="4" t="inlineStr">
        <is>
          <t>Not found (NTA lookup blocked; dedupe by Japanese name)</t>
        </is>
      </c>
      <c r="E239" s="4" t="inlineStr">
        <is>
          <t>Gunma</t>
        </is>
      </c>
      <c r="F239" s="4" t="inlineStr">
        <is>
          <t>Kanto</t>
        </is>
      </c>
      <c r="G239" s="4" t="inlineStr">
        <is>
          <t>Not found</t>
        </is>
      </c>
      <c r="H239" s="4" t="inlineStr">
        <is>
          <t>End user (livestock clinic network)</t>
        </is>
      </c>
      <c r="I239" s="4" t="inlineStr">
        <is>
          <t>Not identified</t>
        </is>
      </c>
      <c r="J239" s="4" t="inlineStr">
        <is>
          <t>Large animal</t>
        </is>
      </c>
      <c r="K239" s="4" t="inlineStr">
        <is>
          <t>Gunma livestock clinics</t>
        </is>
      </c>
      <c r="L239" s="4" t="inlineStr">
        <is>
          <t>Not found</t>
        </is>
      </c>
      <c r="M239" s="4" t="inlineStr">
        <is>
          <t>Livestock clinics (count not confirmed)</t>
        </is>
      </c>
      <c r="N239" s="4" t="inlineStr">
        <is>
          <t>Not identified</t>
        </is>
      </c>
      <c r="O239" s="4" t="inlineStr">
        <is>
          <t>Not identified</t>
        </is>
      </c>
      <c r="P239" s="4" t="inlineStr">
        <is>
          <t>Not published; phone only</t>
        </is>
      </c>
      <c r="Q239" s="4" t="inlineStr">
        <is>
          <t>027 251 5631</t>
        </is>
      </c>
      <c r="R239" s="4" t="inlineStr">
        <is>
          <t>Not identified</t>
        </is>
      </c>
      <c r="S239" s="4" t="inlineStr">
        <is>
          <t>Company inquiry only (phone)</t>
        </is>
      </c>
      <c r="T239" s="6">
        <f>SUM(Z239:AF239)</f>
        <v>18</v>
      </c>
      <c r="U239" s="12" t="inlineStr">
        <is>
          <t>V5</t>
        </is>
      </c>
      <c r="V239" s="4" t="inlineStr">
        <is>
          <t>Gunma is a major dairy and pig prefecture north of Tokyo.</t>
        </is>
      </c>
      <c r="W239" s="4" t="inlineStr">
        <is>
          <t>Field trial of a rugged livestock portable (EBit 50) with clinic vets during pregnancy checks.</t>
        </is>
      </c>
      <c r="X239" s="4" t="inlineStr">
        <is>
          <t>Not checked (human list not in v17)</t>
        </is>
      </c>
      <c r="Y239" s="4" t="inlineStr">
        <is>
          <t>https://www.maff.go.jp/j/keiei/nogyohoken/contact.html ; https://www.nosai.or.jp/nosai_kasou/nosai_kakuchi01.html</t>
        </is>
      </c>
      <c r="Z239" s="4" t="n">
        <v>1</v>
      </c>
      <c r="AA239" s="4" t="n">
        <v>4</v>
      </c>
      <c r="AB239" s="4" t="n">
        <v>3</v>
      </c>
      <c r="AC239" s="4" t="n">
        <v>1</v>
      </c>
      <c r="AD239" s="4" t="n">
        <v>5</v>
      </c>
      <c r="AE239" s="4" t="n">
        <v>1</v>
      </c>
      <c r="AF239" s="4" t="n">
        <v>3</v>
      </c>
      <c r="AG239" s="4" t="inlineStr">
        <is>
          <t>Evidence backed</t>
        </is>
      </c>
    </row>
    <row r="240" ht="75" customHeight="1">
      <c r="A240" s="4" t="n">
        <v>236</v>
      </c>
      <c r="B240" s="4" t="inlineStr">
        <is>
          <t>NOSAI Ibaraki</t>
        </is>
      </c>
      <c r="C240" s="4" t="inlineStr">
        <is>
          <t>茨城県農業共済組合</t>
        </is>
      </c>
      <c r="D240" s="4" t="inlineStr">
        <is>
          <t>Not found (NTA lookup blocked; dedupe by Japanese name)</t>
        </is>
      </c>
      <c r="E240" s="4" t="inlineStr">
        <is>
          <t>Ibaraki</t>
        </is>
      </c>
      <c r="F240" s="4" t="inlineStr">
        <is>
          <t>Kanto</t>
        </is>
      </c>
      <c r="G240" s="5" t="inlineStr">
        <is>
          <t>https://www.ibaraki-nosai.or.jp</t>
        </is>
      </c>
      <c r="H240" s="4" t="inlineStr">
        <is>
          <t>End user (livestock clinic network)</t>
        </is>
      </c>
      <c r="I240" s="4" t="inlineStr">
        <is>
          <t>Not identified</t>
        </is>
      </c>
      <c r="J240" s="4" t="inlineStr">
        <is>
          <t>Large animal</t>
        </is>
      </c>
      <c r="K240" s="4" t="inlineStr">
        <is>
          <t>Ibaraki livestock clinics</t>
        </is>
      </c>
      <c r="L240" s="4" t="inlineStr">
        <is>
          <t>Not found</t>
        </is>
      </c>
      <c r="M240" s="4" t="inlineStr">
        <is>
          <t>Livestock clinic centre (Mito) plus Omitama clinic</t>
        </is>
      </c>
      <c r="N240" s="4" t="inlineStr">
        <is>
          <t>Not identified</t>
        </is>
      </c>
      <c r="O240" s="4" t="inlineStr">
        <is>
          <t>Not identified</t>
        </is>
      </c>
      <c r="P240" s="4" t="inlineStr">
        <is>
          <t>Not published; phone only</t>
        </is>
      </c>
      <c r="Q240" s="4" t="inlineStr">
        <is>
          <t>029 215 8881</t>
        </is>
      </c>
      <c r="R240" s="4" t="inlineStr">
        <is>
          <t>Not identified</t>
        </is>
      </c>
      <c r="S240" s="4" t="inlineStr">
        <is>
          <t>Company inquiry only (phone)</t>
        </is>
      </c>
      <c r="T240" s="6">
        <f>SUM(Z240:AF240)</f>
        <v>18</v>
      </c>
      <c r="U240" s="12" t="inlineStr">
        <is>
          <t>V5</t>
        </is>
      </c>
      <c r="V240" s="4" t="inlineStr">
        <is>
          <t>Consolidated centre model in Ibaraki.</t>
        </is>
      </c>
      <c r="W240" s="4" t="inlineStr">
        <is>
          <t>Field trial of a rugged livestock portable (EBit 50) with clinic vets during pregnancy checks.</t>
        </is>
      </c>
      <c r="X240" s="4" t="inlineStr">
        <is>
          <t>Not checked (human list not in v17)</t>
        </is>
      </c>
      <c r="Y240" s="4" t="inlineStr">
        <is>
          <t>https://ibaraki.lin.gr.jp/chikusan-ibaraki/24-11/11.html ; https://www.maff.go.jp/j/keiei/nogyohoken/contact.html</t>
        </is>
      </c>
      <c r="Z240" s="4" t="n">
        <v>1</v>
      </c>
      <c r="AA240" s="4" t="n">
        <v>4</v>
      </c>
      <c r="AB240" s="4" t="n">
        <v>3</v>
      </c>
      <c r="AC240" s="4" t="n">
        <v>1</v>
      </c>
      <c r="AD240" s="4" t="n">
        <v>5</v>
      </c>
      <c r="AE240" s="4" t="n">
        <v>1</v>
      </c>
      <c r="AF240" s="4" t="n">
        <v>3</v>
      </c>
      <c r="AG240" s="4" t="inlineStr">
        <is>
          <t>Evidence backed</t>
        </is>
      </c>
    </row>
    <row r="241" ht="75" customHeight="1">
      <c r="A241" s="4" t="n">
        <v>237</v>
      </c>
      <c r="B241" s="4" t="inlineStr">
        <is>
          <t>NOSAI Tochigi</t>
        </is>
      </c>
      <c r="C241" s="4" t="inlineStr">
        <is>
          <t>栃木県農業共済組合</t>
        </is>
      </c>
      <c r="D241" s="4" t="inlineStr">
        <is>
          <t>Not found (NTA lookup blocked; dedupe by Japanese name)</t>
        </is>
      </c>
      <c r="E241" s="4" t="inlineStr">
        <is>
          <t>Tochigi</t>
        </is>
      </c>
      <c r="F241" s="4" t="inlineStr">
        <is>
          <t>Kanto</t>
        </is>
      </c>
      <c r="G241" s="4" t="inlineStr">
        <is>
          <t>Not found</t>
        </is>
      </c>
      <c r="H241" s="4" t="inlineStr">
        <is>
          <t>End user (livestock clinic network)</t>
        </is>
      </c>
      <c r="I241" s="4" t="inlineStr">
        <is>
          <t>Not identified</t>
        </is>
      </c>
      <c r="J241" s="4" t="inlineStr">
        <is>
          <t>Large animal</t>
        </is>
      </c>
      <c r="K241" s="4" t="inlineStr">
        <is>
          <t>Tochigi livestock clinics</t>
        </is>
      </c>
      <c r="L241" s="4" t="inlineStr">
        <is>
          <t>Not found</t>
        </is>
      </c>
      <c r="M241" s="4" t="inlineStr">
        <is>
          <t>Livestock clinics (count not confirmed)</t>
        </is>
      </c>
      <c r="N241" s="4" t="inlineStr">
        <is>
          <t>Not identified</t>
        </is>
      </c>
      <c r="O241" s="4" t="inlineStr">
        <is>
          <t>Not identified</t>
        </is>
      </c>
      <c r="P241" s="4" t="inlineStr">
        <is>
          <t>Not published; phone only</t>
        </is>
      </c>
      <c r="Q241" s="4" t="inlineStr">
        <is>
          <t>028 683 5531</t>
        </is>
      </c>
      <c r="R241" s="4" t="inlineStr">
        <is>
          <t>Not identified</t>
        </is>
      </c>
      <c r="S241" s="4" t="inlineStr">
        <is>
          <t>Company inquiry only (phone)</t>
        </is>
      </c>
      <c r="T241" s="6">
        <f>SUM(Z241:AF241)</f>
        <v>18</v>
      </c>
      <c r="U241" s="12" t="inlineStr">
        <is>
          <t>V5</t>
        </is>
      </c>
      <c r="V241" s="4" t="inlineStr">
        <is>
          <t>Tochigi is Japan's second largest dairy prefecture.</t>
        </is>
      </c>
      <c r="W241" s="4" t="inlineStr">
        <is>
          <t>Field trial of a rugged livestock portable (EBit 50) with clinic vets during pregnancy checks.</t>
        </is>
      </c>
      <c r="X241" s="4" t="inlineStr">
        <is>
          <t>Not checked (human list not in v17)</t>
        </is>
      </c>
      <c r="Y241" s="4" t="inlineStr">
        <is>
          <t>https://www.maff.go.jp/j/keiei/nogyohoken/contact.html ; https://www.nosai.or.jp/nosai_kasou/nosai_kakuchi01.html</t>
        </is>
      </c>
      <c r="Z241" s="4" t="n">
        <v>1</v>
      </c>
      <c r="AA241" s="4" t="n">
        <v>4</v>
      </c>
      <c r="AB241" s="4" t="n">
        <v>3</v>
      </c>
      <c r="AC241" s="4" t="n">
        <v>1</v>
      </c>
      <c r="AD241" s="4" t="n">
        <v>5</v>
      </c>
      <c r="AE241" s="4" t="n">
        <v>1</v>
      </c>
      <c r="AF241" s="4" t="n">
        <v>3</v>
      </c>
      <c r="AG241" s="4" t="inlineStr">
        <is>
          <t>Evidence backed</t>
        </is>
      </c>
    </row>
    <row r="242" ht="75" customHeight="1">
      <c r="A242" s="4" t="n">
        <v>238</v>
      </c>
      <c r="B242" s="4" t="inlineStr">
        <is>
          <t>Otakibashi Animal Hospital Group</t>
        </is>
      </c>
      <c r="C242" s="4" t="inlineStr">
        <is>
          <t>小滝橋動物病院グループ</t>
        </is>
      </c>
      <c r="D242" s="4" t="inlineStr">
        <is>
          <t>Not found (NTA lookup blocked; dedupe by Japanese name)</t>
        </is>
      </c>
      <c r="E242" s="4" t="inlineStr">
        <is>
          <t>Tokyo</t>
        </is>
      </c>
      <c r="F242" s="4" t="inlineStr">
        <is>
          <t>Kanto</t>
        </is>
      </c>
      <c r="G242" s="5" t="inlineStr">
        <is>
          <t>https://otakibashi.com/</t>
        </is>
      </c>
      <c r="H242" s="4" t="inlineStr">
        <is>
          <t>End user (animal hospital group)</t>
        </is>
      </c>
      <c r="I242" s="4" t="inlineStr">
        <is>
          <t>Not identified</t>
        </is>
      </c>
      <c r="J242" s="4" t="inlineStr">
        <is>
          <t>Companion</t>
        </is>
      </c>
      <c r="K242" s="4" t="inlineStr">
        <is>
          <t>Tokyo and Sapporo</t>
        </is>
      </c>
      <c r="L242" s="4" t="inlineStr">
        <is>
          <t>Not found</t>
        </is>
      </c>
      <c r="M242" s="4" t="inlineStr">
        <is>
          <t>Multiple incl. Sapporo</t>
        </is>
      </c>
      <c r="N242" s="4" t="inlineStr">
        <is>
          <t>Not identified</t>
        </is>
      </c>
      <c r="O242" s="4" t="inlineStr">
        <is>
          <t>Not identified</t>
        </is>
      </c>
      <c r="P242" s="4" t="inlineStr">
        <is>
          <t>Not published; phone only</t>
        </is>
      </c>
      <c r="Q242" s="4" t="inlineStr">
        <is>
          <t>03 5332 6866</t>
        </is>
      </c>
      <c r="R242" s="4" t="inlineStr">
        <is>
          <t>Not identified</t>
        </is>
      </c>
      <c r="S242" s="4" t="inlineStr">
        <is>
          <t>Company inquiry only (phone)</t>
        </is>
      </c>
      <c r="T242" s="6">
        <f>SUM(Z242:AF242)</f>
        <v>18</v>
      </c>
      <c r="U242" s="12" t="inlineStr">
        <is>
          <t>V5</t>
        </is>
      </c>
      <c r="V242" s="4" t="inlineStr">
        <is>
          <t>Tokyo group with a Sapporo hospital.</t>
        </is>
      </c>
      <c r="W242" s="4" t="inlineStr">
        <is>
          <t>Fleet evaluation: 30 day placement in two sites, then a group standard.</t>
        </is>
      </c>
      <c r="X242" s="4" t="inlineStr">
        <is>
          <t>Not checked (human list not in v17)</t>
        </is>
      </c>
      <c r="Y242" s="4" t="inlineStr">
        <is>
          <t>https://medical-space.co.jp/works/area/ ; https://otakibashi.com/information.php</t>
        </is>
      </c>
      <c r="Z242" s="4" t="n">
        <v>1</v>
      </c>
      <c r="AA242" s="4" t="n">
        <v>4</v>
      </c>
      <c r="AB242" s="4" t="n">
        <v>3</v>
      </c>
      <c r="AC242" s="4" t="n">
        <v>5</v>
      </c>
      <c r="AD242" s="4" t="n">
        <v>1</v>
      </c>
      <c r="AE242" s="4" t="n">
        <v>1</v>
      </c>
      <c r="AF242" s="4" t="n">
        <v>3</v>
      </c>
      <c r="AG242" s="4" t="inlineStr">
        <is>
          <t>Evidence backed</t>
        </is>
      </c>
    </row>
    <row r="243" ht="75" customHeight="1">
      <c r="A243" s="4" t="n">
        <v>239</v>
      </c>
      <c r="B243" s="4" t="inlineStr">
        <is>
          <t>VCA Japan</t>
        </is>
      </c>
      <c r="C243" s="4" t="inlineStr">
        <is>
          <t>VCA Japan</t>
        </is>
      </c>
      <c r="D243" s="4" t="inlineStr">
        <is>
          <t>Not found (NTA lookup blocked; dedupe by Japanese name)</t>
        </is>
      </c>
      <c r="E243" s="4" t="inlineStr">
        <is>
          <t>Tokyo</t>
        </is>
      </c>
      <c r="F243" s="4" t="inlineStr">
        <is>
          <t>Kanto</t>
        </is>
      </c>
      <c r="G243" s="5" t="inlineStr">
        <is>
          <t>https://www.vcajapan.com</t>
        </is>
      </c>
      <c r="H243" s="4" t="inlineStr">
        <is>
          <t>End user (animal hospital group)</t>
        </is>
      </c>
      <c r="I243" s="4" t="inlineStr">
        <is>
          <t>Not identified</t>
        </is>
      </c>
      <c r="J243" s="4" t="inlineStr">
        <is>
          <t>Companion</t>
        </is>
      </c>
      <c r="K243" s="4" t="inlineStr">
        <is>
          <t>Kanto, Kansai, Chubu, Hokuriku, Kyushu</t>
        </is>
      </c>
      <c r="L243" s="4" t="inlineStr">
        <is>
          <t>Not found</t>
        </is>
      </c>
      <c r="M243" s="4" t="inlineStr">
        <is>
          <t>45+</t>
        </is>
      </c>
      <c r="N243" s="4" t="inlineStr">
        <is>
          <t>Not identified</t>
        </is>
      </c>
      <c r="O243" s="4" t="inlineStr">
        <is>
          <t>Not identified</t>
        </is>
      </c>
      <c r="P243" s="4" t="inlineStr">
        <is>
          <t>vcaj.dpo@vcajapan.com</t>
        </is>
      </c>
      <c r="Q243" s="4" t="inlineStr">
        <is>
          <t>03 5953 1308</t>
        </is>
      </c>
      <c r="R243" s="4" t="inlineStr">
        <is>
          <t>Not identified</t>
        </is>
      </c>
      <c r="S243" s="4" t="inlineStr">
        <is>
          <t>Verified (published on own site, read via search); data protection contact, ask to forward</t>
        </is>
      </c>
      <c r="T243" s="6">
        <f>SUM(Z243:AF243)</f>
        <v>18</v>
      </c>
      <c r="U243" s="12" t="inlineStr">
        <is>
          <t>V5</t>
        </is>
      </c>
      <c r="V243" s="4" t="inlineStr">
        <is>
          <t>Mars group network of 45 plus hospitals. FLAG: Mars global procurement may limit local choice.</t>
        </is>
      </c>
      <c r="W243" s="4" t="inlineStr">
        <is>
          <t>Fleet evaluation: 30 day placement in two sites, then a group standard.</t>
        </is>
      </c>
      <c r="X243" s="4" t="inlineStr">
        <is>
          <t>Not checked (human list not in v17)</t>
        </is>
      </c>
      <c r="Y243" s="4" t="inlineStr">
        <is>
          <t>https://www.vcajapan.com/ ; https://www.vcajapan.com/privacy/</t>
        </is>
      </c>
      <c r="Z243" s="4" t="n">
        <v>1</v>
      </c>
      <c r="AA243" s="4" t="n">
        <v>4</v>
      </c>
      <c r="AB243" s="4" t="n">
        <v>3</v>
      </c>
      <c r="AC243" s="4" t="n">
        <v>5</v>
      </c>
      <c r="AD243" s="4" t="n">
        <v>1</v>
      </c>
      <c r="AE243" s="4" t="n">
        <v>1</v>
      </c>
      <c r="AF243" s="4" t="n">
        <v>3</v>
      </c>
      <c r="AG243" s="4" t="inlineStr">
        <is>
          <t>Evidence backed</t>
        </is>
      </c>
    </row>
    <row r="244" ht="75" customHeight="1">
      <c r="A244" s="4" t="n">
        <v>240</v>
      </c>
      <c r="B244" s="4" t="inlineStr">
        <is>
          <t>Withmal Inc.</t>
        </is>
      </c>
      <c r="C244" s="4" t="inlineStr">
        <is>
          <t>株式会社Withmal</t>
        </is>
      </c>
      <c r="D244" s="4" t="inlineStr">
        <is>
          <t>Not found (NTA lookup blocked; dedupe by Japanese name)</t>
        </is>
      </c>
      <c r="E244" s="4" t="inlineStr">
        <is>
          <t>Tokyo</t>
        </is>
      </c>
      <c r="F244" s="4" t="inlineStr">
        <is>
          <t>Kanto</t>
        </is>
      </c>
      <c r="G244" s="5" t="inlineStr">
        <is>
          <t>https://withmal-hd.co.jp/</t>
        </is>
      </c>
      <c r="H244" s="4" t="inlineStr">
        <is>
          <t>End user (animal hospital group)</t>
        </is>
      </c>
      <c r="I244" s="4" t="inlineStr">
        <is>
          <t>Not identified</t>
        </is>
      </c>
      <c r="J244" s="4" t="inlineStr">
        <is>
          <t>Companion</t>
        </is>
      </c>
      <c r="K244" s="4" t="inlineStr">
        <is>
          <t>National incl. Hokkaido, Aichi, Mie</t>
        </is>
      </c>
      <c r="L244" s="4" t="inlineStr">
        <is>
          <t>Not found</t>
        </is>
      </c>
      <c r="M244" s="4" t="inlineStr">
        <is>
          <t>51 (AHHD, Jul 2026)</t>
        </is>
      </c>
      <c r="N244" s="4" t="inlineStr">
        <is>
          <t>Not identified</t>
        </is>
      </c>
      <c r="O244" s="4" t="inlineStr">
        <is>
          <t>Not identified</t>
        </is>
      </c>
      <c r="P244" s="4" t="inlineStr">
        <is>
          <t>Not published; inquiry form: https://withmal.co.jp/contact/</t>
        </is>
      </c>
      <c r="Q244" s="4" t="inlineStr">
        <is>
          <t>Not found (use site)</t>
        </is>
      </c>
      <c r="R244" s="4" t="inlineStr">
        <is>
          <t>Not identified</t>
        </is>
      </c>
      <c r="S244" s="4" t="inlineStr">
        <is>
          <t>Company inquiry only (form)</t>
        </is>
      </c>
      <c r="T244" s="6">
        <f>SUM(Z244:AF244)</f>
        <v>18</v>
      </c>
      <c r="U244" s="12" t="inlineStr">
        <is>
          <t>V5</t>
        </is>
      </c>
      <c r="V244" s="4" t="inlineStr">
        <is>
          <t>Second largest hospital group (51 sites) after rapid M&amp;A growth; L Catterton backed.</t>
        </is>
      </c>
      <c r="W244" s="4" t="inlineStr">
        <is>
          <t>Fleet evaluation: 30 day placement in two sites, then a group standard.</t>
        </is>
      </c>
      <c r="X244" s="4" t="inlineStr">
        <is>
          <t>Not checked (human list not in v17)</t>
        </is>
      </c>
      <c r="Y244" s="4" t="inlineStr">
        <is>
          <t>https://ahhd.jp/I0000019 ; https://globalpetindustry.com/news/l-catterton-invests-japanese-vet-sector/ ; https://withmal.co.jp/contact/</t>
        </is>
      </c>
      <c r="Z244" s="4" t="n">
        <v>1</v>
      </c>
      <c r="AA244" s="4" t="n">
        <v>4</v>
      </c>
      <c r="AB244" s="4" t="n">
        <v>3</v>
      </c>
      <c r="AC244" s="4" t="n">
        <v>5</v>
      </c>
      <c r="AD244" s="4" t="n">
        <v>1</v>
      </c>
      <c r="AE244" s="4" t="n">
        <v>1</v>
      </c>
      <c r="AF244" s="4" t="n">
        <v>3</v>
      </c>
      <c r="AG244" s="4" t="inlineStr">
        <is>
          <t>Evidence backed</t>
        </is>
      </c>
    </row>
    <row r="245" ht="75" customHeight="1">
      <c r="A245" s="4" t="n">
        <v>241</v>
      </c>
      <c r="B245" s="4" t="inlineStr">
        <is>
          <t>and Vet Co., Ltd. (and Vet Animal Hospital Group)</t>
        </is>
      </c>
      <c r="C245" s="4" t="inlineStr">
        <is>
          <t>株式会社and Vet</t>
        </is>
      </c>
      <c r="D245" s="4" t="inlineStr">
        <is>
          <t>1011501027422</t>
        </is>
      </c>
      <c r="E245" s="4" t="inlineStr">
        <is>
          <t>Tokyo</t>
        </is>
      </c>
      <c r="F245" s="4" t="inlineStr">
        <is>
          <t>Kanto</t>
        </is>
      </c>
      <c r="G245" s="5" t="inlineStr">
        <is>
          <t>https://and-vet-ah.com/</t>
        </is>
      </c>
      <c r="H245" s="4" t="inlineStr">
        <is>
          <t>End user (animal hospital group)</t>
        </is>
      </c>
      <c r="I245" s="4" t="inlineStr">
        <is>
          <t>Not identified</t>
        </is>
      </c>
      <c r="J245" s="4" t="inlineStr">
        <is>
          <t>Companion</t>
        </is>
      </c>
      <c r="K245" s="4" t="inlineStr">
        <is>
          <t>Tokyo and Chiba</t>
        </is>
      </c>
      <c r="L245" s="4" t="inlineStr">
        <is>
          <t>Not found</t>
        </is>
      </c>
      <c r="M245" s="4" t="inlineStr">
        <is>
          <t>5 (incl. affiliates)</t>
        </is>
      </c>
      <c r="N245" s="4" t="inlineStr">
        <is>
          <t>Not identified</t>
        </is>
      </c>
      <c r="O245" s="4" t="inlineStr">
        <is>
          <t>Not identified</t>
        </is>
      </c>
      <c r="P245" s="4" t="inlineStr">
        <is>
          <t>info@and-vet.com</t>
        </is>
      </c>
      <c r="Q245" s="4" t="inlineStr">
        <is>
          <t>Not found (use site)</t>
        </is>
      </c>
      <c r="R245" s="4" t="inlineStr">
        <is>
          <t>Not identified</t>
        </is>
      </c>
      <c r="S245" s="4" t="inlineStr">
        <is>
          <t>Verified (published on own site, read via search); PR contact</t>
        </is>
      </c>
      <c r="T245" s="6">
        <f>SUM(Z245:AF245)</f>
        <v>18</v>
      </c>
      <c r="U245" s="12" t="inlineStr">
        <is>
          <t>V5</t>
        </is>
      </c>
      <c r="V245" s="4" t="inlineStr">
        <is>
          <t>Group formed 2022 running five hospitals in Tokyo and Chiba, with an M&amp;A plan to add regional hospitals.</t>
        </is>
      </c>
      <c r="W245" s="4" t="inlineStr">
        <is>
          <t>Fleet evaluation: 30 day placement in two sites, then a group standard.</t>
        </is>
      </c>
      <c r="X245" s="4" t="inlineStr">
        <is>
          <t>Not checked (human list not in v17)</t>
        </is>
      </c>
      <c r="Y245" s="4" t="inlineStr">
        <is>
          <t>https://and-vet-ah.com/ ; https://compalyze.co.jp/company/1011501027422 ; https://and-vet.com/blog/%E6%A0%AA%E5%BC%8F%E4%BC%9A%E7%A4%BE%E3%82%B8%E3%83%A5%E3%82%A6%E3%83%81%E3%82%AF%E3%81%AE%E4%B8%80%E9%83%A8%E6%A0%AA%E5%BC%8F%E5%8F%96%E5%BE%97%E3%81%8A%E3%82%88%E3%81%B3%E8%A3%BD%E8%96%AC%E5%8D%B8/</t>
        </is>
      </c>
      <c r="Z245" s="4" t="n">
        <v>1</v>
      </c>
      <c r="AA245" s="4" t="n">
        <v>4</v>
      </c>
      <c r="AB245" s="4" t="n">
        <v>3</v>
      </c>
      <c r="AC245" s="4" t="n">
        <v>5</v>
      </c>
      <c r="AD245" s="4" t="n">
        <v>1</v>
      </c>
      <c r="AE245" s="4" t="n">
        <v>1</v>
      </c>
      <c r="AF245" s="4" t="n">
        <v>3</v>
      </c>
      <c r="AG245" s="4" t="inlineStr">
        <is>
          <t>Evidence backed</t>
        </is>
      </c>
    </row>
    <row r="246" ht="75" customHeight="1">
      <c r="A246" s="4" t="n">
        <v>242</v>
      </c>
      <c r="B246" s="4" t="inlineStr">
        <is>
          <t>Fukuoka Animal Medical Center Group</t>
        </is>
      </c>
      <c r="C246" s="4" t="inlineStr">
        <is>
          <t>株式会社福岡動物医療センター</t>
        </is>
      </c>
      <c r="D246" s="4" t="inlineStr">
        <is>
          <t>Not found (NTA lookup blocked; dedupe by Japanese name)</t>
        </is>
      </c>
      <c r="E246" s="4" t="inlineStr">
        <is>
          <t>Fukuoka</t>
        </is>
      </c>
      <c r="F246" s="4" t="inlineStr">
        <is>
          <t>Kyushu and Okinawa</t>
        </is>
      </c>
      <c r="G246" s="5" t="inlineStr">
        <is>
          <t>https://f-dic.com/</t>
        </is>
      </c>
      <c r="H246" s="4" t="inlineStr">
        <is>
          <t>End user (animal hospital group)</t>
        </is>
      </c>
      <c r="I246" s="4" t="inlineStr">
        <is>
          <t>Not identified</t>
        </is>
      </c>
      <c r="J246" s="4" t="inlineStr">
        <is>
          <t>Companion</t>
        </is>
      </c>
      <c r="K246" s="4" t="inlineStr">
        <is>
          <t>Fukuoka (Hakata, Kasuga)</t>
        </is>
      </c>
      <c r="L246" s="4" t="inlineStr">
        <is>
          <t>Not found</t>
        </is>
      </c>
      <c r="M246" s="4" t="inlineStr">
        <is>
          <t>3</t>
        </is>
      </c>
      <c r="N246" s="4" t="inlineStr">
        <is>
          <t>Not identified</t>
        </is>
      </c>
      <c r="O246" s="4" t="inlineStr">
        <is>
          <t>Not identified</t>
        </is>
      </c>
      <c r="P246" s="4" t="inlineStr">
        <is>
          <t>Not published; phone only</t>
        </is>
      </c>
      <c r="Q246" s="4" t="inlineStr">
        <is>
          <t>092 471 7748</t>
        </is>
      </c>
      <c r="R246" s="4" t="inlineStr">
        <is>
          <t>Not identified</t>
        </is>
      </c>
      <c r="S246" s="4" t="inlineStr">
        <is>
          <t>Company inquiry only (phone)</t>
        </is>
      </c>
      <c r="T246" s="6">
        <f>SUM(Z246:AF246)</f>
        <v>18</v>
      </c>
      <c r="U246" s="12" t="inlineStr">
        <is>
          <t>V5</t>
        </is>
      </c>
      <c r="V246" s="4" t="inlineStr">
        <is>
          <t>Three hospital Fukuoka group.</t>
        </is>
      </c>
      <c r="W246" s="4" t="inlineStr">
        <is>
          <t>Fleet evaluation: 30 day placement in two sites, then a group standard.</t>
        </is>
      </c>
      <c r="X246" s="4" t="inlineStr">
        <is>
          <t>Not checked (human list not in v17)</t>
        </is>
      </c>
      <c r="Y246" s="4" t="inlineStr">
        <is>
          <t>https://fukuoka-ahg.jp/group/ ; https://f-dic.com/</t>
        </is>
      </c>
      <c r="Z246" s="4" t="n">
        <v>1</v>
      </c>
      <c r="AA246" s="4" t="n">
        <v>4</v>
      </c>
      <c r="AB246" s="4" t="n">
        <v>3</v>
      </c>
      <c r="AC246" s="4" t="n">
        <v>5</v>
      </c>
      <c r="AD246" s="4" t="n">
        <v>1</v>
      </c>
      <c r="AE246" s="4" t="n">
        <v>1</v>
      </c>
      <c r="AF246" s="4" t="n">
        <v>3</v>
      </c>
      <c r="AG246" s="4" t="inlineStr">
        <is>
          <t>Evidence backed</t>
        </is>
      </c>
    </row>
    <row r="247" ht="75" customHeight="1">
      <c r="A247" s="4" t="n">
        <v>243</v>
      </c>
      <c r="B247" s="4" t="inlineStr">
        <is>
          <t>NOSAI Kagoshima</t>
        </is>
      </c>
      <c r="C247" s="4" t="inlineStr">
        <is>
          <t>鹿児島県農業共済組合</t>
        </is>
      </c>
      <c r="D247" s="4" t="inlineStr">
        <is>
          <t>Not found (NTA lookup blocked; dedupe by Japanese name)</t>
        </is>
      </c>
      <c r="E247" s="4" t="inlineStr">
        <is>
          <t>Kagoshima</t>
        </is>
      </c>
      <c r="F247" s="4" t="inlineStr">
        <is>
          <t>Kyushu and Okinawa</t>
        </is>
      </c>
      <c r="G247" s="5" t="inlineStr">
        <is>
          <t>https://www.nosai46.jp/kagoshima/</t>
        </is>
      </c>
      <c r="H247" s="4" t="inlineStr">
        <is>
          <t>End user (livestock clinic network)</t>
        </is>
      </c>
      <c r="I247" s="4" t="inlineStr">
        <is>
          <t>Not identified</t>
        </is>
      </c>
      <c r="J247" s="4" t="inlineStr">
        <is>
          <t>Large animal</t>
        </is>
      </c>
      <c r="K247" s="4" t="inlineStr">
        <is>
          <t>Kagoshima livestock clinics</t>
        </is>
      </c>
      <c r="L247" s="4" t="inlineStr">
        <is>
          <t>Not found</t>
        </is>
      </c>
      <c r="M247" s="4" t="inlineStr">
        <is>
          <t>8 livestock clinic centres</t>
        </is>
      </c>
      <c r="N247" s="4" t="inlineStr">
        <is>
          <t>Not identified</t>
        </is>
      </c>
      <c r="O247" s="4" t="inlineStr">
        <is>
          <t>Not identified</t>
        </is>
      </c>
      <c r="P247" s="4" t="inlineStr">
        <is>
          <t>Not published; phone only</t>
        </is>
      </c>
      <c r="Q247" s="4" t="inlineStr">
        <is>
          <t>099 255 6161</t>
        </is>
      </c>
      <c r="R247" s="4" t="inlineStr">
        <is>
          <t>Not identified</t>
        </is>
      </c>
      <c r="S247" s="4" t="inlineStr">
        <is>
          <t>Company inquiry only (phone)</t>
        </is>
      </c>
      <c r="T247" s="6">
        <f>SUM(Z247:AF247)</f>
        <v>18</v>
      </c>
      <c r="U247" s="12" t="inlineStr">
        <is>
          <t>V5</t>
        </is>
      </c>
      <c r="V247" s="4" t="inlineStr">
        <is>
          <t>Covers Japan's biggest beef cattle prefecture.</t>
        </is>
      </c>
      <c r="W247" s="4" t="inlineStr">
        <is>
          <t>Field trial of a rugged livestock portable (EBit 50) with clinic vets during pregnancy checks.</t>
        </is>
      </c>
      <c r="X247" s="4" t="inlineStr">
        <is>
          <t>Not checked (human list not in v17)</t>
        </is>
      </c>
      <c r="Y247" s="4" t="inlineStr">
        <is>
          <t>https://www.nosai46.jp/kagoshima/ ; http://www.nosai.or.jp/mt6/2022/01/post-6662.html ; https://www.nosai46.jp/kagoshima/honsho/</t>
        </is>
      </c>
      <c r="Z247" s="4" t="n">
        <v>1</v>
      </c>
      <c r="AA247" s="4" t="n">
        <v>4</v>
      </c>
      <c r="AB247" s="4" t="n">
        <v>3</v>
      </c>
      <c r="AC247" s="4" t="n">
        <v>1</v>
      </c>
      <c r="AD247" s="4" t="n">
        <v>5</v>
      </c>
      <c r="AE247" s="4" t="n">
        <v>1</v>
      </c>
      <c r="AF247" s="4" t="n">
        <v>3</v>
      </c>
      <c r="AG247" s="4" t="inlineStr">
        <is>
          <t>Evidence backed</t>
        </is>
      </c>
    </row>
    <row r="248" ht="75" customHeight="1">
      <c r="A248" s="4" t="n">
        <v>244</v>
      </c>
      <c r="B248" s="4" t="inlineStr">
        <is>
          <t>NOSAI Kumamoto</t>
        </is>
      </c>
      <c r="C248" s="4" t="inlineStr">
        <is>
          <t>熊本県農業共済組合</t>
        </is>
      </c>
      <c r="D248" s="4" t="inlineStr">
        <is>
          <t>Not found (NTA lookup blocked; dedupe by Japanese name)</t>
        </is>
      </c>
      <c r="E248" s="4" t="inlineStr">
        <is>
          <t>Kumamoto</t>
        </is>
      </c>
      <c r="F248" s="4" t="inlineStr">
        <is>
          <t>Kyushu and Okinawa</t>
        </is>
      </c>
      <c r="G248" s="5" t="inlineStr">
        <is>
          <t>https://nosai-kumamoto.or.jp/</t>
        </is>
      </c>
      <c r="H248" s="4" t="inlineStr">
        <is>
          <t>End user (livestock clinic network)</t>
        </is>
      </c>
      <c r="I248" s="4" t="inlineStr">
        <is>
          <t>Not identified</t>
        </is>
      </c>
      <c r="J248" s="4" t="inlineStr">
        <is>
          <t>Large animal</t>
        </is>
      </c>
      <c r="K248" s="4" t="inlineStr">
        <is>
          <t>Kumamoto livestock clinics</t>
        </is>
      </c>
      <c r="L248" s="4" t="inlineStr">
        <is>
          <t>Not found</t>
        </is>
      </c>
      <c r="M248" s="4" t="inlineStr">
        <is>
          <t>Livestock clinics in Kumamoto and Kikuchi</t>
        </is>
      </c>
      <c r="N248" s="4" t="inlineStr">
        <is>
          <t>Not identified</t>
        </is>
      </c>
      <c r="O248" s="4" t="inlineStr">
        <is>
          <t>Not identified</t>
        </is>
      </c>
      <c r="P248" s="4" t="inlineStr">
        <is>
          <t>Not published; phone only</t>
        </is>
      </c>
      <c r="Q248" s="4" t="inlineStr">
        <is>
          <t>0964 25 3200</t>
        </is>
      </c>
      <c r="R248" s="4" t="inlineStr">
        <is>
          <t>Not identified</t>
        </is>
      </c>
      <c r="S248" s="4" t="inlineStr">
        <is>
          <t>Company inquiry only (phone)</t>
        </is>
      </c>
      <c r="T248" s="6">
        <f>SUM(Z248:AF248)</f>
        <v>18</v>
      </c>
      <c r="U248" s="12" t="inlineStr">
        <is>
          <t>V5</t>
        </is>
      </c>
      <c r="V248" s="4" t="inlineStr">
        <is>
          <t>Dairy and beef area around Kikuchi.</t>
        </is>
      </c>
      <c r="W248" s="4" t="inlineStr">
        <is>
          <t>Field trial of a rugged livestock portable (EBit 50) with clinic vets during pregnancy checks.</t>
        </is>
      </c>
      <c r="X248" s="4" t="inlineStr">
        <is>
          <t>Not checked (human list not in v17)</t>
        </is>
      </c>
      <c r="Y248" s="4" t="inlineStr">
        <is>
          <t>https://www.nosai.or.jp/nosai_kasou/juuishi/kyusyu_okinawa.html ; https://nosai-kumamoto.or.jp/nosai/access/</t>
        </is>
      </c>
      <c r="Z248" s="4" t="n">
        <v>1</v>
      </c>
      <c r="AA248" s="4" t="n">
        <v>4</v>
      </c>
      <c r="AB248" s="4" t="n">
        <v>3</v>
      </c>
      <c r="AC248" s="4" t="n">
        <v>1</v>
      </c>
      <c r="AD248" s="4" t="n">
        <v>5</v>
      </c>
      <c r="AE248" s="4" t="n">
        <v>1</v>
      </c>
      <c r="AF248" s="4" t="n">
        <v>3</v>
      </c>
      <c r="AG248" s="4" t="inlineStr">
        <is>
          <t>Evidence backed</t>
        </is>
      </c>
    </row>
    <row r="249" ht="75" customHeight="1">
      <c r="A249" s="4" t="n">
        <v>245</v>
      </c>
      <c r="B249" s="4" t="inlineStr">
        <is>
          <t>NOSAI Miyazaki</t>
        </is>
      </c>
      <c r="C249" s="4" t="inlineStr">
        <is>
          <t>宮崎県農業共済組合</t>
        </is>
      </c>
      <c r="D249" s="4" t="inlineStr">
        <is>
          <t>Not found (NTA lookup blocked; dedupe by Japanese name)</t>
        </is>
      </c>
      <c r="E249" s="4" t="inlineStr">
        <is>
          <t>Miyazaki</t>
        </is>
      </c>
      <c r="F249" s="4" t="inlineStr">
        <is>
          <t>Kyushu and Okinawa</t>
        </is>
      </c>
      <c r="G249" s="5" t="inlineStr">
        <is>
          <t>https://nosai-miyazakiken.jp</t>
        </is>
      </c>
      <c r="H249" s="4" t="inlineStr">
        <is>
          <t>End user (livestock clinic network)</t>
        </is>
      </c>
      <c r="I249" s="4" t="inlineStr">
        <is>
          <t>Not identified</t>
        </is>
      </c>
      <c r="J249" s="4" t="inlineStr">
        <is>
          <t>Large animal</t>
        </is>
      </c>
      <c r="K249" s="4" t="inlineStr">
        <is>
          <t>Miyazaki livestock clinics</t>
        </is>
      </c>
      <c r="L249" s="4" t="inlineStr">
        <is>
          <t>Not found</t>
        </is>
      </c>
      <c r="M249" s="4" t="inlineStr">
        <is>
          <t>Multiple livestock clinics</t>
        </is>
      </c>
      <c r="N249" s="4" t="inlineStr">
        <is>
          <t>Not identified</t>
        </is>
      </c>
      <c r="O249" s="4" t="inlineStr">
        <is>
          <t>Not identified</t>
        </is>
      </c>
      <c r="P249" s="4" t="inlineStr">
        <is>
          <t>Not published; phone only</t>
        </is>
      </c>
      <c r="Q249" s="4" t="inlineStr">
        <is>
          <t>0985 27 4288</t>
        </is>
      </c>
      <c r="R249" s="4" t="inlineStr">
        <is>
          <t>Not identified</t>
        </is>
      </c>
      <c r="S249" s="4" t="inlineStr">
        <is>
          <t>Company inquiry only (phone)</t>
        </is>
      </c>
      <c r="T249" s="6">
        <f>SUM(Z249:AF249)</f>
        <v>18</v>
      </c>
      <c r="U249" s="12" t="inlineStr">
        <is>
          <t>V5</t>
        </is>
      </c>
      <c r="V249" s="4" t="inlineStr">
        <is>
          <t>Major beef and pig prefecture; recruiting clinic vets.</t>
        </is>
      </c>
      <c r="W249" s="4" t="inlineStr">
        <is>
          <t>Field trial of a rugged livestock portable (EBit 50) with clinic vets during pregnancy checks.</t>
        </is>
      </c>
      <c r="X249" s="4" t="inlineStr">
        <is>
          <t>Not checked (human list not in v17)</t>
        </is>
      </c>
      <c r="Y249" s="4" t="inlineStr">
        <is>
          <t>https://nosai-miyazakiken.jp/veterinarian/ ; https://www.maff.go.jp/j/keiei/nogyohoken/contact.html</t>
        </is>
      </c>
      <c r="Z249" s="4" t="n">
        <v>1</v>
      </c>
      <c r="AA249" s="4" t="n">
        <v>4</v>
      </c>
      <c r="AB249" s="4" t="n">
        <v>3</v>
      </c>
      <c r="AC249" s="4" t="n">
        <v>1</v>
      </c>
      <c r="AD249" s="4" t="n">
        <v>5</v>
      </c>
      <c r="AE249" s="4" t="n">
        <v>1</v>
      </c>
      <c r="AF249" s="4" t="n">
        <v>3</v>
      </c>
      <c r="AG249" s="4" t="inlineStr">
        <is>
          <t>Evidence backed</t>
        </is>
      </c>
    </row>
    <row r="250" ht="75" customHeight="1">
      <c r="A250" s="4" t="n">
        <v>246</v>
      </c>
      <c r="B250" s="4" t="inlineStr">
        <is>
          <t>NOSAI Nagasaki</t>
        </is>
      </c>
      <c r="C250" s="4" t="inlineStr">
        <is>
          <t>長崎県農業共済組合</t>
        </is>
      </c>
      <c r="D250" s="4" t="inlineStr">
        <is>
          <t>Not found (NTA lookup blocked; dedupe by Japanese name)</t>
        </is>
      </c>
      <c r="E250" s="4" t="inlineStr">
        <is>
          <t>Nagasaki</t>
        </is>
      </c>
      <c r="F250" s="4" t="inlineStr">
        <is>
          <t>Kyushu and Okinawa</t>
        </is>
      </c>
      <c r="G250" s="5" t="inlineStr">
        <is>
          <t>https://www.nosai-ngs.jp</t>
        </is>
      </c>
      <c r="H250" s="4" t="inlineStr">
        <is>
          <t>End user (livestock clinic network)</t>
        </is>
      </c>
      <c r="I250" s="4" t="inlineStr">
        <is>
          <t>Not identified</t>
        </is>
      </c>
      <c r="J250" s="4" t="inlineStr">
        <is>
          <t>Large animal</t>
        </is>
      </c>
      <c r="K250" s="4" t="inlineStr">
        <is>
          <t>Nagasaki livestock clinics</t>
        </is>
      </c>
      <c r="L250" s="4" t="inlineStr">
        <is>
          <t>Not found</t>
        </is>
      </c>
      <c r="M250" s="4" t="inlineStr">
        <is>
          <t>7 livestock clinics</t>
        </is>
      </c>
      <c r="N250" s="4" t="inlineStr">
        <is>
          <t>Not identified</t>
        </is>
      </c>
      <c r="O250" s="4" t="inlineStr">
        <is>
          <t>Not identified</t>
        </is>
      </c>
      <c r="P250" s="4" t="inlineStr">
        <is>
          <t>Not published; phone only</t>
        </is>
      </c>
      <c r="Q250" s="4" t="inlineStr">
        <is>
          <t>0957 23 6161</t>
        </is>
      </c>
      <c r="R250" s="4" t="inlineStr">
        <is>
          <t>Not identified</t>
        </is>
      </c>
      <c r="S250" s="4" t="inlineStr">
        <is>
          <t>Company inquiry only (phone)</t>
        </is>
      </c>
      <c r="T250" s="6">
        <f>SUM(Z250:AF250)</f>
        <v>18</v>
      </c>
      <c r="U250" s="12" t="inlineStr">
        <is>
          <t>V5</t>
        </is>
      </c>
      <c r="V250" s="4" t="inlineStr">
        <is>
          <t>Seven clinics incl. island sites (Goto, Tsushima).</t>
        </is>
      </c>
      <c r="W250" s="4" t="inlineStr">
        <is>
          <t>Field trial of a rugged livestock portable (EBit 50) with clinic vets during pregnancy checks.</t>
        </is>
      </c>
      <c r="X250" s="4" t="inlineStr">
        <is>
          <t>Not checked (human list not in v17)</t>
        </is>
      </c>
      <c r="Y250" s="4" t="inlineStr">
        <is>
          <t>https://www.nosai-ngs.jp/list.html ; https://www.nosai-ngs.jp/</t>
        </is>
      </c>
      <c r="Z250" s="4" t="n">
        <v>1</v>
      </c>
      <c r="AA250" s="4" t="n">
        <v>4</v>
      </c>
      <c r="AB250" s="4" t="n">
        <v>3</v>
      </c>
      <c r="AC250" s="4" t="n">
        <v>1</v>
      </c>
      <c r="AD250" s="4" t="n">
        <v>5</v>
      </c>
      <c r="AE250" s="4" t="n">
        <v>1</v>
      </c>
      <c r="AF250" s="4" t="n">
        <v>3</v>
      </c>
      <c r="AG250" s="4" t="inlineStr">
        <is>
          <t>Evidence backed</t>
        </is>
      </c>
    </row>
    <row r="251" ht="75" customHeight="1">
      <c r="A251" s="4" t="n">
        <v>247</v>
      </c>
      <c r="B251" s="4" t="inlineStr">
        <is>
          <t>NOSAI Oita</t>
        </is>
      </c>
      <c r="C251" s="4" t="inlineStr">
        <is>
          <t>大分県農業共済組合</t>
        </is>
      </c>
      <c r="D251" s="4" t="inlineStr">
        <is>
          <t>Not found (NTA lookup blocked; dedupe by Japanese name)</t>
        </is>
      </c>
      <c r="E251" s="4" t="inlineStr">
        <is>
          <t>Oita</t>
        </is>
      </c>
      <c r="F251" s="4" t="inlineStr">
        <is>
          <t>Kyushu and Okinawa</t>
        </is>
      </c>
      <c r="G251" s="5" t="inlineStr">
        <is>
          <t>https://www.nosai-oita.jp</t>
        </is>
      </c>
      <c r="H251" s="4" t="inlineStr">
        <is>
          <t>End user (livestock clinic network)</t>
        </is>
      </c>
      <c r="I251" s="4" t="inlineStr">
        <is>
          <t>Not identified</t>
        </is>
      </c>
      <c r="J251" s="4" t="inlineStr">
        <is>
          <t>Large animal</t>
        </is>
      </c>
      <c r="K251" s="4" t="inlineStr">
        <is>
          <t>Oita livestock clinics</t>
        </is>
      </c>
      <c r="L251" s="4" t="inlineStr">
        <is>
          <t>Not found</t>
        </is>
      </c>
      <c r="M251" s="4" t="inlineStr">
        <is>
          <t>Multiple livestock clinics</t>
        </is>
      </c>
      <c r="N251" s="4" t="inlineStr">
        <is>
          <t>Not identified</t>
        </is>
      </c>
      <c r="O251" s="4" t="inlineStr">
        <is>
          <t>Not identified</t>
        </is>
      </c>
      <c r="P251" s="4" t="inlineStr">
        <is>
          <t>hp@nosai-oita.jp</t>
        </is>
      </c>
      <c r="Q251" s="4" t="inlineStr">
        <is>
          <t>097 544 8110</t>
        </is>
      </c>
      <c r="R251" s="4" t="inlineStr">
        <is>
          <t>Not identified</t>
        </is>
      </c>
      <c r="S251" s="4" t="inlineStr">
        <is>
          <t>Verified (published on own site, read via search)</t>
        </is>
      </c>
      <c r="T251" s="6">
        <f>SUM(Z251:AF251)</f>
        <v>18</v>
      </c>
      <c r="U251" s="12" t="inlineStr">
        <is>
          <t>V5</t>
        </is>
      </c>
      <c r="V251" s="4" t="inlineStr">
        <is>
          <t>Published livestock clinic network.</t>
        </is>
      </c>
      <c r="W251" s="4" t="inlineStr">
        <is>
          <t>Field trial of a rugged livestock portable (EBit 50) with clinic vets during pregnancy checks.</t>
        </is>
      </c>
      <c r="X251" s="4" t="inlineStr">
        <is>
          <t>Not checked (human list not in v17)</t>
        </is>
      </c>
      <c r="Y251" s="4" t="inlineStr">
        <is>
          <t>https://www.nosai-oita.jp/kachikushinryojo ; https://www.nosai-oita.jp/</t>
        </is>
      </c>
      <c r="Z251" s="4" t="n">
        <v>1</v>
      </c>
      <c r="AA251" s="4" t="n">
        <v>4</v>
      </c>
      <c r="AB251" s="4" t="n">
        <v>3</v>
      </c>
      <c r="AC251" s="4" t="n">
        <v>1</v>
      </c>
      <c r="AD251" s="4" t="n">
        <v>5</v>
      </c>
      <c r="AE251" s="4" t="n">
        <v>1</v>
      </c>
      <c r="AF251" s="4" t="n">
        <v>3</v>
      </c>
      <c r="AG251" s="4" t="inlineStr">
        <is>
          <t>Evidence backed</t>
        </is>
      </c>
    </row>
    <row r="252" ht="75" customHeight="1">
      <c r="A252" s="4" t="n">
        <v>248</v>
      </c>
      <c r="B252" s="4" t="inlineStr">
        <is>
          <t>NOSAI Okinawa</t>
        </is>
      </c>
      <c r="C252" s="4" t="inlineStr">
        <is>
          <t>沖縄県農業共済組合</t>
        </is>
      </c>
      <c r="D252" s="4" t="inlineStr">
        <is>
          <t>Not found (NTA lookup blocked; dedupe by Japanese name)</t>
        </is>
      </c>
      <c r="E252" s="4" t="inlineStr">
        <is>
          <t>Okinawa</t>
        </is>
      </c>
      <c r="F252" s="4" t="inlineStr">
        <is>
          <t>Kyushu and Okinawa</t>
        </is>
      </c>
      <c r="G252" s="5" t="inlineStr">
        <is>
          <t>https://nosai-okinawa.jp</t>
        </is>
      </c>
      <c r="H252" s="4" t="inlineStr">
        <is>
          <t>End user (livestock clinic network)</t>
        </is>
      </c>
      <c r="I252" s="4" t="inlineStr">
        <is>
          <t>Not identified</t>
        </is>
      </c>
      <c r="J252" s="4" t="inlineStr">
        <is>
          <t>Large animal</t>
        </is>
      </c>
      <c r="K252" s="4" t="inlineStr">
        <is>
          <t>Okinawa livestock clinics</t>
        </is>
      </c>
      <c r="L252" s="4" t="inlineStr">
        <is>
          <t>Not found</t>
        </is>
      </c>
      <c r="M252" s="4" t="inlineStr">
        <is>
          <t>9 livestock clinics</t>
        </is>
      </c>
      <c r="N252" s="4" t="inlineStr">
        <is>
          <t>Not identified</t>
        </is>
      </c>
      <c r="O252" s="4" t="inlineStr">
        <is>
          <t>Not identified</t>
        </is>
      </c>
      <c r="P252" s="4" t="inlineStr">
        <is>
          <t>Not published; phone only</t>
        </is>
      </c>
      <c r="Q252" s="4" t="inlineStr">
        <is>
          <t>098 833 8188</t>
        </is>
      </c>
      <c r="R252" s="4" t="inlineStr">
        <is>
          <t>Not identified</t>
        </is>
      </c>
      <c r="S252" s="4" t="inlineStr">
        <is>
          <t>Company inquiry only (phone)</t>
        </is>
      </c>
      <c r="T252" s="6">
        <f>SUM(Z252:AF252)</f>
        <v>18</v>
      </c>
      <c r="U252" s="12" t="inlineStr">
        <is>
          <t>V5</t>
        </is>
      </c>
      <c r="V252" s="4" t="inlineStr">
        <is>
          <t>Nine clinics across Okinawa main island and outer islands; strong beef calf production.</t>
        </is>
      </c>
      <c r="W252" s="4" t="inlineStr">
        <is>
          <t>Field trial of a rugged livestock portable (EBit 50) with clinic vets during pregnancy checks.</t>
        </is>
      </c>
      <c r="X252" s="4" t="inlineStr">
        <is>
          <t>Not checked (human list not in v17)</t>
        </is>
      </c>
      <c r="Y252" s="4" t="inlineStr">
        <is>
          <t>https://nosai-okinawa.jp/clinic/ ; https://www.maff.go.jp/j/keiei/nogyohoken/contact.html</t>
        </is>
      </c>
      <c r="Z252" s="4" t="n">
        <v>1</v>
      </c>
      <c r="AA252" s="4" t="n">
        <v>4</v>
      </c>
      <c r="AB252" s="4" t="n">
        <v>3</v>
      </c>
      <c r="AC252" s="4" t="n">
        <v>1</v>
      </c>
      <c r="AD252" s="4" t="n">
        <v>5</v>
      </c>
      <c r="AE252" s="4" t="n">
        <v>1</v>
      </c>
      <c r="AF252" s="4" t="n">
        <v>3</v>
      </c>
      <c r="AG252" s="4" t="inlineStr">
        <is>
          <t>Evidence backed</t>
        </is>
      </c>
    </row>
    <row r="253" ht="75" customHeight="1">
      <c r="A253" s="4" t="n">
        <v>249</v>
      </c>
      <c r="B253" s="4" t="inlineStr">
        <is>
          <t>NOSAI Saga</t>
        </is>
      </c>
      <c r="C253" s="4" t="inlineStr">
        <is>
          <t>佐賀県農業共済組合</t>
        </is>
      </c>
      <c r="D253" s="4" t="inlineStr">
        <is>
          <t>Not found (NTA lookup blocked; dedupe by Japanese name)</t>
        </is>
      </c>
      <c r="E253" s="4" t="inlineStr">
        <is>
          <t>Saga</t>
        </is>
      </c>
      <c r="F253" s="4" t="inlineStr">
        <is>
          <t>Kyushu and Okinawa</t>
        </is>
      </c>
      <c r="G253" s="4" t="inlineStr">
        <is>
          <t>Not found</t>
        </is>
      </c>
      <c r="H253" s="4" t="inlineStr">
        <is>
          <t>End user (livestock clinic network)</t>
        </is>
      </c>
      <c r="I253" s="4" t="inlineStr">
        <is>
          <t>Not identified</t>
        </is>
      </c>
      <c r="J253" s="4" t="inlineStr">
        <is>
          <t>Large animal</t>
        </is>
      </c>
      <c r="K253" s="4" t="inlineStr">
        <is>
          <t>Saga livestock clinics</t>
        </is>
      </c>
      <c r="L253" s="4" t="inlineStr">
        <is>
          <t>Not found</t>
        </is>
      </c>
      <c r="M253" s="4" t="inlineStr">
        <is>
          <t>Livestock clinics (count not confirmed)</t>
        </is>
      </c>
      <c r="N253" s="4" t="inlineStr">
        <is>
          <t>Not identified</t>
        </is>
      </c>
      <c r="O253" s="4" t="inlineStr">
        <is>
          <t>Not identified</t>
        </is>
      </c>
      <c r="P253" s="4" t="inlineStr">
        <is>
          <t>Not published; phone only</t>
        </is>
      </c>
      <c r="Q253" s="4" t="inlineStr">
        <is>
          <t>0952 31 4171</t>
        </is>
      </c>
      <c r="R253" s="4" t="inlineStr">
        <is>
          <t>Not identified</t>
        </is>
      </c>
      <c r="S253" s="4" t="inlineStr">
        <is>
          <t>Company inquiry only (phone)</t>
        </is>
      </c>
      <c r="T253" s="6">
        <f>SUM(Z253:AF253)</f>
        <v>18</v>
      </c>
      <c r="U253" s="12" t="inlineStr">
        <is>
          <t>V5</t>
        </is>
      </c>
      <c r="V253" s="4" t="inlineStr">
        <is>
          <t>Saga beef (Sagagyu) producing area.</t>
        </is>
      </c>
      <c r="W253" s="4" t="inlineStr">
        <is>
          <t>Field trial of a rugged livestock portable (EBit 50) with clinic vets during pregnancy checks.</t>
        </is>
      </c>
      <c r="X253" s="4" t="inlineStr">
        <is>
          <t>Not checked (human list not in v17)</t>
        </is>
      </c>
      <c r="Y253" s="4" t="inlineStr">
        <is>
          <t>https://www.nosai.or.jp/nosai_kasou/nosai_kakuchi01.html ; https://www.maff.go.jp/j/keiei/nogyohoken/contact.html</t>
        </is>
      </c>
      <c r="Z253" s="4" t="n">
        <v>1</v>
      </c>
      <c r="AA253" s="4" t="n">
        <v>4</v>
      </c>
      <c r="AB253" s="4" t="n">
        <v>3</v>
      </c>
      <c r="AC253" s="4" t="n">
        <v>1</v>
      </c>
      <c r="AD253" s="4" t="n">
        <v>5</v>
      </c>
      <c r="AE253" s="4" t="n">
        <v>1</v>
      </c>
      <c r="AF253" s="4" t="n">
        <v>3</v>
      </c>
      <c r="AG253" s="4" t="inlineStr">
        <is>
          <t>Evidence backed</t>
        </is>
      </c>
    </row>
    <row r="254" ht="75" customHeight="1">
      <c r="A254" s="4" t="n">
        <v>250</v>
      </c>
      <c r="B254" s="4" t="inlineStr">
        <is>
          <t>Pet Clinic Halleluya Group</t>
        </is>
      </c>
      <c r="C254" s="4" t="inlineStr">
        <is>
          <t>ペットクリニックハレルヤ</t>
        </is>
      </c>
      <c r="D254" s="4" t="inlineStr">
        <is>
          <t>Not found (NTA lookup blocked; dedupe by Japanese name)</t>
        </is>
      </c>
      <c r="E254" s="4" t="inlineStr">
        <is>
          <t>Fukuoka</t>
        </is>
      </c>
      <c r="F254" s="4" t="inlineStr">
        <is>
          <t>Kyushu and Okinawa</t>
        </is>
      </c>
      <c r="G254" s="5" t="inlineStr">
        <is>
          <t>https://halleluya-vet.com/</t>
        </is>
      </c>
      <c r="H254" s="4" t="inlineStr">
        <is>
          <t>End user (animal hospital group)</t>
        </is>
      </c>
      <c r="I254" s="4" t="inlineStr">
        <is>
          <t>Not identified</t>
        </is>
      </c>
      <c r="J254" s="4" t="inlineStr">
        <is>
          <t>Companion</t>
        </is>
      </c>
      <c r="K254" s="4" t="inlineStr">
        <is>
          <t>Fukuoka city and Kasuya</t>
        </is>
      </c>
      <c r="L254" s="4" t="inlineStr">
        <is>
          <t>Not found</t>
        </is>
      </c>
      <c r="M254" s="4" t="inlineStr">
        <is>
          <t>4</t>
        </is>
      </c>
      <c r="N254" s="4" t="inlineStr">
        <is>
          <t>Not identified</t>
        </is>
      </c>
      <c r="O254" s="4" t="inlineStr">
        <is>
          <t>Not identified</t>
        </is>
      </c>
      <c r="P254" s="4" t="inlineStr">
        <is>
          <t>hall@helen.ocn.ne.jp</t>
        </is>
      </c>
      <c r="Q254" s="4" t="inlineStr">
        <is>
          <t>092 521 3267</t>
        </is>
      </c>
      <c r="R254" s="4" t="inlineStr">
        <is>
          <t>Not identified</t>
        </is>
      </c>
      <c r="S254" s="4" t="inlineStr">
        <is>
          <t>Verified (published on own site, read via search)</t>
        </is>
      </c>
      <c r="T254" s="6">
        <f>SUM(Z254:AF254)</f>
        <v>18</v>
      </c>
      <c r="U254" s="12" t="inlineStr">
        <is>
          <t>V5</t>
        </is>
      </c>
      <c r="V254" s="4" t="inlineStr">
        <is>
          <t>Four hospital Fukuoka group.</t>
        </is>
      </c>
      <c r="W254" s="4" t="inlineStr">
        <is>
          <t>Fleet evaluation: 30 day placement in two sites, then a group standard.</t>
        </is>
      </c>
      <c r="X254" s="4" t="inlineStr">
        <is>
          <t>Not checked (human list not in v17)</t>
        </is>
      </c>
      <c r="Y254" s="4" t="inlineStr">
        <is>
          <t>https://www.halleluya-vet.net/aboutus</t>
        </is>
      </c>
      <c r="Z254" s="4" t="n">
        <v>1</v>
      </c>
      <c r="AA254" s="4" t="n">
        <v>4</v>
      </c>
      <c r="AB254" s="4" t="n">
        <v>3</v>
      </c>
      <c r="AC254" s="4" t="n">
        <v>5</v>
      </c>
      <c r="AD254" s="4" t="n">
        <v>1</v>
      </c>
      <c r="AE254" s="4" t="n">
        <v>1</v>
      </c>
      <c r="AF254" s="4" t="n">
        <v>3</v>
      </c>
      <c r="AG254" s="4" t="inlineStr">
        <is>
          <t>Evidence backed</t>
        </is>
      </c>
    </row>
    <row r="255" ht="75" customHeight="1">
      <c r="A255" s="4" t="n">
        <v>251</v>
      </c>
      <c r="B255" s="4" t="inlineStr">
        <is>
          <t>Midori no Mori Animal Hospital Group</t>
        </is>
      </c>
      <c r="C255" s="4" t="inlineStr">
        <is>
          <t>緑の森どうぶつ病院</t>
        </is>
      </c>
      <c r="D255" s="4" t="inlineStr">
        <is>
          <t>Not found (NTA lookup blocked; dedupe by Japanese name)</t>
        </is>
      </c>
      <c r="E255" s="4" t="inlineStr">
        <is>
          <t>Hokkaido</t>
        </is>
      </c>
      <c r="F255" s="4" t="inlineStr">
        <is>
          <t>Tohoku and Hokkaido</t>
        </is>
      </c>
      <c r="G255" s="5" t="inlineStr">
        <is>
          <t>https://midori-no-mori.jp/</t>
        </is>
      </c>
      <c r="H255" s="4" t="inlineStr">
        <is>
          <t>End user (animal hospital group)</t>
        </is>
      </c>
      <c r="I255" s="4" t="inlineStr">
        <is>
          <t>Not identified</t>
        </is>
      </c>
      <c r="J255" s="4" t="inlineStr">
        <is>
          <t>Companion</t>
        </is>
      </c>
      <c r="K255" s="4" t="inlineStr">
        <is>
          <t>Asahikawa, Sapporo, Niigata</t>
        </is>
      </c>
      <c r="L255" s="4" t="inlineStr">
        <is>
          <t>Not found</t>
        </is>
      </c>
      <c r="M255" s="4" t="inlineStr">
        <is>
          <t>6</t>
        </is>
      </c>
      <c r="N255" s="4" t="inlineStr">
        <is>
          <t>Not identified</t>
        </is>
      </c>
      <c r="O255" s="4" t="inlineStr">
        <is>
          <t>Not identified</t>
        </is>
      </c>
      <c r="P255" s="4" t="inlineStr">
        <is>
          <t>Not published; phone only</t>
        </is>
      </c>
      <c r="Q255" s="4" t="inlineStr">
        <is>
          <t>050 5445 0840 (Kyokushin centre)</t>
        </is>
      </c>
      <c r="R255" s="4" t="inlineStr">
        <is>
          <t>Not identified</t>
        </is>
      </c>
      <c r="S255" s="4" t="inlineStr">
        <is>
          <t>Company inquiry only (phone)</t>
        </is>
      </c>
      <c r="T255" s="6">
        <f>SUM(Z255:AF255)</f>
        <v>18</v>
      </c>
      <c r="U255" s="12" t="inlineStr">
        <is>
          <t>V5</t>
        </is>
      </c>
      <c r="V255" s="4" t="inlineStr">
        <is>
          <t>Says it is Hokkaido's largest hospital group.</t>
        </is>
      </c>
      <c r="W255" s="4" t="inlineStr">
        <is>
          <t>Fleet evaluation: 30 day placement in two sites, then a group standard.</t>
        </is>
      </c>
      <c r="X255" s="4" t="inlineStr">
        <is>
          <t>Not checked (human list not in v17)</t>
        </is>
      </c>
      <c r="Y255" s="4" t="inlineStr">
        <is>
          <t>https://midori-no-mori.jp/ ; https://midori-no-mori.jp/kyokushin</t>
        </is>
      </c>
      <c r="Z255" s="4" t="n">
        <v>1</v>
      </c>
      <c r="AA255" s="4" t="n">
        <v>4</v>
      </c>
      <c r="AB255" s="4" t="n">
        <v>3</v>
      </c>
      <c r="AC255" s="4" t="n">
        <v>5</v>
      </c>
      <c r="AD255" s="4" t="n">
        <v>1</v>
      </c>
      <c r="AE255" s="4" t="n">
        <v>1</v>
      </c>
      <c r="AF255" s="4" t="n">
        <v>3</v>
      </c>
      <c r="AG255" s="4" t="inlineStr">
        <is>
          <t>Evidence backed</t>
        </is>
      </c>
    </row>
    <row r="256" ht="75" customHeight="1">
      <c r="A256" s="4" t="n">
        <v>252</v>
      </c>
      <c r="B256" s="4" t="inlineStr">
        <is>
          <t>NOSAI Aomori</t>
        </is>
      </c>
      <c r="C256" s="4" t="inlineStr">
        <is>
          <t>青森県農業共済組合</t>
        </is>
      </c>
      <c r="D256" s="4" t="inlineStr">
        <is>
          <t>Not found (NTA lookup blocked; dedupe by Japanese name)</t>
        </is>
      </c>
      <c r="E256" s="4" t="inlineStr">
        <is>
          <t>Aomori</t>
        </is>
      </c>
      <c r="F256" s="4" t="inlineStr">
        <is>
          <t>Tohoku and Hokkaido</t>
        </is>
      </c>
      <c r="G256" s="5" t="inlineStr">
        <is>
          <t>http://www.nosai-aomori.or.jp</t>
        </is>
      </c>
      <c r="H256" s="4" t="inlineStr">
        <is>
          <t>End user (livestock clinic network)</t>
        </is>
      </c>
      <c r="I256" s="4" t="inlineStr">
        <is>
          <t>Not identified</t>
        </is>
      </c>
      <c r="J256" s="4" t="inlineStr">
        <is>
          <t>Large animal</t>
        </is>
      </c>
      <c r="K256" s="4" t="inlineStr">
        <is>
          <t>Aomori livestock clinics</t>
        </is>
      </c>
      <c r="L256" s="4" t="inlineStr">
        <is>
          <t>Not found</t>
        </is>
      </c>
      <c r="M256" s="4" t="inlineStr">
        <is>
          <t>Multiple livestock clinics</t>
        </is>
      </c>
      <c r="N256" s="4" t="inlineStr">
        <is>
          <t>Not identified</t>
        </is>
      </c>
      <c r="O256" s="4" t="inlineStr">
        <is>
          <t>Not identified</t>
        </is>
      </c>
      <c r="P256" s="4" t="inlineStr">
        <is>
          <t>Not published; phone only</t>
        </is>
      </c>
      <c r="Q256" s="4" t="inlineStr">
        <is>
          <t>017 775 1161</t>
        </is>
      </c>
      <c r="R256" s="4" t="inlineStr">
        <is>
          <t>Not identified</t>
        </is>
      </c>
      <c r="S256" s="4" t="inlineStr">
        <is>
          <t>Company inquiry only (phone)</t>
        </is>
      </c>
      <c r="T256" s="6">
        <f>SUM(Z256:AF256)</f>
        <v>18</v>
      </c>
      <c r="U256" s="12" t="inlineStr">
        <is>
          <t>V5</t>
        </is>
      </c>
      <c r="V256" s="4" t="inlineStr">
        <is>
          <t>Published livestock clinic network across Tsugaru and Nanbu.</t>
        </is>
      </c>
      <c r="W256" s="4" t="inlineStr">
        <is>
          <t>Field trial of a rugged livestock portable (EBit 50) with clinic vets during pregnancy checks.</t>
        </is>
      </c>
      <c r="X256" s="4" t="inlineStr">
        <is>
          <t>Not checked (human list not in v17)</t>
        </is>
      </c>
      <c r="Y256" s="4" t="inlineStr">
        <is>
          <t>http://www.nosai-aomori.or.jp/wp-content/uploads/2025/08/4e705eaea4a622fbfd5c63b338189b7d.pdf ; http://www.nosai-aomori.or.jp/access/</t>
        </is>
      </c>
      <c r="Z256" s="4" t="n">
        <v>1</v>
      </c>
      <c r="AA256" s="4" t="n">
        <v>4</v>
      </c>
      <c r="AB256" s="4" t="n">
        <v>3</v>
      </c>
      <c r="AC256" s="4" t="n">
        <v>1</v>
      </c>
      <c r="AD256" s="4" t="n">
        <v>5</v>
      </c>
      <c r="AE256" s="4" t="n">
        <v>1</v>
      </c>
      <c r="AF256" s="4" t="n">
        <v>3</v>
      </c>
      <c r="AG256" s="4" t="inlineStr">
        <is>
          <t>Evidence backed</t>
        </is>
      </c>
    </row>
    <row r="257" ht="75" customHeight="1">
      <c r="A257" s="4" t="n">
        <v>253</v>
      </c>
      <c r="B257" s="4" t="inlineStr">
        <is>
          <t>NOSAI Fukushima</t>
        </is>
      </c>
      <c r="C257" s="4" t="inlineStr">
        <is>
          <t>福島県農業共済組合</t>
        </is>
      </c>
      <c r="D257" s="4" t="inlineStr">
        <is>
          <t>Not found (NTA lookup blocked; dedupe by Japanese name)</t>
        </is>
      </c>
      <c r="E257" s="4" t="inlineStr">
        <is>
          <t>Fukushima</t>
        </is>
      </c>
      <c r="F257" s="4" t="inlineStr">
        <is>
          <t>Tohoku and Hokkaido</t>
        </is>
      </c>
      <c r="G257" s="5" t="inlineStr">
        <is>
          <t>https://fukushima-nosainet.jp</t>
        </is>
      </c>
      <c r="H257" s="4" t="inlineStr">
        <is>
          <t>End user (livestock clinic network)</t>
        </is>
      </c>
      <c r="I257" s="4" t="inlineStr">
        <is>
          <t>Not identified</t>
        </is>
      </c>
      <c r="J257" s="4" t="inlineStr">
        <is>
          <t>Large animal</t>
        </is>
      </c>
      <c r="K257" s="4" t="inlineStr">
        <is>
          <t>Fukushima livestock clinics</t>
        </is>
      </c>
      <c r="L257" s="4" t="inlineStr">
        <is>
          <t>Not found</t>
        </is>
      </c>
      <c r="M257" s="4" t="inlineStr">
        <is>
          <t>6 livestock clinic centres</t>
        </is>
      </c>
      <c r="N257" s="4" t="inlineStr">
        <is>
          <t>Not identified</t>
        </is>
      </c>
      <c r="O257" s="4" t="inlineStr">
        <is>
          <t>Not identified</t>
        </is>
      </c>
      <c r="P257" s="4" t="inlineStr">
        <is>
          <t>Not published; phone only</t>
        </is>
      </c>
      <c r="Q257" s="4" t="inlineStr">
        <is>
          <t>024 521 2715</t>
        </is>
      </c>
      <c r="R257" s="4" t="inlineStr">
        <is>
          <t>Not identified</t>
        </is>
      </c>
      <c r="S257" s="4" t="inlineStr">
        <is>
          <t>Company inquiry only (phone)</t>
        </is>
      </c>
      <c r="T257" s="6">
        <f>SUM(Z257:AF257)</f>
        <v>18</v>
      </c>
      <c r="U257" s="12" t="inlineStr">
        <is>
          <t>V5</t>
        </is>
      </c>
      <c r="V257" s="4" t="inlineStr">
        <is>
          <t>Six centres across Fukushima.</t>
        </is>
      </c>
      <c r="W257" s="4" t="inlineStr">
        <is>
          <t>Field trial of a rugged livestock portable (EBit 50) with clinic vets during pregnancy checks.</t>
        </is>
      </c>
      <c r="X257" s="4" t="inlineStr">
        <is>
          <t>Not checked (human list not in v17)</t>
        </is>
      </c>
      <c r="Y257" s="4" t="inlineStr">
        <is>
          <t>https://fukushima-nosainet.jp/outline/out-c/out-c-c ; http://www.nosai.or.jp/nosai_kasou/nosai_page11.html</t>
        </is>
      </c>
      <c r="Z257" s="4" t="n">
        <v>1</v>
      </c>
      <c r="AA257" s="4" t="n">
        <v>4</v>
      </c>
      <c r="AB257" s="4" t="n">
        <v>3</v>
      </c>
      <c r="AC257" s="4" t="n">
        <v>1</v>
      </c>
      <c r="AD257" s="4" t="n">
        <v>5</v>
      </c>
      <c r="AE257" s="4" t="n">
        <v>1</v>
      </c>
      <c r="AF257" s="4" t="n">
        <v>3</v>
      </c>
      <c r="AG257" s="4" t="inlineStr">
        <is>
          <t>Evidence backed</t>
        </is>
      </c>
    </row>
    <row r="258" ht="75" customHeight="1">
      <c r="A258" s="4" t="n">
        <v>254</v>
      </c>
      <c r="B258" s="4" t="inlineStr">
        <is>
          <t>NOSAI Hokkaido</t>
        </is>
      </c>
      <c r="C258" s="4" t="inlineStr">
        <is>
          <t>北海道農業共済組合</t>
        </is>
      </c>
      <c r="D258" s="4" t="inlineStr">
        <is>
          <t>Not found (NTA lookup blocked; dedupe by Japanese name)</t>
        </is>
      </c>
      <c r="E258" s="4" t="inlineStr">
        <is>
          <t>Hokkaido</t>
        </is>
      </c>
      <c r="F258" s="4" t="inlineStr">
        <is>
          <t>Tohoku and Hokkaido</t>
        </is>
      </c>
      <c r="G258" s="5" t="inlineStr">
        <is>
          <t>https://www.nosai-do.or.jp</t>
        </is>
      </c>
      <c r="H258" s="4" t="inlineStr">
        <is>
          <t>End user (livestock clinic network)</t>
        </is>
      </c>
      <c r="I258" s="4" t="inlineStr">
        <is>
          <t>Not identified</t>
        </is>
      </c>
      <c r="J258" s="4" t="inlineStr">
        <is>
          <t>Large animal</t>
        </is>
      </c>
      <c r="K258" s="4" t="inlineStr">
        <is>
          <t>Hokkaido livestock clinics</t>
        </is>
      </c>
      <c r="L258" s="4" t="inlineStr">
        <is>
          <t>Not found</t>
        </is>
      </c>
      <c r="M258" s="4" t="inlineStr">
        <is>
          <t>62 clinics (excl. branches); about 800 vets</t>
        </is>
      </c>
      <c r="N258" s="4" t="inlineStr">
        <is>
          <t>Not identified</t>
        </is>
      </c>
      <c r="O258" s="4" t="inlineStr">
        <is>
          <t>Not identified</t>
        </is>
      </c>
      <c r="P258" s="4" t="inlineStr">
        <is>
          <t>Not published; inquiry form: https://www.nosai-do.or.jp/contact/</t>
        </is>
      </c>
      <c r="Q258" s="4" t="inlineStr">
        <is>
          <t>011 271 7212</t>
        </is>
      </c>
      <c r="R258" s="4" t="inlineStr">
        <is>
          <t>Not identified</t>
        </is>
      </c>
      <c r="S258" s="4" t="inlineStr">
        <is>
          <t>Company inquiry only (form)</t>
        </is>
      </c>
      <c r="T258" s="6">
        <f>SUM(Z258:AF258)</f>
        <v>18</v>
      </c>
      <c r="U258" s="12" t="inlineStr">
        <is>
          <t>V5</t>
        </is>
      </c>
      <c r="V258" s="4" t="inlineStr">
        <is>
          <t>Japan's largest livestock clinic network; bovine repro scanning is daily work.</t>
        </is>
      </c>
      <c r="W258" s="4" t="inlineStr">
        <is>
          <t>Field trial of a rugged livestock portable (EBit 50) with clinic vets during pregnancy checks.</t>
        </is>
      </c>
      <c r="X258" s="4" t="inlineStr">
        <is>
          <t>Not checked (human list not in v17)</t>
        </is>
      </c>
      <c r="Y258" s="4" t="inlineStr">
        <is>
          <t>https://www.nosai-do.or.jp/about/overview/ ; https://www.nosai-do.or.jp/contact/</t>
        </is>
      </c>
      <c r="Z258" s="4" t="n">
        <v>1</v>
      </c>
      <c r="AA258" s="4" t="n">
        <v>4</v>
      </c>
      <c r="AB258" s="4" t="n">
        <v>3</v>
      </c>
      <c r="AC258" s="4" t="n">
        <v>1</v>
      </c>
      <c r="AD258" s="4" t="n">
        <v>5</v>
      </c>
      <c r="AE258" s="4" t="n">
        <v>1</v>
      </c>
      <c r="AF258" s="4" t="n">
        <v>3</v>
      </c>
      <c r="AG258" s="4" t="inlineStr">
        <is>
          <t>Evidence backed</t>
        </is>
      </c>
    </row>
    <row r="259" ht="75" customHeight="1">
      <c r="A259" s="4" t="n">
        <v>255</v>
      </c>
      <c r="B259" s="4" t="inlineStr">
        <is>
          <t>NOSAI Iwate</t>
        </is>
      </c>
      <c r="C259" s="4" t="inlineStr">
        <is>
          <t>岩手県農業共済組合</t>
        </is>
      </c>
      <c r="D259" s="4" t="inlineStr">
        <is>
          <t>Not found (NTA lookup blocked; dedupe by Japanese name)</t>
        </is>
      </c>
      <c r="E259" s="4" t="inlineStr">
        <is>
          <t>Iwate</t>
        </is>
      </c>
      <c r="F259" s="4" t="inlineStr">
        <is>
          <t>Tohoku and Hokkaido</t>
        </is>
      </c>
      <c r="G259" s="4" t="inlineStr">
        <is>
          <t>Not found</t>
        </is>
      </c>
      <c r="H259" s="4" t="inlineStr">
        <is>
          <t>End user (livestock clinic network)</t>
        </is>
      </c>
      <c r="I259" s="4" t="inlineStr">
        <is>
          <t>Not identified</t>
        </is>
      </c>
      <c r="J259" s="4" t="inlineStr">
        <is>
          <t>Large animal</t>
        </is>
      </c>
      <c r="K259" s="4" t="inlineStr">
        <is>
          <t>Iwate livestock clinics</t>
        </is>
      </c>
      <c r="L259" s="4" t="inlineStr">
        <is>
          <t>Not found</t>
        </is>
      </c>
      <c r="M259" s="4" t="inlineStr">
        <is>
          <t>Multiple livestock clinics</t>
        </is>
      </c>
      <c r="N259" s="4" t="inlineStr">
        <is>
          <t>Not identified</t>
        </is>
      </c>
      <c r="O259" s="4" t="inlineStr">
        <is>
          <t>Not identified</t>
        </is>
      </c>
      <c r="P259" s="4" t="inlineStr">
        <is>
          <t>Not published; phone only</t>
        </is>
      </c>
      <c r="Q259" s="4" t="inlineStr">
        <is>
          <t>0198 29 5939 (MAFF list; 019 601 7491 per NOSAI list)</t>
        </is>
      </c>
      <c r="R259" s="4" t="inlineStr">
        <is>
          <t>Not identified</t>
        </is>
      </c>
      <c r="S259" s="4" t="inlineStr">
        <is>
          <t>Company inquiry only (phone)</t>
        </is>
      </c>
      <c r="T259" s="6">
        <f>SUM(Z259:AF259)</f>
        <v>18</v>
      </c>
      <c r="U259" s="12" t="inlineStr">
        <is>
          <t>V5</t>
        </is>
      </c>
      <c r="V259" s="4" t="inlineStr">
        <is>
          <t>Major Tohoku dairy and beef prefecture.</t>
        </is>
      </c>
      <c r="W259" s="4" t="inlineStr">
        <is>
          <t>Field trial of a rugged livestock portable (EBit 50) with clinic vets during pregnancy checks.</t>
        </is>
      </c>
      <c r="X259" s="4" t="inlineStr">
        <is>
          <t>Not checked (human list not in v17)</t>
        </is>
      </c>
      <c r="Y259" s="4" t="inlineStr">
        <is>
          <t>https://www.maff.go.jp/j/keiei/nogyohoken/contact.html</t>
        </is>
      </c>
      <c r="Z259" s="4" t="n">
        <v>1</v>
      </c>
      <c r="AA259" s="4" t="n">
        <v>4</v>
      </c>
      <c r="AB259" s="4" t="n">
        <v>3</v>
      </c>
      <c r="AC259" s="4" t="n">
        <v>1</v>
      </c>
      <c r="AD259" s="4" t="n">
        <v>5</v>
      </c>
      <c r="AE259" s="4" t="n">
        <v>1</v>
      </c>
      <c r="AF259" s="4" t="n">
        <v>3</v>
      </c>
      <c r="AG259" s="4" t="inlineStr">
        <is>
          <t>Evidence backed</t>
        </is>
      </c>
    </row>
    <row r="260" ht="75" customHeight="1">
      <c r="A260" s="4" t="n">
        <v>256</v>
      </c>
      <c r="B260" s="4" t="inlineStr">
        <is>
          <t>NOSAI Miyagi</t>
        </is>
      </c>
      <c r="C260" s="4" t="inlineStr">
        <is>
          <t>宮城県農業共済組合</t>
        </is>
      </c>
      <c r="D260" s="4" t="inlineStr">
        <is>
          <t>Not found (NTA lookup blocked; dedupe by Japanese name)</t>
        </is>
      </c>
      <c r="E260" s="4" t="inlineStr">
        <is>
          <t>Miyagi</t>
        </is>
      </c>
      <c r="F260" s="4" t="inlineStr">
        <is>
          <t>Tohoku and Hokkaido</t>
        </is>
      </c>
      <c r="G260" s="5" t="inlineStr">
        <is>
          <t>https://www.nosaimiyagi.or.jp</t>
        </is>
      </c>
      <c r="H260" s="4" t="inlineStr">
        <is>
          <t>End user (livestock clinic network)</t>
        </is>
      </c>
      <c r="I260" s="4" t="inlineStr">
        <is>
          <t>Not identified</t>
        </is>
      </c>
      <c r="J260" s="4" t="inlineStr">
        <is>
          <t>Large animal</t>
        </is>
      </c>
      <c r="K260" s="4" t="inlineStr">
        <is>
          <t>Miyagi livestock clinics</t>
        </is>
      </c>
      <c r="L260" s="4" t="inlineStr">
        <is>
          <t>Not found</t>
        </is>
      </c>
      <c r="M260" s="4" t="inlineStr">
        <is>
          <t>4 livestock clinic centres incl. training centre</t>
        </is>
      </c>
      <c r="N260" s="4" t="inlineStr">
        <is>
          <t>Not identified</t>
        </is>
      </c>
      <c r="O260" s="4" t="inlineStr">
        <is>
          <t>Not identified</t>
        </is>
      </c>
      <c r="P260" s="4" t="inlineStr">
        <is>
          <t>Not published; inquiry form: https://www.nosaimiyagi.or.jp/contact/</t>
        </is>
      </c>
      <c r="Q260" s="4" t="inlineStr">
        <is>
          <t>0229 87 8281</t>
        </is>
      </c>
      <c r="R260" s="4" t="inlineStr">
        <is>
          <t>Not identified</t>
        </is>
      </c>
      <c r="S260" s="4" t="inlineStr">
        <is>
          <t>Company inquiry only (form)</t>
        </is>
      </c>
      <c r="T260" s="6">
        <f>SUM(Z260:AF260)</f>
        <v>18</v>
      </c>
      <c r="U260" s="12" t="inlineStr">
        <is>
          <t>V5</t>
        </is>
      </c>
      <c r="V260" s="4" t="inlineStr">
        <is>
          <t>Central centre doubles as a livestock clinical training site.</t>
        </is>
      </c>
      <c r="W260" s="4" t="inlineStr">
        <is>
          <t>Field trial of a rugged livestock portable (EBit 50) with clinic vets during pregnancy checks.</t>
        </is>
      </c>
      <c r="X260" s="4" t="inlineStr">
        <is>
          <t>Not checked (human list not in v17)</t>
        </is>
      </c>
      <c r="Y260" s="4" t="inlineStr">
        <is>
          <t>https://www.nosaimiyagi.or.jp/outline/ ; https://www.nosaimiyagi.or.jp/contact/</t>
        </is>
      </c>
      <c r="Z260" s="4" t="n">
        <v>1</v>
      </c>
      <c r="AA260" s="4" t="n">
        <v>4</v>
      </c>
      <c r="AB260" s="4" t="n">
        <v>3</v>
      </c>
      <c r="AC260" s="4" t="n">
        <v>1</v>
      </c>
      <c r="AD260" s="4" t="n">
        <v>5</v>
      </c>
      <c r="AE260" s="4" t="n">
        <v>1</v>
      </c>
      <c r="AF260" s="4" t="n">
        <v>3</v>
      </c>
      <c r="AG260" s="4" t="inlineStr">
        <is>
          <t>Evidence backed</t>
        </is>
      </c>
    </row>
    <row r="261" ht="75" customHeight="1">
      <c r="A261" s="4" t="n">
        <v>257</v>
      </c>
      <c r="B261" s="4" t="inlineStr">
        <is>
          <t>NOSAI Yamagata</t>
        </is>
      </c>
      <c r="C261" s="4" t="inlineStr">
        <is>
          <t>山形県農業共済組合</t>
        </is>
      </c>
      <c r="D261" s="4" t="inlineStr">
        <is>
          <t>Not found (NTA lookup blocked; dedupe by Japanese name)</t>
        </is>
      </c>
      <c r="E261" s="4" t="inlineStr">
        <is>
          <t>Yamagata</t>
        </is>
      </c>
      <c r="F261" s="4" t="inlineStr">
        <is>
          <t>Tohoku and Hokkaido</t>
        </is>
      </c>
      <c r="G261" s="5" t="inlineStr">
        <is>
          <t>https://www.yynosai.or.jp</t>
        </is>
      </c>
      <c r="H261" s="4" t="inlineStr">
        <is>
          <t>End user (livestock clinic network)</t>
        </is>
      </c>
      <c r="I261" s="4" t="inlineStr">
        <is>
          <t>Not identified</t>
        </is>
      </c>
      <c r="J261" s="4" t="inlineStr">
        <is>
          <t>Large animal</t>
        </is>
      </c>
      <c r="K261" s="4" t="inlineStr">
        <is>
          <t>Yamagata livestock clinics</t>
        </is>
      </c>
      <c r="L261" s="4" t="inlineStr">
        <is>
          <t>Not found</t>
        </is>
      </c>
      <c r="M261" s="4" t="inlineStr">
        <is>
          <t>3 centres plus satellite offices</t>
        </is>
      </c>
      <c r="N261" s="4" t="inlineStr">
        <is>
          <t>Not identified</t>
        </is>
      </c>
      <c r="O261" s="4" t="inlineStr">
        <is>
          <t>Not identified</t>
        </is>
      </c>
      <c r="P261" s="4" t="inlineStr">
        <is>
          <t>Not published; inquiry form: https://www.yynosai.or.jp/contact</t>
        </is>
      </c>
      <c r="Q261" s="4" t="inlineStr">
        <is>
          <t>023 656 8988</t>
        </is>
      </c>
      <c r="R261" s="4" t="inlineStr">
        <is>
          <t>Not identified</t>
        </is>
      </c>
      <c r="S261" s="4" t="inlineStr">
        <is>
          <t>Company inquiry only (form)</t>
        </is>
      </c>
      <c r="T261" s="6">
        <f>SUM(Z261:AF261)</f>
        <v>18</v>
      </c>
      <c r="U261" s="12" t="inlineStr">
        <is>
          <t>V5</t>
        </is>
      </c>
      <c r="V261" s="4" t="inlineStr">
        <is>
          <t>Central, northern and southern centres.</t>
        </is>
      </c>
      <c r="W261" s="4" t="inlineStr">
        <is>
          <t>Field trial of a rugged livestock portable (EBit 50) with clinic vets during pregnancy checks.</t>
        </is>
      </c>
      <c r="X261" s="4" t="inlineStr">
        <is>
          <t>Not checked (human list not in v17)</t>
        </is>
      </c>
      <c r="Y261" s="4" t="inlineStr">
        <is>
          <t>https://www.yynosai.or.jp/yamagata/branch ; https://www.yynosai.or.jp/contact</t>
        </is>
      </c>
      <c r="Z261" s="4" t="n">
        <v>1</v>
      </c>
      <c r="AA261" s="4" t="n">
        <v>4</v>
      </c>
      <c r="AB261" s="4" t="n">
        <v>3</v>
      </c>
      <c r="AC261" s="4" t="n">
        <v>1</v>
      </c>
      <c r="AD261" s="4" t="n">
        <v>5</v>
      </c>
      <c r="AE261" s="4" t="n">
        <v>1</v>
      </c>
      <c r="AF261" s="4" t="n">
        <v>3</v>
      </c>
      <c r="AG261" s="4" t="inlineStr">
        <is>
          <t>Evidence backed</t>
        </is>
      </c>
    </row>
    <row r="262" ht="75" customHeight="1">
      <c r="A262" s="4" t="n">
        <v>258</v>
      </c>
      <c r="B262" s="4" t="inlineStr">
        <is>
          <t>Total Herd Management Service Co., Ltd.</t>
        </is>
      </c>
      <c r="C262" s="4" t="inlineStr">
        <is>
          <t>株式会社トータルハードマネージメントサービス</t>
        </is>
      </c>
      <c r="D262" s="4" t="inlineStr">
        <is>
          <t>Not found (NTA lookup blocked; dedupe by Japanese name)</t>
        </is>
      </c>
      <c r="E262" s="4" t="inlineStr">
        <is>
          <t>Hokkaido</t>
        </is>
      </c>
      <c r="F262" s="4" t="inlineStr">
        <is>
          <t>Tohoku and Hokkaido</t>
        </is>
      </c>
      <c r="G262" s="5" t="inlineStr">
        <is>
          <t>https://www.thms.jp</t>
        </is>
      </c>
      <c r="H262" s="4" t="inlineStr">
        <is>
          <t>End user (livestock clinic network)</t>
        </is>
      </c>
      <c r="I262" s="4" t="inlineStr">
        <is>
          <t>Not identified</t>
        </is>
      </c>
      <c r="J262" s="4" t="inlineStr">
        <is>
          <t>Large animal</t>
        </is>
      </c>
      <c r="K262" s="4" t="inlineStr">
        <is>
          <t>Dairy farms</t>
        </is>
      </c>
      <c r="L262" s="4" t="inlineStr">
        <is>
          <t>Not found</t>
        </is>
      </c>
      <c r="M262" s="4" t="inlineStr">
        <is>
          <t>Herd health team</t>
        </is>
      </c>
      <c r="N262" s="4" t="inlineStr">
        <is>
          <t>Not identified</t>
        </is>
      </c>
      <c r="O262" s="4" t="inlineStr">
        <is>
          <t>Not identified</t>
        </is>
      </c>
      <c r="P262" s="4" t="inlineStr">
        <is>
          <t>Not published; inquiry form: https://www.thms.jp/contact/</t>
        </is>
      </c>
      <c r="Q262" s="4" t="inlineStr">
        <is>
          <t>0153 75 6589</t>
        </is>
      </c>
      <c r="R262" s="4" t="inlineStr">
        <is>
          <t>Not identified</t>
        </is>
      </c>
      <c r="S262" s="4" t="inlineStr">
        <is>
          <t>Company inquiry only (form); HQ Betsukai, Hokkaido</t>
        </is>
      </c>
      <c r="T262" s="6">
        <f>SUM(Z262:AF262)</f>
        <v>18</v>
      </c>
      <c r="U262" s="12" t="inlineStr">
        <is>
          <t>V5</t>
        </is>
      </c>
      <c r="V262" s="4" t="inlineStr">
        <is>
          <t>Dairy herd health service whose vets run routine repro (pregnancy) checks. FLAG: HQ not confirmed.</t>
        </is>
      </c>
      <c r="W262" s="4" t="inlineStr">
        <is>
          <t>Field trial of a rugged livestock portable (EBit 50) with clinic vets during pregnancy checks.</t>
        </is>
      </c>
      <c r="X262" s="4" t="inlineStr">
        <is>
          <t>Not checked (human list not in v17)</t>
        </is>
      </c>
      <c r="Y262" s="4" t="inlineStr">
        <is>
          <t>https://www.thms.jp/service/juuika/breeding/hanshokukenshin/ ; https://www.thms.jp/contact/</t>
        </is>
      </c>
      <c r="Z262" s="4" t="n">
        <v>1</v>
      </c>
      <c r="AA262" s="4" t="n">
        <v>4</v>
      </c>
      <c r="AB262" s="4" t="n">
        <v>3</v>
      </c>
      <c r="AC262" s="4" t="n">
        <v>1</v>
      </c>
      <c r="AD262" s="4" t="n">
        <v>5</v>
      </c>
      <c r="AE262" s="4" t="n">
        <v>1</v>
      </c>
      <c r="AF262" s="4" t="n">
        <v>3</v>
      </c>
      <c r="AG262" s="4" t="inlineStr">
        <is>
          <t>Evidence backed</t>
        </is>
      </c>
    </row>
    <row r="263" ht="75" customHeight="1">
      <c r="A263" s="4" t="n">
        <v>259</v>
      </c>
      <c r="B263" s="4" t="inlineStr">
        <is>
          <t>Will Animal Hospital Group</t>
        </is>
      </c>
      <c r="C263" s="4" t="inlineStr">
        <is>
          <t>株式会社ウイル動物病院グループ</t>
        </is>
      </c>
      <c r="D263" s="4" t="inlineStr">
        <is>
          <t>Not found (NTA lookup blocked; dedupe by Japanese name)</t>
        </is>
      </c>
      <c r="E263" s="4" t="inlineStr">
        <is>
          <t>Miyagi</t>
        </is>
      </c>
      <c r="F263" s="4" t="inlineStr">
        <is>
          <t>Tohoku and Hokkaido</t>
        </is>
      </c>
      <c r="G263" s="5" t="inlineStr">
        <is>
          <t>https://animal-99.com/</t>
        </is>
      </c>
      <c r="H263" s="4" t="inlineStr">
        <is>
          <t>End user (animal hospital group)</t>
        </is>
      </c>
      <c r="I263" s="4" t="inlineStr">
        <is>
          <t>Not identified</t>
        </is>
      </c>
      <c r="J263" s="4" t="inlineStr">
        <is>
          <t>Companion</t>
        </is>
      </c>
      <c r="K263" s="4" t="inlineStr">
        <is>
          <t>Miyagi (Sendai, Shiogama, Kakuda, Watari)</t>
        </is>
      </c>
      <c r="L263" s="4" t="inlineStr">
        <is>
          <t>Not found</t>
        </is>
      </c>
      <c r="M263" s="4" t="inlineStr">
        <is>
          <t>9</t>
        </is>
      </c>
      <c r="N263" s="4" t="inlineStr">
        <is>
          <t>Not identified</t>
        </is>
      </c>
      <c r="O263" s="4" t="inlineStr">
        <is>
          <t>Not identified</t>
        </is>
      </c>
      <c r="P263" s="4" t="inlineStr">
        <is>
          <t>Not published; inquiry form: https://animal-99.com/contact_form.html</t>
        </is>
      </c>
      <c r="Q263" s="4" t="inlineStr">
        <is>
          <t>022 355 8492</t>
        </is>
      </c>
      <c r="R263" s="4" t="inlineStr">
        <is>
          <t>Not identified</t>
        </is>
      </c>
      <c r="S263" s="4" t="inlineStr">
        <is>
          <t>Company inquiry only (form)</t>
        </is>
      </c>
      <c r="T263" s="6">
        <f>SUM(Z263:AF263)</f>
        <v>18</v>
      </c>
      <c r="U263" s="12" t="inlineStr">
        <is>
          <t>V5</t>
        </is>
      </c>
      <c r="V263" s="4" t="inlineStr">
        <is>
          <t>Nine hospital Sendai group incl. Sendai Animal Medical Center. FLAG: Part of MiraiVets/JPAC.</t>
        </is>
      </c>
      <c r="W263" s="4" t="inlineStr">
        <is>
          <t>Fleet evaluation: 30 day placement in two sites, then a group standard.</t>
        </is>
      </c>
      <c r="X263" s="4" t="inlineStr">
        <is>
          <t>Not checked (human list not in v17)</t>
        </is>
      </c>
      <c r="Y263" s="4" t="inlineStr">
        <is>
          <t>https://animal-99.com/ ; https://forbesjapan.com/articles/detail/82089 ; https://animal-99.com/contact_form.html</t>
        </is>
      </c>
      <c r="Z263" s="4" t="n">
        <v>1</v>
      </c>
      <c r="AA263" s="4" t="n">
        <v>4</v>
      </c>
      <c r="AB263" s="4" t="n">
        <v>3</v>
      </c>
      <c r="AC263" s="4" t="n">
        <v>5</v>
      </c>
      <c r="AD263" s="4" t="n">
        <v>1</v>
      </c>
      <c r="AE263" s="4" t="n">
        <v>1</v>
      </c>
      <c r="AF263" s="4" t="n">
        <v>3</v>
      </c>
      <c r="AG263" s="4" t="inlineStr">
        <is>
          <t>Evidence backed</t>
        </is>
      </c>
    </row>
  </sheetData>
  <autoFilter ref="A4:AG263"/>
  <mergeCells count="1">
    <mergeCell ref="A2:L2"/>
  </mergeCells>
  <hyperlinks>
    <hyperlink xmlns:r="http://schemas.openxmlformats.org/officeDocument/2006/relationships" ref="G5" r:id="rId1"/>
    <hyperlink xmlns:r="http://schemas.openxmlformats.org/officeDocument/2006/relationships" ref="Y5" r:id="rId2"/>
    <hyperlink xmlns:r="http://schemas.openxmlformats.org/officeDocument/2006/relationships" ref="G6" r:id="rId3"/>
    <hyperlink xmlns:r="http://schemas.openxmlformats.org/officeDocument/2006/relationships" ref="Y6" r:id="rId4"/>
    <hyperlink xmlns:r="http://schemas.openxmlformats.org/officeDocument/2006/relationships" ref="G7" r:id="rId5"/>
    <hyperlink xmlns:r="http://schemas.openxmlformats.org/officeDocument/2006/relationships" ref="Y7" r:id="rId6"/>
    <hyperlink xmlns:r="http://schemas.openxmlformats.org/officeDocument/2006/relationships" ref="G8" r:id="rId7"/>
    <hyperlink xmlns:r="http://schemas.openxmlformats.org/officeDocument/2006/relationships" ref="Y8" r:id="rId8"/>
    <hyperlink xmlns:r="http://schemas.openxmlformats.org/officeDocument/2006/relationships" ref="G9" r:id="rId9"/>
    <hyperlink xmlns:r="http://schemas.openxmlformats.org/officeDocument/2006/relationships" ref="Y9" r:id="rId10"/>
    <hyperlink xmlns:r="http://schemas.openxmlformats.org/officeDocument/2006/relationships" ref="G10" r:id="rId11"/>
    <hyperlink xmlns:r="http://schemas.openxmlformats.org/officeDocument/2006/relationships" ref="Y10" r:id="rId12"/>
    <hyperlink xmlns:r="http://schemas.openxmlformats.org/officeDocument/2006/relationships" ref="Y11" r:id="rId13"/>
    <hyperlink xmlns:r="http://schemas.openxmlformats.org/officeDocument/2006/relationships" ref="G12" r:id="rId14"/>
    <hyperlink xmlns:r="http://schemas.openxmlformats.org/officeDocument/2006/relationships" ref="Y12" r:id="rId15"/>
    <hyperlink xmlns:r="http://schemas.openxmlformats.org/officeDocument/2006/relationships" ref="Y13" r:id="rId16"/>
    <hyperlink xmlns:r="http://schemas.openxmlformats.org/officeDocument/2006/relationships" ref="Y14" r:id="rId17"/>
    <hyperlink xmlns:r="http://schemas.openxmlformats.org/officeDocument/2006/relationships" ref="G15" r:id="rId18"/>
    <hyperlink xmlns:r="http://schemas.openxmlformats.org/officeDocument/2006/relationships" ref="Y15" r:id="rId19"/>
    <hyperlink xmlns:r="http://schemas.openxmlformats.org/officeDocument/2006/relationships" ref="G16" r:id="rId20"/>
    <hyperlink xmlns:r="http://schemas.openxmlformats.org/officeDocument/2006/relationships" ref="Y16" r:id="rId21"/>
    <hyperlink xmlns:r="http://schemas.openxmlformats.org/officeDocument/2006/relationships" ref="G17" r:id="rId22"/>
    <hyperlink xmlns:r="http://schemas.openxmlformats.org/officeDocument/2006/relationships" ref="Y17" r:id="rId23"/>
    <hyperlink xmlns:r="http://schemas.openxmlformats.org/officeDocument/2006/relationships" ref="G18" r:id="rId24"/>
    <hyperlink xmlns:r="http://schemas.openxmlformats.org/officeDocument/2006/relationships" ref="Y18" r:id="rId25"/>
    <hyperlink xmlns:r="http://schemas.openxmlformats.org/officeDocument/2006/relationships" ref="G19" r:id="rId26"/>
    <hyperlink xmlns:r="http://schemas.openxmlformats.org/officeDocument/2006/relationships" ref="Y19" r:id="rId27"/>
    <hyperlink xmlns:r="http://schemas.openxmlformats.org/officeDocument/2006/relationships" ref="Y20" r:id="rId28"/>
    <hyperlink xmlns:r="http://schemas.openxmlformats.org/officeDocument/2006/relationships" ref="G21" r:id="rId29"/>
    <hyperlink xmlns:r="http://schemas.openxmlformats.org/officeDocument/2006/relationships" ref="Y21" r:id="rId30"/>
    <hyperlink xmlns:r="http://schemas.openxmlformats.org/officeDocument/2006/relationships" ref="G22" r:id="rId31"/>
    <hyperlink xmlns:r="http://schemas.openxmlformats.org/officeDocument/2006/relationships" ref="Y22" r:id="rId32"/>
    <hyperlink xmlns:r="http://schemas.openxmlformats.org/officeDocument/2006/relationships" ref="Y23" r:id="rId33"/>
    <hyperlink xmlns:r="http://schemas.openxmlformats.org/officeDocument/2006/relationships" ref="G24" r:id="rId34"/>
    <hyperlink xmlns:r="http://schemas.openxmlformats.org/officeDocument/2006/relationships" ref="Y24" r:id="rId35"/>
    <hyperlink xmlns:r="http://schemas.openxmlformats.org/officeDocument/2006/relationships" ref="G25" r:id="rId36"/>
    <hyperlink xmlns:r="http://schemas.openxmlformats.org/officeDocument/2006/relationships" ref="Y25" r:id="rId37"/>
    <hyperlink xmlns:r="http://schemas.openxmlformats.org/officeDocument/2006/relationships" ref="G26" r:id="rId38"/>
    <hyperlink xmlns:r="http://schemas.openxmlformats.org/officeDocument/2006/relationships" ref="Y26" r:id="rId39"/>
    <hyperlink xmlns:r="http://schemas.openxmlformats.org/officeDocument/2006/relationships" ref="G27" r:id="rId40"/>
    <hyperlink xmlns:r="http://schemas.openxmlformats.org/officeDocument/2006/relationships" ref="Y27" r:id="rId41"/>
    <hyperlink xmlns:r="http://schemas.openxmlformats.org/officeDocument/2006/relationships" ref="G28" r:id="rId42"/>
    <hyperlink xmlns:r="http://schemas.openxmlformats.org/officeDocument/2006/relationships" ref="Y28" r:id="rId43"/>
    <hyperlink xmlns:r="http://schemas.openxmlformats.org/officeDocument/2006/relationships" ref="Y29" r:id="rId44"/>
    <hyperlink xmlns:r="http://schemas.openxmlformats.org/officeDocument/2006/relationships" ref="G30" r:id="rId45"/>
    <hyperlink xmlns:r="http://schemas.openxmlformats.org/officeDocument/2006/relationships" ref="Y30" r:id="rId46"/>
    <hyperlink xmlns:r="http://schemas.openxmlformats.org/officeDocument/2006/relationships" ref="Y31" r:id="rId47"/>
    <hyperlink xmlns:r="http://schemas.openxmlformats.org/officeDocument/2006/relationships" ref="G32" r:id="rId48"/>
    <hyperlink xmlns:r="http://schemas.openxmlformats.org/officeDocument/2006/relationships" ref="Y32" r:id="rId49"/>
    <hyperlink xmlns:r="http://schemas.openxmlformats.org/officeDocument/2006/relationships" ref="G33" r:id="rId50"/>
    <hyperlink xmlns:r="http://schemas.openxmlformats.org/officeDocument/2006/relationships" ref="Y33" r:id="rId51"/>
    <hyperlink xmlns:r="http://schemas.openxmlformats.org/officeDocument/2006/relationships" ref="G34" r:id="rId52"/>
    <hyperlink xmlns:r="http://schemas.openxmlformats.org/officeDocument/2006/relationships" ref="Y34" r:id="rId53"/>
    <hyperlink xmlns:r="http://schemas.openxmlformats.org/officeDocument/2006/relationships" ref="Y35" r:id="rId54"/>
    <hyperlink xmlns:r="http://schemas.openxmlformats.org/officeDocument/2006/relationships" ref="G36" r:id="rId55"/>
    <hyperlink xmlns:r="http://schemas.openxmlformats.org/officeDocument/2006/relationships" ref="Y36" r:id="rId56"/>
    <hyperlink xmlns:r="http://schemas.openxmlformats.org/officeDocument/2006/relationships" ref="G37" r:id="rId57"/>
    <hyperlink xmlns:r="http://schemas.openxmlformats.org/officeDocument/2006/relationships" ref="Y37" r:id="rId58"/>
    <hyperlink xmlns:r="http://schemas.openxmlformats.org/officeDocument/2006/relationships" ref="G38" r:id="rId59"/>
    <hyperlink xmlns:r="http://schemas.openxmlformats.org/officeDocument/2006/relationships" ref="Y38" r:id="rId60"/>
    <hyperlink xmlns:r="http://schemas.openxmlformats.org/officeDocument/2006/relationships" ref="G39" r:id="rId61"/>
    <hyperlink xmlns:r="http://schemas.openxmlformats.org/officeDocument/2006/relationships" ref="Y39" r:id="rId62"/>
    <hyperlink xmlns:r="http://schemas.openxmlformats.org/officeDocument/2006/relationships" ref="G40" r:id="rId63"/>
    <hyperlink xmlns:r="http://schemas.openxmlformats.org/officeDocument/2006/relationships" ref="Y40" r:id="rId64"/>
    <hyperlink xmlns:r="http://schemas.openxmlformats.org/officeDocument/2006/relationships" ref="Y41" r:id="rId65"/>
    <hyperlink xmlns:r="http://schemas.openxmlformats.org/officeDocument/2006/relationships" ref="G42" r:id="rId66"/>
    <hyperlink xmlns:r="http://schemas.openxmlformats.org/officeDocument/2006/relationships" ref="Y42" r:id="rId67"/>
    <hyperlink xmlns:r="http://schemas.openxmlformats.org/officeDocument/2006/relationships" ref="Y43" r:id="rId68"/>
    <hyperlink xmlns:r="http://schemas.openxmlformats.org/officeDocument/2006/relationships" ref="G44" r:id="rId69"/>
    <hyperlink xmlns:r="http://schemas.openxmlformats.org/officeDocument/2006/relationships" ref="Y44" r:id="rId70"/>
    <hyperlink xmlns:r="http://schemas.openxmlformats.org/officeDocument/2006/relationships" ref="G45" r:id="rId71"/>
    <hyperlink xmlns:r="http://schemas.openxmlformats.org/officeDocument/2006/relationships" ref="Y45" r:id="rId72"/>
    <hyperlink xmlns:r="http://schemas.openxmlformats.org/officeDocument/2006/relationships" ref="G46" r:id="rId73"/>
    <hyperlink xmlns:r="http://schemas.openxmlformats.org/officeDocument/2006/relationships" ref="Y46" r:id="rId74"/>
    <hyperlink xmlns:r="http://schemas.openxmlformats.org/officeDocument/2006/relationships" ref="G47" r:id="rId75"/>
    <hyperlink xmlns:r="http://schemas.openxmlformats.org/officeDocument/2006/relationships" ref="Y47" r:id="rId76"/>
    <hyperlink xmlns:r="http://schemas.openxmlformats.org/officeDocument/2006/relationships" ref="Y48" r:id="rId77"/>
    <hyperlink xmlns:r="http://schemas.openxmlformats.org/officeDocument/2006/relationships" ref="Y49" r:id="rId78"/>
    <hyperlink xmlns:r="http://schemas.openxmlformats.org/officeDocument/2006/relationships" ref="G50" r:id="rId79"/>
    <hyperlink xmlns:r="http://schemas.openxmlformats.org/officeDocument/2006/relationships" ref="Y50" r:id="rId80"/>
    <hyperlink xmlns:r="http://schemas.openxmlformats.org/officeDocument/2006/relationships" ref="G51" r:id="rId81"/>
    <hyperlink xmlns:r="http://schemas.openxmlformats.org/officeDocument/2006/relationships" ref="Y51" r:id="rId82"/>
    <hyperlink xmlns:r="http://schemas.openxmlformats.org/officeDocument/2006/relationships" ref="G52" r:id="rId83"/>
    <hyperlink xmlns:r="http://schemas.openxmlformats.org/officeDocument/2006/relationships" ref="Y52" r:id="rId84"/>
    <hyperlink xmlns:r="http://schemas.openxmlformats.org/officeDocument/2006/relationships" ref="G53" r:id="rId85"/>
    <hyperlink xmlns:r="http://schemas.openxmlformats.org/officeDocument/2006/relationships" ref="Y53" r:id="rId86"/>
    <hyperlink xmlns:r="http://schemas.openxmlformats.org/officeDocument/2006/relationships" ref="G54" r:id="rId87"/>
    <hyperlink xmlns:r="http://schemas.openxmlformats.org/officeDocument/2006/relationships" ref="Y54" r:id="rId88"/>
    <hyperlink xmlns:r="http://schemas.openxmlformats.org/officeDocument/2006/relationships" ref="G55" r:id="rId89"/>
    <hyperlink xmlns:r="http://schemas.openxmlformats.org/officeDocument/2006/relationships" ref="Y55" r:id="rId90"/>
    <hyperlink xmlns:r="http://schemas.openxmlformats.org/officeDocument/2006/relationships" ref="G56" r:id="rId91"/>
    <hyperlink xmlns:r="http://schemas.openxmlformats.org/officeDocument/2006/relationships" ref="Y56" r:id="rId92"/>
    <hyperlink xmlns:r="http://schemas.openxmlformats.org/officeDocument/2006/relationships" ref="G57" r:id="rId93"/>
    <hyperlink xmlns:r="http://schemas.openxmlformats.org/officeDocument/2006/relationships" ref="Y57" r:id="rId94"/>
    <hyperlink xmlns:r="http://schemas.openxmlformats.org/officeDocument/2006/relationships" ref="Y58" r:id="rId95"/>
    <hyperlink xmlns:r="http://schemas.openxmlformats.org/officeDocument/2006/relationships" ref="G59" r:id="rId96"/>
    <hyperlink xmlns:r="http://schemas.openxmlformats.org/officeDocument/2006/relationships" ref="Y59" r:id="rId97"/>
    <hyperlink xmlns:r="http://schemas.openxmlformats.org/officeDocument/2006/relationships" ref="G60" r:id="rId98"/>
    <hyperlink xmlns:r="http://schemas.openxmlformats.org/officeDocument/2006/relationships" ref="Y60" r:id="rId99"/>
    <hyperlink xmlns:r="http://schemas.openxmlformats.org/officeDocument/2006/relationships" ref="G61" r:id="rId100"/>
    <hyperlink xmlns:r="http://schemas.openxmlformats.org/officeDocument/2006/relationships" ref="Y61" r:id="rId101"/>
    <hyperlink xmlns:r="http://schemas.openxmlformats.org/officeDocument/2006/relationships" ref="G62" r:id="rId102"/>
    <hyperlink xmlns:r="http://schemas.openxmlformats.org/officeDocument/2006/relationships" ref="Y62" r:id="rId103"/>
    <hyperlink xmlns:r="http://schemas.openxmlformats.org/officeDocument/2006/relationships" ref="G63" r:id="rId104"/>
    <hyperlink xmlns:r="http://schemas.openxmlformats.org/officeDocument/2006/relationships" ref="Y63" r:id="rId105"/>
    <hyperlink xmlns:r="http://schemas.openxmlformats.org/officeDocument/2006/relationships" ref="Y64" r:id="rId106"/>
    <hyperlink xmlns:r="http://schemas.openxmlformats.org/officeDocument/2006/relationships" ref="Y65" r:id="rId107"/>
    <hyperlink xmlns:r="http://schemas.openxmlformats.org/officeDocument/2006/relationships" ref="G66" r:id="rId108"/>
    <hyperlink xmlns:r="http://schemas.openxmlformats.org/officeDocument/2006/relationships" ref="Y66" r:id="rId109"/>
    <hyperlink xmlns:r="http://schemas.openxmlformats.org/officeDocument/2006/relationships" ref="Y67" r:id="rId110"/>
    <hyperlink xmlns:r="http://schemas.openxmlformats.org/officeDocument/2006/relationships" ref="G68" r:id="rId111"/>
    <hyperlink xmlns:r="http://schemas.openxmlformats.org/officeDocument/2006/relationships" ref="Y68" r:id="rId112"/>
    <hyperlink xmlns:r="http://schemas.openxmlformats.org/officeDocument/2006/relationships" ref="Y69" r:id="rId113"/>
    <hyperlink xmlns:r="http://schemas.openxmlformats.org/officeDocument/2006/relationships" ref="Y70" r:id="rId114"/>
    <hyperlink xmlns:r="http://schemas.openxmlformats.org/officeDocument/2006/relationships" ref="G71" r:id="rId115"/>
    <hyperlink xmlns:r="http://schemas.openxmlformats.org/officeDocument/2006/relationships" ref="Y71" r:id="rId116"/>
    <hyperlink xmlns:r="http://schemas.openxmlformats.org/officeDocument/2006/relationships" ref="Y72" r:id="rId117"/>
    <hyperlink xmlns:r="http://schemas.openxmlformats.org/officeDocument/2006/relationships" ref="G73" r:id="rId118"/>
    <hyperlink xmlns:r="http://schemas.openxmlformats.org/officeDocument/2006/relationships" ref="Y73" r:id="rId119"/>
    <hyperlink xmlns:r="http://schemas.openxmlformats.org/officeDocument/2006/relationships" ref="G74" r:id="rId120"/>
    <hyperlink xmlns:r="http://schemas.openxmlformats.org/officeDocument/2006/relationships" ref="Y74" r:id="rId121"/>
    <hyperlink xmlns:r="http://schemas.openxmlformats.org/officeDocument/2006/relationships" ref="Y75" r:id="rId122"/>
    <hyperlink xmlns:r="http://schemas.openxmlformats.org/officeDocument/2006/relationships" ref="G76" r:id="rId123"/>
    <hyperlink xmlns:r="http://schemas.openxmlformats.org/officeDocument/2006/relationships" ref="Y76" r:id="rId124"/>
    <hyperlink xmlns:r="http://schemas.openxmlformats.org/officeDocument/2006/relationships" ref="Y77" r:id="rId125"/>
    <hyperlink xmlns:r="http://schemas.openxmlformats.org/officeDocument/2006/relationships" ref="Y78" r:id="rId126"/>
    <hyperlink xmlns:r="http://schemas.openxmlformats.org/officeDocument/2006/relationships" ref="G79" r:id="rId127"/>
    <hyperlink xmlns:r="http://schemas.openxmlformats.org/officeDocument/2006/relationships" ref="Y79" r:id="rId128"/>
    <hyperlink xmlns:r="http://schemas.openxmlformats.org/officeDocument/2006/relationships" ref="G80" r:id="rId129"/>
    <hyperlink xmlns:r="http://schemas.openxmlformats.org/officeDocument/2006/relationships" ref="Y80" r:id="rId130"/>
    <hyperlink xmlns:r="http://schemas.openxmlformats.org/officeDocument/2006/relationships" ref="Y81" r:id="rId131"/>
    <hyperlink xmlns:r="http://schemas.openxmlformats.org/officeDocument/2006/relationships" ref="G82" r:id="rId132"/>
    <hyperlink xmlns:r="http://schemas.openxmlformats.org/officeDocument/2006/relationships" ref="Y82" r:id="rId133"/>
    <hyperlink xmlns:r="http://schemas.openxmlformats.org/officeDocument/2006/relationships" ref="G83" r:id="rId134"/>
    <hyperlink xmlns:r="http://schemas.openxmlformats.org/officeDocument/2006/relationships" ref="Y83" r:id="rId135"/>
    <hyperlink xmlns:r="http://schemas.openxmlformats.org/officeDocument/2006/relationships" ref="G84" r:id="rId136"/>
    <hyperlink xmlns:r="http://schemas.openxmlformats.org/officeDocument/2006/relationships" ref="Y84" r:id="rId137"/>
    <hyperlink xmlns:r="http://schemas.openxmlformats.org/officeDocument/2006/relationships" ref="Y85" r:id="rId138"/>
    <hyperlink xmlns:r="http://schemas.openxmlformats.org/officeDocument/2006/relationships" ref="Y86" r:id="rId139"/>
    <hyperlink xmlns:r="http://schemas.openxmlformats.org/officeDocument/2006/relationships" ref="Y87" r:id="rId140"/>
    <hyperlink xmlns:r="http://schemas.openxmlformats.org/officeDocument/2006/relationships" ref="Y88" r:id="rId141"/>
    <hyperlink xmlns:r="http://schemas.openxmlformats.org/officeDocument/2006/relationships" ref="G89" r:id="rId142"/>
    <hyperlink xmlns:r="http://schemas.openxmlformats.org/officeDocument/2006/relationships" ref="Y89" r:id="rId143"/>
    <hyperlink xmlns:r="http://schemas.openxmlformats.org/officeDocument/2006/relationships" ref="G90" r:id="rId144"/>
    <hyperlink xmlns:r="http://schemas.openxmlformats.org/officeDocument/2006/relationships" ref="Y90" r:id="rId145"/>
    <hyperlink xmlns:r="http://schemas.openxmlformats.org/officeDocument/2006/relationships" ref="G91" r:id="rId146"/>
    <hyperlink xmlns:r="http://schemas.openxmlformats.org/officeDocument/2006/relationships" ref="Y91" r:id="rId147"/>
    <hyperlink xmlns:r="http://schemas.openxmlformats.org/officeDocument/2006/relationships" ref="G92" r:id="rId148"/>
    <hyperlink xmlns:r="http://schemas.openxmlformats.org/officeDocument/2006/relationships" ref="Y92" r:id="rId149"/>
    <hyperlink xmlns:r="http://schemas.openxmlformats.org/officeDocument/2006/relationships" ref="G93" r:id="rId150"/>
    <hyperlink xmlns:r="http://schemas.openxmlformats.org/officeDocument/2006/relationships" ref="Y93" r:id="rId151"/>
    <hyperlink xmlns:r="http://schemas.openxmlformats.org/officeDocument/2006/relationships" ref="G94" r:id="rId152"/>
    <hyperlink xmlns:r="http://schemas.openxmlformats.org/officeDocument/2006/relationships" ref="Y94" r:id="rId153"/>
    <hyperlink xmlns:r="http://schemas.openxmlformats.org/officeDocument/2006/relationships" ref="G95" r:id="rId154"/>
    <hyperlink xmlns:r="http://schemas.openxmlformats.org/officeDocument/2006/relationships" ref="Y95" r:id="rId155"/>
    <hyperlink xmlns:r="http://schemas.openxmlformats.org/officeDocument/2006/relationships" ref="G96" r:id="rId156"/>
    <hyperlink xmlns:r="http://schemas.openxmlformats.org/officeDocument/2006/relationships" ref="Y96" r:id="rId157"/>
    <hyperlink xmlns:r="http://schemas.openxmlformats.org/officeDocument/2006/relationships" ref="G97" r:id="rId158"/>
    <hyperlink xmlns:r="http://schemas.openxmlformats.org/officeDocument/2006/relationships" ref="Y97" r:id="rId159"/>
    <hyperlink xmlns:r="http://schemas.openxmlformats.org/officeDocument/2006/relationships" ref="Y98" r:id="rId160"/>
    <hyperlink xmlns:r="http://schemas.openxmlformats.org/officeDocument/2006/relationships" ref="Y99" r:id="rId161"/>
    <hyperlink xmlns:r="http://schemas.openxmlformats.org/officeDocument/2006/relationships" ref="G100" r:id="rId162"/>
    <hyperlink xmlns:r="http://schemas.openxmlformats.org/officeDocument/2006/relationships" ref="Y100" r:id="rId163"/>
    <hyperlink xmlns:r="http://schemas.openxmlformats.org/officeDocument/2006/relationships" ref="G101" r:id="rId164"/>
    <hyperlink xmlns:r="http://schemas.openxmlformats.org/officeDocument/2006/relationships" ref="Y101" r:id="rId165"/>
    <hyperlink xmlns:r="http://schemas.openxmlformats.org/officeDocument/2006/relationships" ref="G102" r:id="rId166"/>
    <hyperlink xmlns:r="http://schemas.openxmlformats.org/officeDocument/2006/relationships" ref="Y102" r:id="rId167"/>
    <hyperlink xmlns:r="http://schemas.openxmlformats.org/officeDocument/2006/relationships" ref="G103" r:id="rId168"/>
    <hyperlink xmlns:r="http://schemas.openxmlformats.org/officeDocument/2006/relationships" ref="Y103" r:id="rId169"/>
    <hyperlink xmlns:r="http://schemas.openxmlformats.org/officeDocument/2006/relationships" ref="Y104" r:id="rId170"/>
    <hyperlink xmlns:r="http://schemas.openxmlformats.org/officeDocument/2006/relationships" ref="Y105" r:id="rId171"/>
    <hyperlink xmlns:r="http://schemas.openxmlformats.org/officeDocument/2006/relationships" ref="Y106" r:id="rId172"/>
    <hyperlink xmlns:r="http://schemas.openxmlformats.org/officeDocument/2006/relationships" ref="Y107" r:id="rId173"/>
    <hyperlink xmlns:r="http://schemas.openxmlformats.org/officeDocument/2006/relationships" ref="Y108" r:id="rId174"/>
    <hyperlink xmlns:r="http://schemas.openxmlformats.org/officeDocument/2006/relationships" ref="Y109" r:id="rId175"/>
    <hyperlink xmlns:r="http://schemas.openxmlformats.org/officeDocument/2006/relationships" ref="G110" r:id="rId176"/>
    <hyperlink xmlns:r="http://schemas.openxmlformats.org/officeDocument/2006/relationships" ref="Y110" r:id="rId177"/>
    <hyperlink xmlns:r="http://schemas.openxmlformats.org/officeDocument/2006/relationships" ref="Y111" r:id="rId178"/>
    <hyperlink xmlns:r="http://schemas.openxmlformats.org/officeDocument/2006/relationships" ref="Y112" r:id="rId179"/>
    <hyperlink xmlns:r="http://schemas.openxmlformats.org/officeDocument/2006/relationships" ref="Y113" r:id="rId180"/>
    <hyperlink xmlns:r="http://schemas.openxmlformats.org/officeDocument/2006/relationships" ref="G114" r:id="rId181"/>
    <hyperlink xmlns:r="http://schemas.openxmlformats.org/officeDocument/2006/relationships" ref="Y114" r:id="rId182"/>
    <hyperlink xmlns:r="http://schemas.openxmlformats.org/officeDocument/2006/relationships" ref="G115" r:id="rId183"/>
    <hyperlink xmlns:r="http://schemas.openxmlformats.org/officeDocument/2006/relationships" ref="Y115" r:id="rId184"/>
    <hyperlink xmlns:r="http://schemas.openxmlformats.org/officeDocument/2006/relationships" ref="Y116" r:id="rId185"/>
    <hyperlink xmlns:r="http://schemas.openxmlformats.org/officeDocument/2006/relationships" ref="G117" r:id="rId186"/>
    <hyperlink xmlns:r="http://schemas.openxmlformats.org/officeDocument/2006/relationships" ref="Y117" r:id="rId187"/>
    <hyperlink xmlns:r="http://schemas.openxmlformats.org/officeDocument/2006/relationships" ref="Y118" r:id="rId188"/>
    <hyperlink xmlns:r="http://schemas.openxmlformats.org/officeDocument/2006/relationships" ref="Y119" r:id="rId189"/>
    <hyperlink xmlns:r="http://schemas.openxmlformats.org/officeDocument/2006/relationships" ref="Y120" r:id="rId190"/>
    <hyperlink xmlns:r="http://schemas.openxmlformats.org/officeDocument/2006/relationships" ref="Y121" r:id="rId191"/>
    <hyperlink xmlns:r="http://schemas.openxmlformats.org/officeDocument/2006/relationships" ref="G122" r:id="rId192"/>
    <hyperlink xmlns:r="http://schemas.openxmlformats.org/officeDocument/2006/relationships" ref="Y122" r:id="rId193"/>
    <hyperlink xmlns:r="http://schemas.openxmlformats.org/officeDocument/2006/relationships" ref="Y123" r:id="rId194"/>
    <hyperlink xmlns:r="http://schemas.openxmlformats.org/officeDocument/2006/relationships" ref="G124" r:id="rId195"/>
    <hyperlink xmlns:r="http://schemas.openxmlformats.org/officeDocument/2006/relationships" ref="Y124" r:id="rId196"/>
    <hyperlink xmlns:r="http://schemas.openxmlformats.org/officeDocument/2006/relationships" ref="G125" r:id="rId197"/>
    <hyperlink xmlns:r="http://schemas.openxmlformats.org/officeDocument/2006/relationships" ref="Y125" r:id="rId198"/>
    <hyperlink xmlns:r="http://schemas.openxmlformats.org/officeDocument/2006/relationships" ref="Y126" r:id="rId199"/>
    <hyperlink xmlns:r="http://schemas.openxmlformats.org/officeDocument/2006/relationships" ref="G127" r:id="rId200"/>
    <hyperlink xmlns:r="http://schemas.openxmlformats.org/officeDocument/2006/relationships" ref="Y127" r:id="rId201"/>
    <hyperlink xmlns:r="http://schemas.openxmlformats.org/officeDocument/2006/relationships" ref="G128" r:id="rId202"/>
    <hyperlink xmlns:r="http://schemas.openxmlformats.org/officeDocument/2006/relationships" ref="Y128" r:id="rId203"/>
    <hyperlink xmlns:r="http://schemas.openxmlformats.org/officeDocument/2006/relationships" ref="G129" r:id="rId204"/>
    <hyperlink xmlns:r="http://schemas.openxmlformats.org/officeDocument/2006/relationships" ref="Y129" r:id="rId205"/>
    <hyperlink xmlns:r="http://schemas.openxmlformats.org/officeDocument/2006/relationships" ref="Y130" r:id="rId206"/>
    <hyperlink xmlns:r="http://schemas.openxmlformats.org/officeDocument/2006/relationships" ref="Y131" r:id="rId207"/>
    <hyperlink xmlns:r="http://schemas.openxmlformats.org/officeDocument/2006/relationships" ref="G132" r:id="rId208"/>
    <hyperlink xmlns:r="http://schemas.openxmlformats.org/officeDocument/2006/relationships" ref="Y132" r:id="rId209"/>
    <hyperlink xmlns:r="http://schemas.openxmlformats.org/officeDocument/2006/relationships" ref="G133" r:id="rId210"/>
    <hyperlink xmlns:r="http://schemas.openxmlformats.org/officeDocument/2006/relationships" ref="Y133" r:id="rId211"/>
    <hyperlink xmlns:r="http://schemas.openxmlformats.org/officeDocument/2006/relationships" ref="Y134" r:id="rId212"/>
    <hyperlink xmlns:r="http://schemas.openxmlformats.org/officeDocument/2006/relationships" ref="G135" r:id="rId213"/>
    <hyperlink xmlns:r="http://schemas.openxmlformats.org/officeDocument/2006/relationships" ref="Y135" r:id="rId214"/>
    <hyperlink xmlns:r="http://schemas.openxmlformats.org/officeDocument/2006/relationships" ref="Y136" r:id="rId215"/>
    <hyperlink xmlns:r="http://schemas.openxmlformats.org/officeDocument/2006/relationships" ref="G137" r:id="rId216"/>
    <hyperlink xmlns:r="http://schemas.openxmlformats.org/officeDocument/2006/relationships" ref="Y137" r:id="rId217"/>
    <hyperlink xmlns:r="http://schemas.openxmlformats.org/officeDocument/2006/relationships" ref="G138" r:id="rId218"/>
    <hyperlink xmlns:r="http://schemas.openxmlformats.org/officeDocument/2006/relationships" ref="Y138" r:id="rId219"/>
    <hyperlink xmlns:r="http://schemas.openxmlformats.org/officeDocument/2006/relationships" ref="Y139" r:id="rId220"/>
    <hyperlink xmlns:r="http://schemas.openxmlformats.org/officeDocument/2006/relationships" ref="Y140" r:id="rId221"/>
    <hyperlink xmlns:r="http://schemas.openxmlformats.org/officeDocument/2006/relationships" ref="Y141" r:id="rId222"/>
    <hyperlink xmlns:r="http://schemas.openxmlformats.org/officeDocument/2006/relationships" ref="Y142" r:id="rId223"/>
    <hyperlink xmlns:r="http://schemas.openxmlformats.org/officeDocument/2006/relationships" ref="Y143" r:id="rId224"/>
    <hyperlink xmlns:r="http://schemas.openxmlformats.org/officeDocument/2006/relationships" ref="Y144" r:id="rId225"/>
    <hyperlink xmlns:r="http://schemas.openxmlformats.org/officeDocument/2006/relationships" ref="Y145" r:id="rId226"/>
    <hyperlink xmlns:r="http://schemas.openxmlformats.org/officeDocument/2006/relationships" ref="Y146" r:id="rId227"/>
    <hyperlink xmlns:r="http://schemas.openxmlformats.org/officeDocument/2006/relationships" ref="G147" r:id="rId228"/>
    <hyperlink xmlns:r="http://schemas.openxmlformats.org/officeDocument/2006/relationships" ref="Y147" r:id="rId229"/>
    <hyperlink xmlns:r="http://schemas.openxmlformats.org/officeDocument/2006/relationships" ref="Y148" r:id="rId230"/>
    <hyperlink xmlns:r="http://schemas.openxmlformats.org/officeDocument/2006/relationships" ref="G149" r:id="rId231"/>
    <hyperlink xmlns:r="http://schemas.openxmlformats.org/officeDocument/2006/relationships" ref="Y149" r:id="rId232"/>
    <hyperlink xmlns:r="http://schemas.openxmlformats.org/officeDocument/2006/relationships" ref="Y150" r:id="rId233"/>
    <hyperlink xmlns:r="http://schemas.openxmlformats.org/officeDocument/2006/relationships" ref="G151" r:id="rId234"/>
    <hyperlink xmlns:r="http://schemas.openxmlformats.org/officeDocument/2006/relationships" ref="Y151" r:id="rId235"/>
    <hyperlink xmlns:r="http://schemas.openxmlformats.org/officeDocument/2006/relationships" ref="Y152" r:id="rId236"/>
    <hyperlink xmlns:r="http://schemas.openxmlformats.org/officeDocument/2006/relationships" ref="G153" r:id="rId237"/>
    <hyperlink xmlns:r="http://schemas.openxmlformats.org/officeDocument/2006/relationships" ref="Y153" r:id="rId238"/>
    <hyperlink xmlns:r="http://schemas.openxmlformats.org/officeDocument/2006/relationships" ref="G154" r:id="rId239"/>
    <hyperlink xmlns:r="http://schemas.openxmlformats.org/officeDocument/2006/relationships" ref="Y154" r:id="rId240"/>
    <hyperlink xmlns:r="http://schemas.openxmlformats.org/officeDocument/2006/relationships" ref="Y155" r:id="rId241"/>
    <hyperlink xmlns:r="http://schemas.openxmlformats.org/officeDocument/2006/relationships" ref="G156" r:id="rId242"/>
    <hyperlink xmlns:r="http://schemas.openxmlformats.org/officeDocument/2006/relationships" ref="Y156" r:id="rId243"/>
    <hyperlink xmlns:r="http://schemas.openxmlformats.org/officeDocument/2006/relationships" ref="G157" r:id="rId244"/>
    <hyperlink xmlns:r="http://schemas.openxmlformats.org/officeDocument/2006/relationships" ref="Y157" r:id="rId245"/>
    <hyperlink xmlns:r="http://schemas.openxmlformats.org/officeDocument/2006/relationships" ref="Y158" r:id="rId246"/>
    <hyperlink xmlns:r="http://schemas.openxmlformats.org/officeDocument/2006/relationships" ref="Y159" r:id="rId247"/>
    <hyperlink xmlns:r="http://schemas.openxmlformats.org/officeDocument/2006/relationships" ref="Y160" r:id="rId248"/>
    <hyperlink xmlns:r="http://schemas.openxmlformats.org/officeDocument/2006/relationships" ref="Y161" r:id="rId249"/>
    <hyperlink xmlns:r="http://schemas.openxmlformats.org/officeDocument/2006/relationships" ref="Y162" r:id="rId250"/>
    <hyperlink xmlns:r="http://schemas.openxmlformats.org/officeDocument/2006/relationships" ref="Y163" r:id="rId251"/>
    <hyperlink xmlns:r="http://schemas.openxmlformats.org/officeDocument/2006/relationships" ref="Y164" r:id="rId252"/>
    <hyperlink xmlns:r="http://schemas.openxmlformats.org/officeDocument/2006/relationships" ref="G165" r:id="rId253"/>
    <hyperlink xmlns:r="http://schemas.openxmlformats.org/officeDocument/2006/relationships" ref="Y165" r:id="rId254"/>
    <hyperlink xmlns:r="http://schemas.openxmlformats.org/officeDocument/2006/relationships" ref="Y166" r:id="rId255"/>
    <hyperlink xmlns:r="http://schemas.openxmlformats.org/officeDocument/2006/relationships" ref="Y167" r:id="rId256"/>
    <hyperlink xmlns:r="http://schemas.openxmlformats.org/officeDocument/2006/relationships" ref="Y168" r:id="rId257"/>
    <hyperlink xmlns:r="http://schemas.openxmlformats.org/officeDocument/2006/relationships" ref="Y169" r:id="rId258"/>
    <hyperlink xmlns:r="http://schemas.openxmlformats.org/officeDocument/2006/relationships" ref="Y170" r:id="rId259"/>
    <hyperlink xmlns:r="http://schemas.openxmlformats.org/officeDocument/2006/relationships" ref="Y171" r:id="rId260"/>
    <hyperlink xmlns:r="http://schemas.openxmlformats.org/officeDocument/2006/relationships" ref="Y172" r:id="rId261"/>
    <hyperlink xmlns:r="http://schemas.openxmlformats.org/officeDocument/2006/relationships" ref="Y173" r:id="rId262"/>
    <hyperlink xmlns:r="http://schemas.openxmlformats.org/officeDocument/2006/relationships" ref="Y174" r:id="rId263"/>
    <hyperlink xmlns:r="http://schemas.openxmlformats.org/officeDocument/2006/relationships" ref="Y175" r:id="rId264"/>
    <hyperlink xmlns:r="http://schemas.openxmlformats.org/officeDocument/2006/relationships" ref="Y176" r:id="rId265"/>
    <hyperlink xmlns:r="http://schemas.openxmlformats.org/officeDocument/2006/relationships" ref="Y177" r:id="rId266"/>
    <hyperlink xmlns:r="http://schemas.openxmlformats.org/officeDocument/2006/relationships" ref="Y178" r:id="rId267"/>
    <hyperlink xmlns:r="http://schemas.openxmlformats.org/officeDocument/2006/relationships" ref="Y179" r:id="rId268"/>
    <hyperlink xmlns:r="http://schemas.openxmlformats.org/officeDocument/2006/relationships" ref="Y180" r:id="rId269"/>
    <hyperlink xmlns:r="http://schemas.openxmlformats.org/officeDocument/2006/relationships" ref="G181" r:id="rId270"/>
    <hyperlink xmlns:r="http://schemas.openxmlformats.org/officeDocument/2006/relationships" ref="Y181" r:id="rId271"/>
    <hyperlink xmlns:r="http://schemas.openxmlformats.org/officeDocument/2006/relationships" ref="G182" r:id="rId272"/>
    <hyperlink xmlns:r="http://schemas.openxmlformats.org/officeDocument/2006/relationships" ref="Y182" r:id="rId273"/>
    <hyperlink xmlns:r="http://schemas.openxmlformats.org/officeDocument/2006/relationships" ref="Y183" r:id="rId274"/>
    <hyperlink xmlns:r="http://schemas.openxmlformats.org/officeDocument/2006/relationships" ref="Y184" r:id="rId275"/>
    <hyperlink xmlns:r="http://schemas.openxmlformats.org/officeDocument/2006/relationships" ref="G185" r:id="rId276"/>
    <hyperlink xmlns:r="http://schemas.openxmlformats.org/officeDocument/2006/relationships" ref="Y185" r:id="rId277"/>
    <hyperlink xmlns:r="http://schemas.openxmlformats.org/officeDocument/2006/relationships" ref="Y186" r:id="rId278"/>
    <hyperlink xmlns:r="http://schemas.openxmlformats.org/officeDocument/2006/relationships" ref="Y187" r:id="rId279"/>
    <hyperlink xmlns:r="http://schemas.openxmlformats.org/officeDocument/2006/relationships" ref="Y188" r:id="rId280"/>
    <hyperlink xmlns:r="http://schemas.openxmlformats.org/officeDocument/2006/relationships" ref="Y189" r:id="rId281"/>
    <hyperlink xmlns:r="http://schemas.openxmlformats.org/officeDocument/2006/relationships" ref="Y190" r:id="rId282"/>
    <hyperlink xmlns:r="http://schemas.openxmlformats.org/officeDocument/2006/relationships" ref="G191" r:id="rId283"/>
    <hyperlink xmlns:r="http://schemas.openxmlformats.org/officeDocument/2006/relationships" ref="Y191" r:id="rId284"/>
    <hyperlink xmlns:r="http://schemas.openxmlformats.org/officeDocument/2006/relationships" ref="Y192" r:id="rId285"/>
    <hyperlink xmlns:r="http://schemas.openxmlformats.org/officeDocument/2006/relationships" ref="Y193" r:id="rId286"/>
    <hyperlink xmlns:r="http://schemas.openxmlformats.org/officeDocument/2006/relationships" ref="Y194" r:id="rId287"/>
    <hyperlink xmlns:r="http://schemas.openxmlformats.org/officeDocument/2006/relationships" ref="Y195" r:id="rId288"/>
    <hyperlink xmlns:r="http://schemas.openxmlformats.org/officeDocument/2006/relationships" ref="Y196" r:id="rId289"/>
    <hyperlink xmlns:r="http://schemas.openxmlformats.org/officeDocument/2006/relationships" ref="Y197" r:id="rId290"/>
    <hyperlink xmlns:r="http://schemas.openxmlformats.org/officeDocument/2006/relationships" ref="Y198" r:id="rId291"/>
    <hyperlink xmlns:r="http://schemas.openxmlformats.org/officeDocument/2006/relationships" ref="Y199" r:id="rId292"/>
    <hyperlink xmlns:r="http://schemas.openxmlformats.org/officeDocument/2006/relationships" ref="G200" r:id="rId293"/>
    <hyperlink xmlns:r="http://schemas.openxmlformats.org/officeDocument/2006/relationships" ref="Y200" r:id="rId294"/>
    <hyperlink xmlns:r="http://schemas.openxmlformats.org/officeDocument/2006/relationships" ref="Y201" r:id="rId295"/>
    <hyperlink xmlns:r="http://schemas.openxmlformats.org/officeDocument/2006/relationships" ref="G202" r:id="rId296"/>
    <hyperlink xmlns:r="http://schemas.openxmlformats.org/officeDocument/2006/relationships" ref="Y202" r:id="rId297"/>
    <hyperlink xmlns:r="http://schemas.openxmlformats.org/officeDocument/2006/relationships" ref="Y203" r:id="rId298"/>
    <hyperlink xmlns:r="http://schemas.openxmlformats.org/officeDocument/2006/relationships" ref="Y204" r:id="rId299"/>
    <hyperlink xmlns:r="http://schemas.openxmlformats.org/officeDocument/2006/relationships" ref="G205" r:id="rId300"/>
    <hyperlink xmlns:r="http://schemas.openxmlformats.org/officeDocument/2006/relationships" ref="Y205" r:id="rId301"/>
    <hyperlink xmlns:r="http://schemas.openxmlformats.org/officeDocument/2006/relationships" ref="Y206" r:id="rId302"/>
    <hyperlink xmlns:r="http://schemas.openxmlformats.org/officeDocument/2006/relationships" ref="G207" r:id="rId303"/>
    <hyperlink xmlns:r="http://schemas.openxmlformats.org/officeDocument/2006/relationships" ref="Y207" r:id="rId304"/>
    <hyperlink xmlns:r="http://schemas.openxmlformats.org/officeDocument/2006/relationships" ref="Y208" r:id="rId305"/>
    <hyperlink xmlns:r="http://schemas.openxmlformats.org/officeDocument/2006/relationships" ref="G209" r:id="rId306"/>
    <hyperlink xmlns:r="http://schemas.openxmlformats.org/officeDocument/2006/relationships" ref="Y209" r:id="rId307"/>
    <hyperlink xmlns:r="http://schemas.openxmlformats.org/officeDocument/2006/relationships" ref="G210" r:id="rId308"/>
    <hyperlink xmlns:r="http://schemas.openxmlformats.org/officeDocument/2006/relationships" ref="Y210" r:id="rId309"/>
    <hyperlink xmlns:r="http://schemas.openxmlformats.org/officeDocument/2006/relationships" ref="G211" r:id="rId310"/>
    <hyperlink xmlns:r="http://schemas.openxmlformats.org/officeDocument/2006/relationships" ref="Y211" r:id="rId311"/>
    <hyperlink xmlns:r="http://schemas.openxmlformats.org/officeDocument/2006/relationships" ref="G212" r:id="rId312"/>
    <hyperlink xmlns:r="http://schemas.openxmlformats.org/officeDocument/2006/relationships" ref="Y212" r:id="rId313"/>
    <hyperlink xmlns:r="http://schemas.openxmlformats.org/officeDocument/2006/relationships" ref="Y213" r:id="rId314"/>
    <hyperlink xmlns:r="http://schemas.openxmlformats.org/officeDocument/2006/relationships" ref="G214" r:id="rId315"/>
    <hyperlink xmlns:r="http://schemas.openxmlformats.org/officeDocument/2006/relationships" ref="Y214" r:id="rId316"/>
    <hyperlink xmlns:r="http://schemas.openxmlformats.org/officeDocument/2006/relationships" ref="Y215" r:id="rId317"/>
    <hyperlink xmlns:r="http://schemas.openxmlformats.org/officeDocument/2006/relationships" ref="G216" r:id="rId318"/>
    <hyperlink xmlns:r="http://schemas.openxmlformats.org/officeDocument/2006/relationships" ref="Y216" r:id="rId319"/>
    <hyperlink xmlns:r="http://schemas.openxmlformats.org/officeDocument/2006/relationships" ref="G217" r:id="rId320"/>
    <hyperlink xmlns:r="http://schemas.openxmlformats.org/officeDocument/2006/relationships" ref="Y217" r:id="rId321"/>
    <hyperlink xmlns:r="http://schemas.openxmlformats.org/officeDocument/2006/relationships" ref="Y218" r:id="rId322"/>
    <hyperlink xmlns:r="http://schemas.openxmlformats.org/officeDocument/2006/relationships" ref="G219" r:id="rId323"/>
    <hyperlink xmlns:r="http://schemas.openxmlformats.org/officeDocument/2006/relationships" ref="Y219" r:id="rId324"/>
    <hyperlink xmlns:r="http://schemas.openxmlformats.org/officeDocument/2006/relationships" ref="Y220" r:id="rId325"/>
    <hyperlink xmlns:r="http://schemas.openxmlformats.org/officeDocument/2006/relationships" ref="Y221" r:id="rId326"/>
    <hyperlink xmlns:r="http://schemas.openxmlformats.org/officeDocument/2006/relationships" ref="G222" r:id="rId327"/>
    <hyperlink xmlns:r="http://schemas.openxmlformats.org/officeDocument/2006/relationships" ref="Y222" r:id="rId328"/>
    <hyperlink xmlns:r="http://schemas.openxmlformats.org/officeDocument/2006/relationships" ref="G223" r:id="rId329"/>
    <hyperlink xmlns:r="http://schemas.openxmlformats.org/officeDocument/2006/relationships" ref="Y223" r:id="rId330"/>
    <hyperlink xmlns:r="http://schemas.openxmlformats.org/officeDocument/2006/relationships" ref="G224" r:id="rId331"/>
    <hyperlink xmlns:r="http://schemas.openxmlformats.org/officeDocument/2006/relationships" ref="Y224" r:id="rId332"/>
    <hyperlink xmlns:r="http://schemas.openxmlformats.org/officeDocument/2006/relationships" ref="G225" r:id="rId333"/>
    <hyperlink xmlns:r="http://schemas.openxmlformats.org/officeDocument/2006/relationships" ref="Y225" r:id="rId334"/>
    <hyperlink xmlns:r="http://schemas.openxmlformats.org/officeDocument/2006/relationships" ref="G226" r:id="rId335"/>
    <hyperlink xmlns:r="http://schemas.openxmlformats.org/officeDocument/2006/relationships" ref="Y226" r:id="rId336"/>
    <hyperlink xmlns:r="http://schemas.openxmlformats.org/officeDocument/2006/relationships" ref="G227" r:id="rId337"/>
    <hyperlink xmlns:r="http://schemas.openxmlformats.org/officeDocument/2006/relationships" ref="Y227" r:id="rId338"/>
    <hyperlink xmlns:r="http://schemas.openxmlformats.org/officeDocument/2006/relationships" ref="G228" r:id="rId339"/>
    <hyperlink xmlns:r="http://schemas.openxmlformats.org/officeDocument/2006/relationships" ref="Y228" r:id="rId340"/>
    <hyperlink xmlns:r="http://schemas.openxmlformats.org/officeDocument/2006/relationships" ref="G229" r:id="rId341"/>
    <hyperlink xmlns:r="http://schemas.openxmlformats.org/officeDocument/2006/relationships" ref="Y229" r:id="rId342"/>
    <hyperlink xmlns:r="http://schemas.openxmlformats.org/officeDocument/2006/relationships" ref="G230" r:id="rId343"/>
    <hyperlink xmlns:r="http://schemas.openxmlformats.org/officeDocument/2006/relationships" ref="Y230" r:id="rId344"/>
    <hyperlink xmlns:r="http://schemas.openxmlformats.org/officeDocument/2006/relationships" ref="G231" r:id="rId345"/>
    <hyperlink xmlns:r="http://schemas.openxmlformats.org/officeDocument/2006/relationships" ref="Y231" r:id="rId346"/>
    <hyperlink xmlns:r="http://schemas.openxmlformats.org/officeDocument/2006/relationships" ref="G232" r:id="rId347"/>
    <hyperlink xmlns:r="http://schemas.openxmlformats.org/officeDocument/2006/relationships" ref="Y232" r:id="rId348"/>
    <hyperlink xmlns:r="http://schemas.openxmlformats.org/officeDocument/2006/relationships" ref="G233" r:id="rId349"/>
    <hyperlink xmlns:r="http://schemas.openxmlformats.org/officeDocument/2006/relationships" ref="Y233" r:id="rId350"/>
    <hyperlink xmlns:r="http://schemas.openxmlformats.org/officeDocument/2006/relationships" ref="G234" r:id="rId351"/>
    <hyperlink xmlns:r="http://schemas.openxmlformats.org/officeDocument/2006/relationships" ref="Y234" r:id="rId352"/>
    <hyperlink xmlns:r="http://schemas.openxmlformats.org/officeDocument/2006/relationships" ref="G235" r:id="rId353"/>
    <hyperlink xmlns:r="http://schemas.openxmlformats.org/officeDocument/2006/relationships" ref="Y235" r:id="rId354"/>
    <hyperlink xmlns:r="http://schemas.openxmlformats.org/officeDocument/2006/relationships" ref="G236" r:id="rId355"/>
    <hyperlink xmlns:r="http://schemas.openxmlformats.org/officeDocument/2006/relationships" ref="Y236" r:id="rId356"/>
    <hyperlink xmlns:r="http://schemas.openxmlformats.org/officeDocument/2006/relationships" ref="G237" r:id="rId357"/>
    <hyperlink xmlns:r="http://schemas.openxmlformats.org/officeDocument/2006/relationships" ref="Y237" r:id="rId358"/>
    <hyperlink xmlns:r="http://schemas.openxmlformats.org/officeDocument/2006/relationships" ref="G238" r:id="rId359"/>
    <hyperlink xmlns:r="http://schemas.openxmlformats.org/officeDocument/2006/relationships" ref="Y238" r:id="rId360"/>
    <hyperlink xmlns:r="http://schemas.openxmlformats.org/officeDocument/2006/relationships" ref="Y239" r:id="rId361"/>
    <hyperlink xmlns:r="http://schemas.openxmlformats.org/officeDocument/2006/relationships" ref="G240" r:id="rId362"/>
    <hyperlink xmlns:r="http://schemas.openxmlformats.org/officeDocument/2006/relationships" ref="Y240" r:id="rId363"/>
    <hyperlink xmlns:r="http://schemas.openxmlformats.org/officeDocument/2006/relationships" ref="Y241" r:id="rId364"/>
    <hyperlink xmlns:r="http://schemas.openxmlformats.org/officeDocument/2006/relationships" ref="G242" r:id="rId365"/>
    <hyperlink xmlns:r="http://schemas.openxmlformats.org/officeDocument/2006/relationships" ref="Y242" r:id="rId366"/>
    <hyperlink xmlns:r="http://schemas.openxmlformats.org/officeDocument/2006/relationships" ref="G243" r:id="rId367"/>
    <hyperlink xmlns:r="http://schemas.openxmlformats.org/officeDocument/2006/relationships" ref="Y243" r:id="rId368"/>
    <hyperlink xmlns:r="http://schemas.openxmlformats.org/officeDocument/2006/relationships" ref="G244" r:id="rId369"/>
    <hyperlink xmlns:r="http://schemas.openxmlformats.org/officeDocument/2006/relationships" ref="Y244" r:id="rId370"/>
    <hyperlink xmlns:r="http://schemas.openxmlformats.org/officeDocument/2006/relationships" ref="G245" r:id="rId371"/>
    <hyperlink xmlns:r="http://schemas.openxmlformats.org/officeDocument/2006/relationships" ref="Y245" r:id="rId372"/>
    <hyperlink xmlns:r="http://schemas.openxmlformats.org/officeDocument/2006/relationships" ref="G246" r:id="rId373"/>
    <hyperlink xmlns:r="http://schemas.openxmlformats.org/officeDocument/2006/relationships" ref="Y246" r:id="rId374"/>
    <hyperlink xmlns:r="http://schemas.openxmlformats.org/officeDocument/2006/relationships" ref="G247" r:id="rId375"/>
    <hyperlink xmlns:r="http://schemas.openxmlformats.org/officeDocument/2006/relationships" ref="Y247" r:id="rId376"/>
    <hyperlink xmlns:r="http://schemas.openxmlformats.org/officeDocument/2006/relationships" ref="G248" r:id="rId377"/>
    <hyperlink xmlns:r="http://schemas.openxmlformats.org/officeDocument/2006/relationships" ref="Y248" r:id="rId378"/>
    <hyperlink xmlns:r="http://schemas.openxmlformats.org/officeDocument/2006/relationships" ref="G249" r:id="rId379"/>
    <hyperlink xmlns:r="http://schemas.openxmlformats.org/officeDocument/2006/relationships" ref="Y249" r:id="rId380"/>
    <hyperlink xmlns:r="http://schemas.openxmlformats.org/officeDocument/2006/relationships" ref="G250" r:id="rId381"/>
    <hyperlink xmlns:r="http://schemas.openxmlformats.org/officeDocument/2006/relationships" ref="Y250" r:id="rId382"/>
    <hyperlink xmlns:r="http://schemas.openxmlformats.org/officeDocument/2006/relationships" ref="G251" r:id="rId383"/>
    <hyperlink xmlns:r="http://schemas.openxmlformats.org/officeDocument/2006/relationships" ref="Y251" r:id="rId384"/>
    <hyperlink xmlns:r="http://schemas.openxmlformats.org/officeDocument/2006/relationships" ref="G252" r:id="rId385"/>
    <hyperlink xmlns:r="http://schemas.openxmlformats.org/officeDocument/2006/relationships" ref="Y252" r:id="rId386"/>
    <hyperlink xmlns:r="http://schemas.openxmlformats.org/officeDocument/2006/relationships" ref="Y253" r:id="rId387"/>
    <hyperlink xmlns:r="http://schemas.openxmlformats.org/officeDocument/2006/relationships" ref="G254" r:id="rId388"/>
    <hyperlink xmlns:r="http://schemas.openxmlformats.org/officeDocument/2006/relationships" ref="Y254" r:id="rId389"/>
    <hyperlink xmlns:r="http://schemas.openxmlformats.org/officeDocument/2006/relationships" ref="G255" r:id="rId390"/>
    <hyperlink xmlns:r="http://schemas.openxmlformats.org/officeDocument/2006/relationships" ref="Y255" r:id="rId391"/>
    <hyperlink xmlns:r="http://schemas.openxmlformats.org/officeDocument/2006/relationships" ref="G256" r:id="rId392"/>
    <hyperlink xmlns:r="http://schemas.openxmlformats.org/officeDocument/2006/relationships" ref="Y256" r:id="rId393"/>
    <hyperlink xmlns:r="http://schemas.openxmlformats.org/officeDocument/2006/relationships" ref="G257" r:id="rId394"/>
    <hyperlink xmlns:r="http://schemas.openxmlformats.org/officeDocument/2006/relationships" ref="Y257" r:id="rId395"/>
    <hyperlink xmlns:r="http://schemas.openxmlformats.org/officeDocument/2006/relationships" ref="G258" r:id="rId396"/>
    <hyperlink xmlns:r="http://schemas.openxmlformats.org/officeDocument/2006/relationships" ref="Y258" r:id="rId397"/>
    <hyperlink xmlns:r="http://schemas.openxmlformats.org/officeDocument/2006/relationships" ref="Y259" r:id="rId398"/>
    <hyperlink xmlns:r="http://schemas.openxmlformats.org/officeDocument/2006/relationships" ref="G260" r:id="rId399"/>
    <hyperlink xmlns:r="http://schemas.openxmlformats.org/officeDocument/2006/relationships" ref="Y260" r:id="rId400"/>
    <hyperlink xmlns:r="http://schemas.openxmlformats.org/officeDocument/2006/relationships" ref="G261" r:id="rId401"/>
    <hyperlink xmlns:r="http://schemas.openxmlformats.org/officeDocument/2006/relationships" ref="Y261" r:id="rId402"/>
    <hyperlink xmlns:r="http://schemas.openxmlformats.org/officeDocument/2006/relationships" ref="G262" r:id="rId403"/>
    <hyperlink xmlns:r="http://schemas.openxmlformats.org/officeDocument/2006/relationships" ref="Y262" r:id="rId404"/>
    <hyperlink xmlns:r="http://schemas.openxmlformats.org/officeDocument/2006/relationships" ref="G263" r:id="rId405"/>
    <hyperlink xmlns:r="http://schemas.openxmlformats.org/officeDocument/2006/relationships" ref="Y263" r:id="rId40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6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18" customWidth="1" min="4" max="4"/>
    <col width="12" customWidth="1" min="5" max="5"/>
    <col width="18" customWidth="1" min="6" max="6"/>
    <col width="30" customWidth="1" min="7" max="7"/>
    <col width="40" customWidth="1" min="8" max="8"/>
    <col width="30" customWidth="1" min="9" max="9"/>
    <col width="14" customWidth="1" min="10" max="10"/>
    <col width="28" customWidth="1" min="11" max="11"/>
    <col width="18" customWidth="1" min="12" max="12"/>
    <col width="16" customWidth="1" min="13" max="13"/>
    <col width="14" customWidth="1" min="14" max="14"/>
    <col width="12" customWidth="1" min="15" max="15"/>
    <col width="26" customWidth="1" min="16" max="16"/>
    <col width="18" customWidth="1" min="17" max="17"/>
    <col width="12" customWidth="1" min="18" max="18"/>
    <col width="18" customWidth="1" min="19" max="19"/>
    <col width="9" customWidth="1" min="20" max="20"/>
    <col width="7" customWidth="1" min="21" max="21"/>
    <col width="60" customWidth="1" min="22" max="22"/>
    <col width="45" customWidth="1" min="23" max="23"/>
    <col width="18" customWidth="1" min="24" max="24"/>
    <col width="55"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14" customWidth="1" min="33" max="33"/>
  </cols>
  <sheetData>
    <row r="1">
      <c r="A1" s="1" t="inlineStr">
        <is>
          <t>Distributor Shortlist: Tier V1 and V2, sorted by fit score</t>
        </is>
      </c>
    </row>
    <row r="2" ht="60" customHeight="1">
      <c r="A2" s="2" t="inlineStr">
        <is>
          <t>V1 can import and hold MAFF notifications (MAH route); V2 sells vet equipment. Brand conflicts and unconfirmed items are written into 'Why they fit'.</t>
        </is>
      </c>
    </row>
    <row r="4" ht="42" customHeight="1">
      <c r="A4" s="3" t="inlineStr">
        <is>
          <t>No.</t>
        </is>
      </c>
      <c r="B4" s="3" t="inlineStr">
        <is>
          <t>Company (English)</t>
        </is>
      </c>
      <c r="C4" s="3" t="inlineStr">
        <is>
          <t>Company (Japanese)</t>
        </is>
      </c>
      <c r="D4" s="3" t="inlineStr">
        <is>
          <t>法人番号</t>
        </is>
      </c>
      <c r="E4" s="3" t="inlineStr">
        <is>
          <t>HQ prefecture</t>
        </is>
      </c>
      <c r="F4" s="3" t="inlineStr">
        <is>
          <t>Region</t>
        </is>
      </c>
      <c r="G4" s="3" t="inlineStr">
        <is>
          <t>Website</t>
        </is>
      </c>
      <c r="H4" s="3" t="inlineStr">
        <is>
          <t>Licences held</t>
        </is>
      </c>
      <c r="I4" s="3" t="inlineStr">
        <is>
          <t>Brands carried</t>
        </is>
      </c>
      <c r="J4" s="3" t="inlineStr">
        <is>
          <t>Companion / Large animal / Both</t>
        </is>
      </c>
      <c r="K4" s="3" t="inlineStr">
        <is>
          <t>Coverage area</t>
        </is>
      </c>
      <c r="L4" s="3" t="inlineStr">
        <is>
          <t>Est. revenue or headcount</t>
        </is>
      </c>
      <c r="M4" s="3" t="inlineStr">
        <is>
          <t>Number of clinics (Tier V5 only)</t>
        </is>
      </c>
      <c r="N4" s="3" t="inlineStr">
        <is>
          <t>Key contact name</t>
        </is>
      </c>
      <c r="O4" s="3" t="inlineStr">
        <is>
          <t>Title</t>
        </is>
      </c>
      <c r="P4" s="3" t="inlineStr">
        <is>
          <t>Email</t>
        </is>
      </c>
      <c r="Q4" s="3" t="inlineStr">
        <is>
          <t>Phone</t>
        </is>
      </c>
      <c r="R4" s="3" t="inlineStr">
        <is>
          <t>LinkedIn</t>
        </is>
      </c>
      <c r="S4" s="3" t="inlineStr">
        <is>
          <t>Contact confidence</t>
        </is>
      </c>
      <c r="T4" s="3" t="inlineStr">
        <is>
          <t>Fit score /35</t>
        </is>
      </c>
      <c r="U4" s="3" t="inlineStr">
        <is>
          <t>Tier</t>
        </is>
      </c>
      <c r="V4" s="3" t="inlineStr">
        <is>
          <t>Why they fit</t>
        </is>
      </c>
      <c r="W4" s="3" t="inlineStr">
        <is>
          <t>Suggested opening angle</t>
        </is>
      </c>
      <c r="X4" s="3" t="inlineStr">
        <is>
          <t>Also in human list (Y/N)</t>
        </is>
      </c>
      <c r="Y4" s="3" t="inlineStr">
        <is>
          <t>Source links</t>
        </is>
      </c>
      <c r="Z4" s="3" t="inlineStr">
        <is>
          <t>Score: regulatory</t>
        </is>
      </c>
      <c r="AA4" s="3" t="inlineStr">
        <is>
          <t>Score: imaging and US</t>
        </is>
      </c>
      <c r="AB4" s="3" t="inlineStr">
        <is>
          <t>Score: brand conflict</t>
        </is>
      </c>
      <c r="AC4" s="3" t="inlineStr">
        <is>
          <t>Score: companion coverage</t>
        </is>
      </c>
      <c r="AD4" s="3" t="inlineStr">
        <is>
          <t>Score: large animal</t>
        </is>
      </c>
      <c r="AE4" s="3" t="inlineStr">
        <is>
          <t>Score: service engineers</t>
        </is>
      </c>
      <c r="AF4" s="3" t="inlineStr">
        <is>
          <t>Score: openness to CN/KR</t>
        </is>
      </c>
      <c r="AG4" s="3" t="inlineStr">
        <is>
          <t>Evidence status</t>
        </is>
      </c>
    </row>
    <row r="5" ht="75" customHeight="1">
      <c r="A5" s="4" t="n">
        <v>1</v>
      </c>
      <c r="B5" s="4" t="inlineStr">
        <is>
          <t>Central Scientific Commerce, Inc.</t>
        </is>
      </c>
      <c r="C5" s="4" t="inlineStr">
        <is>
          <t>セントラル科学貿易株式会社</t>
        </is>
      </c>
      <c r="D5" s="4" t="inlineStr">
        <is>
          <t>Not found (NTA lookup blocked; dedupe by Japanese name)</t>
        </is>
      </c>
      <c r="E5" s="4" t="inlineStr">
        <is>
          <t>Tokyo</t>
        </is>
      </c>
      <c r="F5" s="4" t="inlineStr">
        <is>
          <t>Kanto</t>
        </is>
      </c>
      <c r="G5" s="5" t="inlineStr">
        <is>
          <t>https://cscjp.co.jp/csc-medical/products/vet-videoscope.html</t>
        </is>
      </c>
      <c r="H5" s="4" t="inlineStr">
        <is>
          <t>Imports AOHUA vet videoscopes (vet device notification implied)</t>
        </is>
      </c>
      <c r="I5" s="4" t="inlineStr">
        <is>
          <t>AOHUA (China) vet endoscopes; no ultrasound</t>
        </is>
      </c>
      <c r="J5" s="4" t="inlineStr">
        <is>
          <t>Companion</t>
        </is>
      </c>
      <c r="K5" s="4" t="inlineStr">
        <is>
          <t>National</t>
        </is>
      </c>
      <c r="L5" s="4" t="inlineStr">
        <is>
          <t>Not found</t>
        </is>
      </c>
      <c r="M5" s="4" t="inlineStr">
        <is>
          <t>n/a</t>
        </is>
      </c>
      <c r="N5" s="4" t="inlineStr">
        <is>
          <t>Not identified</t>
        </is>
      </c>
      <c r="O5" s="4" t="inlineStr">
        <is>
          <t>Not identified</t>
        </is>
      </c>
      <c r="P5" s="4" t="inlineStr">
        <is>
          <t>cscsupport@cscjp.co.jp</t>
        </is>
      </c>
      <c r="Q5" s="4" t="inlineStr">
        <is>
          <t>03 5627 8150</t>
        </is>
      </c>
      <c r="R5" s="4" t="inlineStr">
        <is>
          <t>Not identified</t>
        </is>
      </c>
      <c r="S5" s="4" t="inlineStr">
        <is>
          <t>Likely (third party listing)</t>
        </is>
      </c>
      <c r="T5" s="6">
        <f>SUM(Z5:AF5)</f>
        <v>26</v>
      </c>
      <c r="U5" s="7" t="inlineStr">
        <is>
          <t>V1</t>
        </is>
      </c>
      <c r="V5" s="4" t="inlineStr">
        <is>
          <t>Already imports a Chinese vet imaging brand (AOHUA), which shows openness to Chinese manufacturers and a working NVAL route.</t>
        </is>
      </c>
      <c r="W5" s="4" t="inlineStr">
        <is>
          <t>Lead with CHISON credentials (FDA, OEM for global brands) as the ultrasound companion to AOHUA.</t>
        </is>
      </c>
      <c r="X5" s="4" t="inlineStr">
        <is>
          <t>Not checked (human list not in v17)</t>
        </is>
      </c>
      <c r="Y5" s="4" t="inlineStr">
        <is>
          <t>https://cscjp.co.jp/csc-medical/products/vet-videoscope.html ; https://sia-tokyo.gr.jp/co-list/748 ; https://cscjp.co.jp/contact/</t>
        </is>
      </c>
      <c r="Z5" s="4" t="n">
        <v>5</v>
      </c>
      <c r="AA5" s="4" t="n">
        <v>3</v>
      </c>
      <c r="AB5" s="4" t="n">
        <v>5</v>
      </c>
      <c r="AC5" s="4" t="n">
        <v>4</v>
      </c>
      <c r="AD5" s="4" t="n">
        <v>1</v>
      </c>
      <c r="AE5" s="4" t="n">
        <v>3</v>
      </c>
      <c r="AF5" s="4" t="n">
        <v>5</v>
      </c>
      <c r="AG5" s="4" t="inlineStr">
        <is>
          <t>Evidence backed</t>
        </is>
      </c>
    </row>
    <row r="6" ht="75" customHeight="1">
      <c r="A6" s="4" t="n">
        <v>2</v>
      </c>
      <c r="B6" s="4" t="inlineStr">
        <is>
          <t>ARKRAY, Inc. (Veterinary)</t>
        </is>
      </c>
      <c r="C6" s="4" t="inlineStr">
        <is>
          <t>アークレイ株式会社 (アークレイファクトリー)</t>
        </is>
      </c>
      <c r="D6" s="4" t="inlineStr">
        <is>
          <t>Not found (NTA lookup blocked; dedupe by Japanese name)</t>
        </is>
      </c>
      <c r="E6" s="4" t="inlineStr">
        <is>
          <t>Kyoto</t>
        </is>
      </c>
      <c r="F6" s="4" t="inlineStr">
        <is>
          <t>Kansai</t>
        </is>
      </c>
      <c r="G6" s="5" t="inlineStr">
        <is>
          <t>https://arkraythinkanimal.com</t>
        </is>
      </c>
      <c r="H6" s="4" t="inlineStr">
        <is>
          <t>Vet device MAH via ARKRAY Factory (NVAL: thinka CB1010)</t>
        </is>
      </c>
      <c r="I6" s="4" t="inlineStr">
        <is>
          <t>Vet analysers (Vcheck V200); no ultrasound</t>
        </is>
      </c>
      <c r="J6" s="4" t="inlineStr">
        <is>
          <t>Companion</t>
        </is>
      </c>
      <c r="K6" s="4" t="inlineStr">
        <is>
          <t>National vet sales force</t>
        </is>
      </c>
      <c r="L6" s="4" t="inlineStr">
        <is>
          <t>Large</t>
        </is>
      </c>
      <c r="M6" s="4" t="inlineStr">
        <is>
          <t>n/a</t>
        </is>
      </c>
      <c r="N6" s="4" t="inlineStr">
        <is>
          <t>Not identified</t>
        </is>
      </c>
      <c r="O6" s="4" t="inlineStr">
        <is>
          <t>Not identified</t>
        </is>
      </c>
      <c r="P6" s="4" t="inlineStr">
        <is>
          <t>thinka@arkray.co.jp</t>
        </is>
      </c>
      <c r="Q6" s="4" t="inlineStr">
        <is>
          <t>050 5527 7700</t>
        </is>
      </c>
      <c r="R6" s="4" t="inlineStr">
        <is>
          <t>Not identified</t>
        </is>
      </c>
      <c r="S6" s="4" t="inlineStr">
        <is>
          <t>Verified (published on own site, read via search)</t>
        </is>
      </c>
      <c r="T6" s="6">
        <f>SUM(Z6:AF6)</f>
        <v>25</v>
      </c>
      <c r="U6" s="7" t="inlineStr">
        <is>
          <t>V1</t>
        </is>
      </c>
      <c r="V6" s="4" t="inlineStr">
        <is>
          <t>Runs a dedicated vet brand (Think Animal) and exhibits at JBVP; national animal hospital coverage and service.</t>
        </is>
      </c>
      <c r="W6" s="4" t="inlineStr">
        <is>
          <t>In clinic diagnostics plus point of care ultrasound bundle.</t>
        </is>
      </c>
      <c r="X6" s="4" t="inlineStr">
        <is>
          <t>Not checked (human list not in v17)</t>
        </is>
      </c>
      <c r="Y6" s="4" t="inlineStr">
        <is>
          <t>https://www.vm.nval.go.jp/public/detail/16030 ; https://arkraythinkanimal.com/2025/09/03/information95/ ; https://arkraythinkanimal.com/company/ ; https://arkraythinkanimal.com/contact/</t>
        </is>
      </c>
      <c r="Z6" s="4" t="n">
        <v>5</v>
      </c>
      <c r="AA6" s="4" t="n">
        <v>2</v>
      </c>
      <c r="AB6" s="4" t="n">
        <v>5</v>
      </c>
      <c r="AC6" s="4" t="n">
        <v>5</v>
      </c>
      <c r="AD6" s="4" t="n">
        <v>1</v>
      </c>
      <c r="AE6" s="4" t="n">
        <v>4</v>
      </c>
      <c r="AF6" s="4" t="n">
        <v>3</v>
      </c>
      <c r="AG6" s="4" t="inlineStr">
        <is>
          <t>Evidence backed</t>
        </is>
      </c>
    </row>
    <row r="7" ht="75" customHeight="1">
      <c r="A7" s="4" t="n">
        <v>3</v>
      </c>
      <c r="B7" s="4" t="inlineStr">
        <is>
          <t>Nozawa Corporation</t>
        </is>
      </c>
      <c r="C7" s="4" t="inlineStr">
        <is>
          <t>株式会社野澤組</t>
        </is>
      </c>
      <c r="D7" s="4" t="inlineStr">
        <is>
          <t>Not found (NTA lookup blocked; dedupe by Japanese name)</t>
        </is>
      </c>
      <c r="E7" s="4" t="inlineStr">
        <is>
          <t>Tokyo</t>
        </is>
      </c>
      <c r="F7" s="4" t="inlineStr">
        <is>
          <t>Kanto</t>
        </is>
      </c>
      <c r="G7" s="5" t="inlineStr">
        <is>
          <t>https://www.nosawa.co.jp/</t>
        </is>
      </c>
      <c r="H7" s="4" t="inlineStr">
        <is>
          <t>Vet ultrasound MAH per NVAL listing (iScan2 and MyLab series)</t>
        </is>
      </c>
      <c r="I7" s="4" t="inlineStr">
        <is>
          <t>iScan2 (Draminski) and MyLab series listed</t>
        </is>
      </c>
      <c r="J7" s="4" t="inlineStr">
        <is>
          <t>Both</t>
        </is>
      </c>
      <c r="K7" s="4" t="inlineStr">
        <is>
          <t>National import trading house</t>
        </is>
      </c>
      <c r="L7" s="4" t="inlineStr">
        <is>
          <t>Not found</t>
        </is>
      </c>
      <c r="M7" s="4" t="inlineStr">
        <is>
          <t>n/a</t>
        </is>
      </c>
      <c r="N7" s="4" t="inlineStr">
        <is>
          <t>Not identified</t>
        </is>
      </c>
      <c r="O7" s="4" t="inlineStr">
        <is>
          <t>Not identified</t>
        </is>
      </c>
      <c r="P7" s="4" t="inlineStr">
        <is>
          <t>gg@nosawa.co.jp</t>
        </is>
      </c>
      <c r="Q7" s="4" t="inlineStr">
        <is>
          <t>03 3528 8101</t>
        </is>
      </c>
      <c r="R7" s="4" t="inlineStr">
        <is>
          <t>Not identified</t>
        </is>
      </c>
      <c r="S7" s="4" t="inlineStr">
        <is>
          <t>Verified (published on own site, read via search)</t>
        </is>
      </c>
      <c r="T7" s="6">
        <f>SUM(Z7:AF7)</f>
        <v>25</v>
      </c>
      <c r="U7" s="7" t="inlineStr">
        <is>
          <t>V1</t>
        </is>
      </c>
      <c r="V7" s="4" t="inlineStr">
        <is>
          <t>Trading house already holding vet ultrasound notifications, including large animal scanners; regulatory capability proven. FLAG: MyLab may indicate an Esaote relationship; confirm brand conflict.</t>
        </is>
      </c>
      <c r="W7" s="4" t="inlineStr">
        <is>
          <t>Mid tier companion portables to complement their large animal scanner, if their MyLab line is not exclusive.</t>
        </is>
      </c>
      <c r="X7" s="4" t="inlineStr">
        <is>
          <t>Not checked (human list not in v17)</t>
        </is>
      </c>
      <c r="Y7" s="4" t="inlineStr">
        <is>
          <t>https://vm.nval.go.jp/?mfg_dealer_name=&amp;sort=MANUFACTURING_DEALER&amp;submit=submit ; https://www.vm.nval.go.jp/public/detail/9148 ; https://www.totalapproach.co.jp/askme/askme.html ; https://www.nosawa.co.jp/inquiry/</t>
        </is>
      </c>
      <c r="Z7" s="4" t="n">
        <v>5</v>
      </c>
      <c r="AA7" s="4" t="n">
        <v>5</v>
      </c>
      <c r="AB7" s="4" t="n">
        <v>2</v>
      </c>
      <c r="AC7" s="4" t="n">
        <v>3</v>
      </c>
      <c r="AD7" s="4" t="n">
        <v>4</v>
      </c>
      <c r="AE7" s="4" t="n">
        <v>3</v>
      </c>
      <c r="AF7" s="4" t="n">
        <v>3</v>
      </c>
      <c r="AG7" s="4" t="inlineStr">
        <is>
          <t>Evidence backed</t>
        </is>
      </c>
    </row>
    <row r="8" ht="75" customHeight="1">
      <c r="A8" s="4" t="n">
        <v>4</v>
      </c>
      <c r="B8" s="4" t="inlineStr">
        <is>
          <t>Olympus Marketing, Inc. (Animal Medical)</t>
        </is>
      </c>
      <c r="C8" s="4" t="inlineStr">
        <is>
          <t>オリンパスマーケティング株式会社</t>
        </is>
      </c>
      <c r="D8" s="4" t="inlineStr">
        <is>
          <t>Not found (NTA lookup blocked; dedupe by Japanese name)</t>
        </is>
      </c>
      <c r="E8" s="4" t="inlineStr">
        <is>
          <t>Tokyo</t>
        </is>
      </c>
      <c r="F8" s="4" t="inlineStr">
        <is>
          <t>Kanto</t>
        </is>
      </c>
      <c r="G8" s="5" t="inlineStr">
        <is>
          <t>https://www.olympus-marketing.co.jp/business/animal/</t>
        </is>
      </c>
      <c r="H8" s="4" t="inlineStr">
        <is>
          <t>Vet endoscopy systems marketed (VES Be one); Olympus group MAH capability</t>
        </is>
      </c>
      <c r="I8" s="4" t="inlineStr">
        <is>
          <t>Own endoscopes; no ultrasound in vet range</t>
        </is>
      </c>
      <c r="J8" s="4" t="inlineStr">
        <is>
          <t>Companion</t>
        </is>
      </c>
      <c r="K8" s="4" t="inlineStr">
        <is>
          <t>National</t>
        </is>
      </c>
      <c r="L8" s="4" t="inlineStr">
        <is>
          <t>Large (Olympus group)</t>
        </is>
      </c>
      <c r="M8" s="4" t="inlineStr">
        <is>
          <t>n/a</t>
        </is>
      </c>
      <c r="N8" s="4" t="inlineStr">
        <is>
          <t>Not identified</t>
        </is>
      </c>
      <c r="O8" s="4" t="inlineStr">
        <is>
          <t>Not identified</t>
        </is>
      </c>
      <c r="P8" s="4" t="inlineStr">
        <is>
          <t>Not published; inquiry form: https://www.olympus-marketing.co.jp/contact/</t>
        </is>
      </c>
      <c r="Q8" s="4" t="inlineStr">
        <is>
          <t>042 642 4002</t>
        </is>
      </c>
      <c r="R8" s="4" t="inlineStr">
        <is>
          <t>Not identified</t>
        </is>
      </c>
      <c r="S8" s="4" t="inlineStr">
        <is>
          <t>Company inquiry only (form)</t>
        </is>
      </c>
      <c r="T8" s="6">
        <f>SUM(Z8:AF8)</f>
        <v>25</v>
      </c>
      <c r="U8" s="7" t="inlineStr">
        <is>
          <t>V1</t>
        </is>
      </c>
      <c r="V8" s="4" t="inlineStr">
        <is>
          <t>Runs a dedicated animal endoscopy business with national service engineers; imaging culture and hospital relationships.</t>
        </is>
      </c>
      <c r="W8" s="4" t="inlineStr">
        <is>
          <t>Endoscopy plus ultrasound GI work up; propose a co marketing pilot rather than distribution first.</t>
        </is>
      </c>
      <c r="X8" s="4" t="inlineStr">
        <is>
          <t>Not checked (human list not in v17)</t>
        </is>
      </c>
      <c r="Y8" s="4" t="inlineStr">
        <is>
          <t>https://www.olympus-marketing.co.jp/business/animal/ ; https://www.olympus-marketing.co.jp/contact/</t>
        </is>
      </c>
      <c r="Z8" s="4" t="n">
        <v>5</v>
      </c>
      <c r="AA8" s="4" t="n">
        <v>4</v>
      </c>
      <c r="AB8" s="4" t="n">
        <v>4</v>
      </c>
      <c r="AC8" s="4" t="n">
        <v>4</v>
      </c>
      <c r="AD8" s="4" t="n">
        <v>1</v>
      </c>
      <c r="AE8" s="4" t="n">
        <v>5</v>
      </c>
      <c r="AF8" s="4" t="n">
        <v>2</v>
      </c>
      <c r="AG8" s="4" t="inlineStr">
        <is>
          <t>Evidence backed</t>
        </is>
      </c>
    </row>
    <row r="9" ht="75" customHeight="1">
      <c r="A9" s="4" t="n">
        <v>5</v>
      </c>
      <c r="B9" s="4" t="inlineStr">
        <is>
          <t>Kyoritsu Shokai Co., Ltd.</t>
        </is>
      </c>
      <c r="C9" s="4" t="inlineStr">
        <is>
          <t>株式会社共立商会</t>
        </is>
      </c>
      <c r="D9" s="4" t="inlineStr">
        <is>
          <t>Not found (NTA lookup blocked; dedupe by Japanese name)</t>
        </is>
      </c>
      <c r="E9" s="4" t="inlineStr">
        <is>
          <t>Tokyo</t>
        </is>
      </c>
      <c r="F9" s="4" t="inlineStr">
        <is>
          <t>Kanto</t>
        </is>
      </c>
      <c r="G9" s="5" t="inlineStr">
        <is>
          <t>https://www.kyoritsu-shokai.com</t>
        </is>
      </c>
      <c r="H9" s="4" t="inlineStr">
        <is>
          <t>第二種動物用医療機器製造販売業許可 (licence page on own site); 動物用医薬品 import and sales</t>
        </is>
      </c>
      <c r="I9" s="4" t="inlineStr">
        <is>
          <t>Imported vet drugs and instruments; no ultrasound line identified</t>
        </is>
      </c>
      <c r="J9" s="4" t="inlineStr">
        <is>
          <t>Both</t>
        </is>
      </c>
      <c r="K9" s="4" t="inlineStr">
        <is>
          <t>Kanto base, national import channel</t>
        </is>
      </c>
      <c r="L9" s="4" t="inlineStr">
        <is>
          <t>Not found</t>
        </is>
      </c>
      <c r="M9" s="4" t="inlineStr">
        <is>
          <t>n/a</t>
        </is>
      </c>
      <c r="N9" s="4" t="inlineStr">
        <is>
          <t>Not identified</t>
        </is>
      </c>
      <c r="O9" s="4" t="inlineStr">
        <is>
          <t>Not identified</t>
        </is>
      </c>
      <c r="P9" s="4" t="inlineStr">
        <is>
          <t>pet@kyoritsu-shokai.com</t>
        </is>
      </c>
      <c r="Q9" s="4" t="inlineStr">
        <is>
          <t>03 3424 6201</t>
        </is>
      </c>
      <c r="R9" s="4" t="inlineStr">
        <is>
          <t>Not identified</t>
        </is>
      </c>
      <c r="S9" s="4" t="inlineStr">
        <is>
          <t>Verified (published on own site, read via search); page notes the address was changed, confirm</t>
        </is>
      </c>
      <c r="T9" s="6">
        <f>SUM(Z9:AF9)</f>
        <v>24</v>
      </c>
      <c r="U9" s="7" t="inlineStr">
        <is>
          <t>V1</t>
        </is>
      </c>
      <c r="V9" s="4" t="inlineStr">
        <is>
          <t>Imports and sells vet drugs and instruments and displays a second class vet device MAH licence, so it could hold the CHISON notification itself. Its executive chairs the JADIDA Kanto Koshinetsu block, giving reach into every regional wholesaler. FLAG: Licence page last indexed about 18 months ago; confirm the licence is current.</t>
        </is>
      </c>
      <c r="W9" s="4" t="inlineStr">
        <is>
          <t>Ask whether they would act as MAH and master importer for a portable vet ultrasound line, with regional JADIDA members as sub dealers.</t>
        </is>
      </c>
      <c r="X9" s="4" t="inlineStr">
        <is>
          <t>Not checked (human list not in v17)</t>
        </is>
      </c>
      <c r="Y9" s="4" t="inlineStr">
        <is>
          <t>https://www.kyoritsu-shokai.com/company/%E5%8C%BB%E8%96%AC%E5%93%81%E3%83%BB%E5%8B%95%E7%89%A9%E7%94%A8%E5%8C%BB%E8%96%AC%E5%93%81%E8%A8%B1%E5%8F%AF%E8%A8%BC%E9%96%A2%E9%80%A3/ ; https://jadida.or.jp/aboutus.html ; https://www.kyoritsu-shokai.com/%E7%89%B9%E5%AE%9A%E5%95%86%E5%8F%96%E5%BC%95%E6%B3%95%E3%81%AB%E5%9F%BA%E3%81%A5%E3%81%8F%E8%A1%A8%E8%A8%98/ ; https://www.kyoritsu-shokai.com/%E3%81%8A%E5%95%8F%E3%81%84%E5%90%88%E3%82%8F%E3%81%9B/</t>
        </is>
      </c>
      <c r="Z9" s="4" t="n">
        <v>5</v>
      </c>
      <c r="AA9" s="4" t="n">
        <v>1</v>
      </c>
      <c r="AB9" s="4" t="n">
        <v>5</v>
      </c>
      <c r="AC9" s="4" t="n">
        <v>4</v>
      </c>
      <c r="AD9" s="4" t="n">
        <v>4</v>
      </c>
      <c r="AE9" s="4" t="n">
        <v>2</v>
      </c>
      <c r="AF9" s="4" t="n">
        <v>3</v>
      </c>
      <c r="AG9" s="4" t="inlineStr">
        <is>
          <t>Evidence backed</t>
        </is>
      </c>
    </row>
    <row r="10" ht="75" customHeight="1">
      <c r="A10" s="4" t="n">
        <v>6</v>
      </c>
      <c r="B10" s="4" t="inlineStr">
        <is>
          <t>T&amp;S Co., Ltd.</t>
        </is>
      </c>
      <c r="C10" s="4" t="inlineStr">
        <is>
          <t>株式会社ティーアンドエス</t>
        </is>
      </c>
      <c r="D10" s="4" t="inlineStr">
        <is>
          <t>Not found (NTA lookup blocked; dedupe by Japanese name)</t>
        </is>
      </c>
      <c r="E10" s="4" t="inlineStr">
        <is>
          <t>Chiba</t>
        </is>
      </c>
      <c r="F10" s="4" t="inlineStr">
        <is>
          <t>Kanto</t>
        </is>
      </c>
      <c r="G10" s="5" t="inlineStr">
        <is>
          <t>https://ts-xray.com</t>
        </is>
      </c>
      <c r="H10" s="4" t="inlineStr">
        <is>
          <t>Animal device manufacturing licence (2003); NVAL approval VPX200 vet X ray (2004)</t>
        </is>
      </c>
      <c r="I10" s="4" t="inlineStr">
        <is>
          <t>Own X ray; no ultrasound</t>
        </is>
      </c>
      <c r="J10" s="4" t="inlineStr">
        <is>
          <t>Both</t>
        </is>
      </c>
      <c r="K10" s="4" t="inlineStr">
        <is>
          <t>Noda, Chiba; national</t>
        </is>
      </c>
      <c r="L10" s="4" t="inlineStr">
        <is>
          <t>Not found</t>
        </is>
      </c>
      <c r="M10" s="4" t="inlineStr">
        <is>
          <t>n/a</t>
        </is>
      </c>
      <c r="N10" s="4" t="inlineStr">
        <is>
          <t>Not identified</t>
        </is>
      </c>
      <c r="O10" s="4" t="inlineStr">
        <is>
          <t>Not identified</t>
        </is>
      </c>
      <c r="P10" s="4" t="inlineStr">
        <is>
          <t>contact@ts-xray.com</t>
        </is>
      </c>
      <c r="Q10" s="4" t="inlineStr">
        <is>
          <t>04 7127 7323</t>
        </is>
      </c>
      <c r="R10" s="4" t="inlineStr">
        <is>
          <t>Not identified</t>
        </is>
      </c>
      <c r="S10" s="4" t="inlineStr">
        <is>
          <t>Verified (published on own site, read via search); listed on recruiting page</t>
        </is>
      </c>
      <c r="T10" s="6">
        <f>SUM(Z10:AF10)</f>
        <v>24</v>
      </c>
      <c r="U10" s="7" t="inlineStr">
        <is>
          <t>V1</t>
        </is>
      </c>
      <c r="V10" s="4" t="inlineStr">
        <is>
          <t>Domestic X ray maker with a vet approval; imaging focused and unconflicted on ultrasound.</t>
        </is>
      </c>
      <c r="W10" s="4" t="inlineStr">
        <is>
          <t>Pair portable ultrasound with their vet X ray for clinic openings.</t>
        </is>
      </c>
      <c r="X10" s="4" t="inlineStr">
        <is>
          <t>Not checked (human list not in v17)</t>
        </is>
      </c>
      <c r="Y10" s="4" t="inlineStr">
        <is>
          <t>https://www.pref.saitama.lg.jp/documents/236933/0343_tands.pdf ; https://www.vm.nval.go.jp/public/detail/6769 ; https://ts-xray.com/recruit/ ; https://ts-xray.com/inquiry/</t>
        </is>
      </c>
      <c r="Z10" s="4" t="n">
        <v>5</v>
      </c>
      <c r="AA10" s="4" t="n">
        <v>3</v>
      </c>
      <c r="AB10" s="4" t="n">
        <v>5</v>
      </c>
      <c r="AC10" s="4" t="n">
        <v>3</v>
      </c>
      <c r="AD10" s="4" t="n">
        <v>2</v>
      </c>
      <c r="AE10" s="4" t="n">
        <v>3</v>
      </c>
      <c r="AF10" s="4" t="n">
        <v>3</v>
      </c>
      <c r="AG10" s="4" t="inlineStr">
        <is>
          <t>Evidence backed</t>
        </is>
      </c>
    </row>
    <row r="11" ht="75" customHeight="1">
      <c r="A11" s="4" t="n">
        <v>7</v>
      </c>
      <c r="B11" s="4" t="inlineStr">
        <is>
          <t>Aison Co., Ltd.</t>
        </is>
      </c>
      <c r="C11" s="4" t="inlineStr">
        <is>
          <t>アイソン株式会社</t>
        </is>
      </c>
      <c r="D11" s="4" t="inlineStr">
        <is>
          <t>Not found (NTA lookup blocked; dedupe by Japanese name)</t>
        </is>
      </c>
      <c r="E11" s="4" t="inlineStr">
        <is>
          <t>Saitama</t>
        </is>
      </c>
      <c r="F11" s="4" t="inlineStr">
        <is>
          <t>Kanto</t>
        </is>
      </c>
      <c r="G11" s="5" t="inlineStr">
        <is>
          <t>https://aison.jp/</t>
        </is>
      </c>
      <c r="H11" s="4" t="inlineStr">
        <is>
          <t>Vet ultrasound MAH: NVAL notification 超音波画像診断装置 Vシリーズ (9 Jul 2024)</t>
        </is>
      </c>
      <c r="I11" s="4" t="inlineStr">
        <is>
          <t>Holds a vet ultrasound line (V series; origin brand not confirmed)</t>
        </is>
      </c>
      <c r="J11" s="4" t="inlineStr">
        <is>
          <t>Companion</t>
        </is>
      </c>
      <c r="K11" s="4" t="inlineStr">
        <is>
          <t>Kawaguchi, Saitama</t>
        </is>
      </c>
      <c r="L11" s="4" t="inlineStr">
        <is>
          <t>Not found</t>
        </is>
      </c>
      <c r="M11" s="4" t="inlineStr">
        <is>
          <t>n/a</t>
        </is>
      </c>
      <c r="N11" s="4" t="inlineStr">
        <is>
          <t>Not identified</t>
        </is>
      </c>
      <c r="O11" s="4" t="inlineStr">
        <is>
          <t>Not identified</t>
        </is>
      </c>
      <c r="P11" s="4" t="inlineStr">
        <is>
          <t>saito@aison.jp</t>
        </is>
      </c>
      <c r="Q11" s="4" t="inlineStr">
        <is>
          <t>048 299 3597</t>
        </is>
      </c>
      <c r="R11" s="4" t="inlineStr">
        <is>
          <t>Not identified</t>
        </is>
      </c>
      <c r="S11" s="4" t="inlineStr">
        <is>
          <t>Likely (third party listing); named staff address, may be old</t>
        </is>
      </c>
      <c r="T11" s="6">
        <f>SUM(Z11:AF11)</f>
        <v>23</v>
      </c>
      <c r="U11" s="7" t="inlineStr">
        <is>
          <t>V1</t>
        </is>
      </c>
      <c r="V11" s="4" t="inlineStr">
        <is>
          <t>One of the few MAHs that notified a vet ultrasound in 2024, so it knows the exact NVAL route CHISON needs. FLAG: Brand behind the V series not confirmed; check it is not SonoScape or Mindray exclusive.</t>
        </is>
      </c>
      <c r="W11" s="4" t="inlineStr">
        <is>
          <t>Ask whether they would add a second OEM source or act as MAH for CHISON vet SKUs.</t>
        </is>
      </c>
      <c r="X11" s="4" t="inlineStr">
        <is>
          <t>Not checked (human list not in v17)</t>
        </is>
      </c>
      <c r="Y11" s="4" t="inlineStr">
        <is>
          <t>https://www.vm.nval.go.jp/public/detail/19613 ; https://www.pmda.go.jp/PmdaSearch/kikiDetail/ResultDataSetPDF/112161_306ADBZX00058000_V_01_01 ; http://www.kawaguchicci.or.jp/plat/pl_disp_company_detail.cgi?company=2209</t>
        </is>
      </c>
      <c r="Z11" s="4" t="n">
        <v>5</v>
      </c>
      <c r="AA11" s="4" t="n">
        <v>5</v>
      </c>
      <c r="AB11" s="4" t="n">
        <v>2</v>
      </c>
      <c r="AC11" s="4" t="n">
        <v>3</v>
      </c>
      <c r="AD11" s="4" t="n">
        <v>1</v>
      </c>
      <c r="AE11" s="4" t="n">
        <v>3</v>
      </c>
      <c r="AF11" s="4" t="n">
        <v>4</v>
      </c>
      <c r="AG11" s="4" t="inlineStr">
        <is>
          <t>Evidence backed</t>
        </is>
      </c>
    </row>
    <row r="12" ht="75" customHeight="1">
      <c r="A12" s="4" t="n">
        <v>8</v>
      </c>
      <c r="B12" s="4" t="inlineStr">
        <is>
          <t>IDEXX Laboratories K.K.</t>
        </is>
      </c>
      <c r="C12" s="4" t="inlineStr">
        <is>
          <t>アイデックス ラボラトリーズ株式会社</t>
        </is>
      </c>
      <c r="D12" s="4" t="inlineStr">
        <is>
          <t>Not found (NTA lookup blocked; dedupe by Japanese name)</t>
        </is>
      </c>
      <c r="E12" s="4" t="inlineStr">
        <is>
          <t>Tokyo</t>
        </is>
      </c>
      <c r="F12" s="4" t="inlineStr">
        <is>
          <t>Kanto</t>
        </is>
      </c>
      <c r="G12" s="4" t="inlineStr">
        <is>
          <t>Not found</t>
        </is>
      </c>
      <c r="H12" s="4" t="inlineStr">
        <is>
          <t>Vet device MAH (NVAL: Catalyst Dx)</t>
        </is>
      </c>
      <c r="I12" s="4" t="inlineStr">
        <is>
          <t>Lab analysers; no ultrasound</t>
        </is>
      </c>
      <c r="J12" s="4" t="inlineStr">
        <is>
          <t>Companion</t>
        </is>
      </c>
      <c r="K12" s="4" t="inlineStr">
        <is>
          <t>National</t>
        </is>
      </c>
      <c r="L12" s="4" t="inlineStr">
        <is>
          <t>Large (IDEXX group)</t>
        </is>
      </c>
      <c r="M12" s="4" t="inlineStr">
        <is>
          <t>n/a</t>
        </is>
      </c>
      <c r="N12" s="4" t="inlineStr">
        <is>
          <t>Not identified</t>
        </is>
      </c>
      <c r="O12" s="4" t="inlineStr">
        <is>
          <t>Not identified</t>
        </is>
      </c>
      <c r="P12" s="4" t="inlineStr">
        <is>
          <t>Not published; inquiry form: https://www.idexx.co.jp/ja/about-idexx/contact-idexx/</t>
        </is>
      </c>
      <c r="Q12" s="4" t="inlineStr">
        <is>
          <t>0120 71 4921</t>
        </is>
      </c>
      <c r="R12" s="4" t="inlineStr">
        <is>
          <t>Not identified</t>
        </is>
      </c>
      <c r="S12" s="4" t="inlineStr">
        <is>
          <t>Company inquiry only (form)</t>
        </is>
      </c>
      <c r="T12" s="6">
        <f>SUM(Z12:AF12)</f>
        <v>23</v>
      </c>
      <c r="U12" s="7" t="inlineStr">
        <is>
          <t>V1</t>
        </is>
      </c>
      <c r="V12" s="4" t="inlineStr">
        <is>
          <t>Largest in clinic diagnostics vendor with direct hospital coverage; MAH capability. FLAG: Global corporate; partnering unlikely, keep as awareness.</t>
        </is>
      </c>
      <c r="W12" s="4" t="inlineStr">
        <is>
          <t>Long shot; useful for co promotion.</t>
        </is>
      </c>
      <c r="X12" s="4" t="inlineStr">
        <is>
          <t>Not checked (human list not in v17)</t>
        </is>
      </c>
      <c r="Y12" s="4" t="inlineStr">
        <is>
          <t>https://www.vm.nval.go.jp/public/detail/12549 ; https://www.idexx.co.jp/ja/about-idexx/contact-idexx/</t>
        </is>
      </c>
      <c r="Z12" s="4" t="n">
        <v>5</v>
      </c>
      <c r="AA12" s="4" t="n">
        <v>1</v>
      </c>
      <c r="AB12" s="4" t="n">
        <v>5</v>
      </c>
      <c r="AC12" s="4" t="n">
        <v>5</v>
      </c>
      <c r="AD12" s="4" t="n">
        <v>1</v>
      </c>
      <c r="AE12" s="4" t="n">
        <v>5</v>
      </c>
      <c r="AF12" s="4" t="n">
        <v>1</v>
      </c>
      <c r="AG12" s="4" t="inlineStr">
        <is>
          <t>Evidence backed</t>
        </is>
      </c>
    </row>
    <row r="13" ht="75" customHeight="1">
      <c r="A13" s="4" t="n">
        <v>9</v>
      </c>
      <c r="B13" s="4" t="inlineStr">
        <is>
          <t>Karl Storz Endoscopy Japan K.K.</t>
        </is>
      </c>
      <c r="C13" s="4" t="inlineStr">
        <is>
          <t>カールストルツ・エンドスコピー・ジャパン株式会社</t>
        </is>
      </c>
      <c r="D13" s="4" t="inlineStr">
        <is>
          <t>Not found (NTA lookup blocked; dedupe by Japanese name)</t>
        </is>
      </c>
      <c r="E13" s="4" t="inlineStr">
        <is>
          <t>Tokyo</t>
        </is>
      </c>
      <c r="F13" s="4" t="inlineStr">
        <is>
          <t>Kanto</t>
        </is>
      </c>
      <c r="G13" s="4" t="inlineStr">
        <is>
          <t>Not found</t>
        </is>
      </c>
      <c r="H13" s="4" t="inlineStr">
        <is>
          <t>Vet device MAH (NVAL listing)</t>
        </is>
      </c>
      <c r="I13" s="4" t="inlineStr">
        <is>
          <t>Endoscopy; no ultrasound in vet range</t>
        </is>
      </c>
      <c r="J13" s="4" t="inlineStr">
        <is>
          <t>Companion</t>
        </is>
      </c>
      <c r="K13" s="4" t="inlineStr">
        <is>
          <t>National</t>
        </is>
      </c>
      <c r="L13" s="4" t="inlineStr">
        <is>
          <t>Large (Karl Storz group)</t>
        </is>
      </c>
      <c r="M13" s="4" t="inlineStr">
        <is>
          <t>n/a</t>
        </is>
      </c>
      <c r="N13" s="4" t="inlineStr">
        <is>
          <t>Not identified</t>
        </is>
      </c>
      <c r="O13" s="4" t="inlineStr">
        <is>
          <t>Not identified</t>
        </is>
      </c>
      <c r="P13" s="4" t="inlineStr">
        <is>
          <t>Not published; phone only</t>
        </is>
      </c>
      <c r="Q13" s="4" t="inlineStr">
        <is>
          <t>Not found</t>
        </is>
      </c>
      <c r="R13" s="4" t="inlineStr">
        <is>
          <t>Not identified</t>
        </is>
      </c>
      <c r="S13" s="4" t="inlineStr">
        <is>
          <t>Unverified (no contact found in search)</t>
        </is>
      </c>
      <c r="T13" s="6">
        <f>SUM(Z13:AF13)</f>
        <v>23</v>
      </c>
      <c r="U13" s="7" t="inlineStr">
        <is>
          <t>V1</t>
        </is>
      </c>
      <c r="V13" s="4" t="inlineStr">
        <is>
          <t>Holds vet device notifications and serves referral hospitals with endoscopy; imaging service engineers.</t>
        </is>
      </c>
      <c r="W13" s="4" t="inlineStr">
        <is>
          <t>Referral centre co marketing; low probability of distribution but useful KOL access.</t>
        </is>
      </c>
      <c r="X13" s="4" t="inlineStr">
        <is>
          <t>Not checked (human list not in v17)</t>
        </is>
      </c>
      <c r="Y13" s="4" t="inlineStr">
        <is>
          <t>https://www.vm.nval.go.jp/public/detail/6770</t>
        </is>
      </c>
      <c r="Z13" s="4" t="n">
        <v>5</v>
      </c>
      <c r="AA13" s="4" t="n">
        <v>3</v>
      </c>
      <c r="AB13" s="4" t="n">
        <v>4</v>
      </c>
      <c r="AC13" s="4" t="n">
        <v>3</v>
      </c>
      <c r="AD13" s="4" t="n">
        <v>1</v>
      </c>
      <c r="AE13" s="4" t="n">
        <v>5</v>
      </c>
      <c r="AF13" s="4" t="n">
        <v>2</v>
      </c>
      <c r="AG13" s="4" t="inlineStr">
        <is>
          <t>Evidence backed</t>
        </is>
      </c>
    </row>
    <row r="14" ht="75" customHeight="1">
      <c r="A14" s="4" t="n">
        <v>10</v>
      </c>
      <c r="B14" s="4" t="inlineStr">
        <is>
          <t>Metran Co., Ltd.</t>
        </is>
      </c>
      <c r="C14" s="4" t="inlineStr">
        <is>
          <t>株式会社メトラン</t>
        </is>
      </c>
      <c r="D14" s="4" t="inlineStr">
        <is>
          <t>Not found (NTA lookup blocked; dedupe by Japanese name)</t>
        </is>
      </c>
      <c r="E14" s="4" t="inlineStr">
        <is>
          <t>Saitama</t>
        </is>
      </c>
      <c r="F14" s="4" t="inlineStr">
        <is>
          <t>Kanto</t>
        </is>
      </c>
      <c r="G14" s="5" t="inlineStr">
        <is>
          <t>https://www.metran.co.jp/</t>
        </is>
      </c>
      <c r="H14" s="4" t="inlineStr">
        <is>
          <t>Vet device MAH (NVAL: BM7Vet Pro monitor, 2020)</t>
        </is>
      </c>
      <c r="I14" s="4" t="inlineStr">
        <is>
          <t>Own ventilators and monitors; no ultrasound</t>
        </is>
      </c>
      <c r="J14" s="4" t="inlineStr">
        <is>
          <t>Companion</t>
        </is>
      </c>
      <c r="K14" s="4" t="inlineStr">
        <is>
          <t>National via vet dealers</t>
        </is>
      </c>
      <c r="L14" s="4" t="inlineStr">
        <is>
          <t>Not found</t>
        </is>
      </c>
      <c r="M14" s="4" t="inlineStr">
        <is>
          <t>n/a</t>
        </is>
      </c>
      <c r="N14" s="4" t="inlineStr">
        <is>
          <t>Not identified</t>
        </is>
      </c>
      <c r="O14" s="4" t="inlineStr">
        <is>
          <t>Not identified</t>
        </is>
      </c>
      <c r="P14" s="4" t="inlineStr">
        <is>
          <t>support@metran.co.jp</t>
        </is>
      </c>
      <c r="Q14" s="4" t="inlineStr">
        <is>
          <t>048 242 0333</t>
        </is>
      </c>
      <c r="R14" s="4" t="inlineStr">
        <is>
          <t>Not identified</t>
        </is>
      </c>
      <c r="S14" s="4" t="inlineStr">
        <is>
          <t>Verified (published on own site, read via search)</t>
        </is>
      </c>
      <c r="T14" s="6">
        <f>SUM(Z14:AF14)</f>
        <v>23</v>
      </c>
      <c r="U14" s="7" t="inlineStr">
        <is>
          <t>V1</t>
        </is>
      </c>
      <c r="V14" s="4" t="inlineStr">
        <is>
          <t>Vet ventilator pioneer (since 1984) that already notifies vet devices with NVAL and imports monitors; natural MAH partner for ICU and anaesthesia adjacent imaging.</t>
        </is>
      </c>
      <c r="W14" s="4" t="inlineStr">
        <is>
          <t>Propose a peri operative point of care ultrasound bundle with their Compos X ventilator.</t>
        </is>
      </c>
      <c r="X14" s="4" t="inlineStr">
        <is>
          <t>Not checked (human list not in v17)</t>
        </is>
      </c>
      <c r="Y14" s="4" t="inlineStr">
        <is>
          <t>https://www.vm.nval.go.jp/public/detail/18306 ; https://medical-space.co.jp/products/3096/ ; https://www.metran.co.jp/links</t>
        </is>
      </c>
      <c r="Z14" s="4" t="n">
        <v>5</v>
      </c>
      <c r="AA14" s="4" t="n">
        <v>1</v>
      </c>
      <c r="AB14" s="4" t="n">
        <v>5</v>
      </c>
      <c r="AC14" s="4" t="n">
        <v>4</v>
      </c>
      <c r="AD14" s="4" t="n">
        <v>1</v>
      </c>
      <c r="AE14" s="4" t="n">
        <v>4</v>
      </c>
      <c r="AF14" s="4" t="n">
        <v>3</v>
      </c>
      <c r="AG14" s="4" t="inlineStr">
        <is>
          <t>Evidence backed</t>
        </is>
      </c>
    </row>
    <row r="15" ht="75" customHeight="1">
      <c r="A15" s="4" t="n">
        <v>11</v>
      </c>
      <c r="B15" s="4" t="inlineStr">
        <is>
          <t>Nipro Corporation (Veterinary)</t>
        </is>
      </c>
      <c r="C15" s="4" t="inlineStr">
        <is>
          <t>ニプロ株式会社</t>
        </is>
      </c>
      <c r="D15" s="4" t="inlineStr">
        <is>
          <t>Not found (NTA lookup blocked; dedupe by Japanese name)</t>
        </is>
      </c>
      <c r="E15" s="4" t="inlineStr">
        <is>
          <t>Osaka</t>
        </is>
      </c>
      <c r="F15" s="4" t="inlineStr">
        <is>
          <t>Kansai</t>
        </is>
      </c>
      <c r="G15" s="4" t="inlineStr">
        <is>
          <t>Not found</t>
        </is>
      </c>
      <c r="H15" s="4" t="inlineStr">
        <is>
          <t>Vet device MAH (NVAL: vet syringe 2018, infusion set)</t>
        </is>
      </c>
      <c r="I15" s="4" t="inlineStr">
        <is>
          <t>Disposables; no vet ultrasound</t>
        </is>
      </c>
      <c r="J15" s="4" t="inlineStr">
        <is>
          <t>Both</t>
        </is>
      </c>
      <c r="K15" s="4" t="inlineStr">
        <is>
          <t>National and Asia</t>
        </is>
      </c>
      <c r="L15" s="4" t="inlineStr">
        <is>
          <t>Large</t>
        </is>
      </c>
      <c r="M15" s="4" t="inlineStr">
        <is>
          <t>n/a</t>
        </is>
      </c>
      <c r="N15" s="4" t="inlineStr">
        <is>
          <t>Not identified</t>
        </is>
      </c>
      <c r="O15" s="4" t="inlineStr">
        <is>
          <t>Not identified</t>
        </is>
      </c>
      <c r="P15" s="4" t="inlineStr">
        <is>
          <t>Not published; inquiry form: https://www.nipro.co.jp/contact/device/</t>
        </is>
      </c>
      <c r="Q15" s="4" t="inlineStr">
        <is>
          <t>0120 226 410 (device info desk)</t>
        </is>
      </c>
      <c r="R15" s="4" t="inlineStr">
        <is>
          <t>Not identified</t>
        </is>
      </c>
      <c r="S15" s="4" t="inlineStr">
        <is>
          <t>Company inquiry only (form)</t>
        </is>
      </c>
      <c r="T15" s="6">
        <f>SUM(Z15:AF15)</f>
        <v>23</v>
      </c>
      <c r="U15" s="7" t="inlineStr">
        <is>
          <t>V1</t>
        </is>
      </c>
      <c r="V15" s="4" t="inlineStr">
        <is>
          <t>Major human device group with vet MAH registrations; dealer network reaches animal hospitals.</t>
        </is>
      </c>
      <c r="W15" s="4" t="inlineStr">
        <is>
          <t>Long shot; explore OEM or MAH service.</t>
        </is>
      </c>
      <c r="X15" s="4" t="inlineStr">
        <is>
          <t>Not checked (human list not in v17)</t>
        </is>
      </c>
      <c r="Y15" s="4" t="inlineStr">
        <is>
          <t>https://www.vm.nval.go.jp/public/detail/17793 ; https://www.vm.nval.go.jp/public/detail/6784 ; https://www.nipro.co.jp/contact/device/</t>
        </is>
      </c>
      <c r="Z15" s="4" t="n">
        <v>5</v>
      </c>
      <c r="AA15" s="4" t="n">
        <v>1</v>
      </c>
      <c r="AB15" s="4" t="n">
        <v>5</v>
      </c>
      <c r="AC15" s="4" t="n">
        <v>3</v>
      </c>
      <c r="AD15" s="4" t="n">
        <v>2</v>
      </c>
      <c r="AE15" s="4" t="n">
        <v>5</v>
      </c>
      <c r="AF15" s="4" t="n">
        <v>2</v>
      </c>
      <c r="AG15" s="4" t="inlineStr">
        <is>
          <t>Evidence backed</t>
        </is>
      </c>
    </row>
    <row r="16" ht="75" customHeight="1">
      <c r="A16" s="4" t="n">
        <v>12</v>
      </c>
      <c r="B16" s="4" t="inlineStr">
        <is>
          <t>RayVision Co., Ltd.</t>
        </is>
      </c>
      <c r="C16" s="4" t="inlineStr">
        <is>
          <t>株式会社RayVision</t>
        </is>
      </c>
      <c r="D16" s="4" t="inlineStr">
        <is>
          <t>Not found (NTA lookup blocked; dedupe by Japanese name)</t>
        </is>
      </c>
      <c r="E16" s="4" t="inlineStr">
        <is>
          <t>Saitama</t>
        </is>
      </c>
      <c r="F16" s="4" t="inlineStr">
        <is>
          <t>Kanto</t>
        </is>
      </c>
      <c r="G16" s="5" t="inlineStr">
        <is>
          <t>https://rayvision.co.jp/</t>
        </is>
      </c>
      <c r="H16" s="4" t="inlineStr">
        <is>
          <t>Vet flat panel detector maker and seller (vet device notification implied)</t>
        </is>
      </c>
      <c r="I16" s="4" t="inlineStr">
        <is>
          <t>Own vet DR; no ultrasound</t>
        </is>
      </c>
      <c r="J16" s="4" t="inlineStr">
        <is>
          <t>Companion</t>
        </is>
      </c>
      <c r="K16" s="4" t="inlineStr">
        <is>
          <t>Saitama; national via Medical Space and others</t>
        </is>
      </c>
      <c r="L16" s="4" t="inlineStr">
        <is>
          <t>Not found</t>
        </is>
      </c>
      <c r="M16" s="4" t="inlineStr">
        <is>
          <t>n/a</t>
        </is>
      </c>
      <c r="N16" s="4" t="inlineStr">
        <is>
          <t>Not identified</t>
        </is>
      </c>
      <c r="O16" s="4" t="inlineStr">
        <is>
          <t>Not identified</t>
        </is>
      </c>
      <c r="P16" s="4" t="inlineStr">
        <is>
          <t>Not published; inquiry form: https://rayvision.co.jp/contact/</t>
        </is>
      </c>
      <c r="Q16" s="4" t="inlineStr">
        <is>
          <t>048 657 2601</t>
        </is>
      </c>
      <c r="R16" s="4" t="inlineStr">
        <is>
          <t>Not identified</t>
        </is>
      </c>
      <c r="S16" s="4" t="inlineStr">
        <is>
          <t>Company inquiry only (form)</t>
        </is>
      </c>
      <c r="T16" s="6">
        <f>SUM(Z16:AF16)</f>
        <v>23</v>
      </c>
      <c r="U16" s="7" t="inlineStr">
        <is>
          <t>V1</t>
        </is>
      </c>
      <c r="V16" s="4" t="inlineStr">
        <is>
          <t>Vet specific DR maker with maintenance support; imaging buyers are the same clinics.</t>
        </is>
      </c>
      <c r="W16" s="4" t="inlineStr">
        <is>
          <t>Cross sell: DR plus ultrasound package for new clinics.</t>
        </is>
      </c>
      <c r="X16" s="4" t="inlineStr">
        <is>
          <t>Not checked (human list not in v17)</t>
        </is>
      </c>
      <c r="Y16" s="4" t="inlineStr">
        <is>
          <t>https://rayvision.co.jp/ ; https://medical-space.co.jp/products/9109/ ; https://rayvision.co.jp/contact/</t>
        </is>
      </c>
      <c r="Z16" s="4" t="n">
        <v>4</v>
      </c>
      <c r="AA16" s="4" t="n">
        <v>3</v>
      </c>
      <c r="AB16" s="4" t="n">
        <v>5</v>
      </c>
      <c r="AC16" s="4" t="n">
        <v>4</v>
      </c>
      <c r="AD16" s="4" t="n">
        <v>1</v>
      </c>
      <c r="AE16" s="4" t="n">
        <v>3</v>
      </c>
      <c r="AF16" s="4" t="n">
        <v>3</v>
      </c>
      <c r="AG16" s="4" t="inlineStr">
        <is>
          <t>Evidence backed</t>
        </is>
      </c>
    </row>
    <row r="17" ht="75" customHeight="1">
      <c r="A17" s="4" t="n">
        <v>13</v>
      </c>
      <c r="B17" s="4" t="inlineStr">
        <is>
          <t>TOP Corporation (Veterinary Division)</t>
        </is>
      </c>
      <c r="C17" s="4" t="inlineStr">
        <is>
          <t>株式会社トップ</t>
        </is>
      </c>
      <c r="D17" s="4" t="inlineStr">
        <is>
          <t>Not found (NTA lookup blocked; dedupe by Japanese name)</t>
        </is>
      </c>
      <c r="E17" s="4" t="inlineStr">
        <is>
          <t>Tokyo</t>
        </is>
      </c>
      <c r="F17" s="4" t="inlineStr">
        <is>
          <t>Kanto</t>
        </is>
      </c>
      <c r="G17" s="5" t="inlineStr">
        <is>
          <t>https://www.top-tokyo.co.jp/products/veterinary/</t>
        </is>
      </c>
      <c r="H17" s="4" t="inlineStr">
        <is>
          <t>Vet device MAH: NVAL lists TOP vet infusion and syringe pumps (TOP250V, TOP230V, TOP551V, TOPS50V)</t>
        </is>
      </c>
      <c r="I17" s="4" t="inlineStr">
        <is>
          <t>Own pumps and disposables; no ultrasound</t>
        </is>
      </c>
      <c r="J17" s="4" t="inlineStr">
        <is>
          <t>Both</t>
        </is>
      </c>
      <c r="K17" s="4" t="inlineStr">
        <is>
          <t>National; sales offices incl. Nagoya, Osaka, Fukuoka</t>
        </is>
      </c>
      <c r="L17" s="4" t="inlineStr">
        <is>
          <t>Not found</t>
        </is>
      </c>
      <c r="M17" s="4" t="inlineStr">
        <is>
          <t>n/a</t>
        </is>
      </c>
      <c r="N17" s="4" t="inlineStr">
        <is>
          <t>Not identified</t>
        </is>
      </c>
      <c r="O17" s="4" t="inlineStr">
        <is>
          <t>Not identified</t>
        </is>
      </c>
      <c r="P17" s="4" t="inlineStr">
        <is>
          <t>Not published; inquiry form: https://www.top-tokyo.co.jp/contact/</t>
        </is>
      </c>
      <c r="Q17" s="4" t="inlineStr">
        <is>
          <t>03 3811 8231 (vet dept, Broadcare division)</t>
        </is>
      </c>
      <c r="R17" s="4" t="inlineStr">
        <is>
          <t>Not identified</t>
        </is>
      </c>
      <c r="S17" s="4" t="inlineStr">
        <is>
          <t>Company inquiry only (form)</t>
        </is>
      </c>
      <c r="T17" s="6">
        <f>SUM(Z17:AF17)</f>
        <v>23</v>
      </c>
      <c r="U17" s="7" t="inlineStr">
        <is>
          <t>V1</t>
        </is>
      </c>
      <c r="V17" s="4" t="inlineStr">
        <is>
          <t>Human device maker with a dedicated vet division since 2002 and several MAFF approved vet pumps; national sales footprint into animal hospitals.</t>
        </is>
      </c>
      <c r="W17" s="4" t="inlineStr">
        <is>
          <t>Offer a point of care ultrasound to sit beside their infusion pumps in ICU and surgery.</t>
        </is>
      </c>
      <c r="X17" s="4" t="inlineStr">
        <is>
          <t>Not checked (human list not in v17)</t>
        </is>
      </c>
      <c r="Y17" s="4" t="inlineStr">
        <is>
          <t>https://www.top-tokyo.co.jp/products/veterinary/ ; https://www.vm.nval.go.jp/public/detail/19372 ; https://news.jprpet.com/company/list/175/ ; https://www.top-tokyo.co.jp/contact/</t>
        </is>
      </c>
      <c r="Z17" s="4" t="n">
        <v>5</v>
      </c>
      <c r="AA17" s="4" t="n">
        <v>1</v>
      </c>
      <c r="AB17" s="4" t="n">
        <v>5</v>
      </c>
      <c r="AC17" s="4" t="n">
        <v>4</v>
      </c>
      <c r="AD17" s="4" t="n">
        <v>2</v>
      </c>
      <c r="AE17" s="4" t="n">
        <v>4</v>
      </c>
      <c r="AF17" s="4" t="n">
        <v>2</v>
      </c>
      <c r="AG17" s="4" t="inlineStr">
        <is>
          <t>Evidence backed</t>
        </is>
      </c>
    </row>
    <row r="18" ht="75" customHeight="1">
      <c r="A18" s="4" t="n">
        <v>14</v>
      </c>
      <c r="B18" s="4" t="inlineStr">
        <is>
          <t>AVS Co., Ltd.</t>
        </is>
      </c>
      <c r="C18" s="4" t="inlineStr">
        <is>
          <t>株式会社AVS</t>
        </is>
      </c>
      <c r="D18" s="4" t="inlineStr">
        <is>
          <t>Not found (NTA lookup blocked; dedupe by Japanese name)</t>
        </is>
      </c>
      <c r="E18" s="4" t="inlineStr">
        <is>
          <t>Tokyo</t>
        </is>
      </c>
      <c r="F18" s="4" t="inlineStr">
        <is>
          <t>Kanto</t>
        </is>
      </c>
      <c r="G18" s="4" t="inlineStr">
        <is>
          <t>Not found</t>
        </is>
      </c>
      <c r="H18" s="4" t="inlineStr">
        <is>
          <t>Vet endoscopy systems (JAMO member)</t>
        </is>
      </c>
      <c r="I18" s="4" t="inlineStr">
        <is>
          <t>Vet endoscopes; no ultrasound</t>
        </is>
      </c>
      <c r="J18" s="4" t="inlineStr">
        <is>
          <t>Companion</t>
        </is>
      </c>
      <c r="K18" s="4" t="inlineStr">
        <is>
          <t>Shibuya, Tokyo; national</t>
        </is>
      </c>
      <c r="L18" s="4" t="inlineStr">
        <is>
          <t>Not found</t>
        </is>
      </c>
      <c r="M18" s="4" t="inlineStr">
        <is>
          <t>n/a</t>
        </is>
      </c>
      <c r="N18" s="4" t="inlineStr">
        <is>
          <t>Not identified</t>
        </is>
      </c>
      <c r="O18" s="4" t="inlineStr">
        <is>
          <t>Not identified</t>
        </is>
      </c>
      <c r="P18" s="4" t="inlineStr">
        <is>
          <t>Not published; phone only</t>
        </is>
      </c>
      <c r="Q18" s="4" t="inlineStr">
        <is>
          <t>0120 044 071 (per 2021 notice)</t>
        </is>
      </c>
      <c r="R18" s="4" t="inlineStr">
        <is>
          <t>Not identified</t>
        </is>
      </c>
      <c r="S18" s="4" t="inlineStr">
        <is>
          <t>Unverified; FLAG company dissolved end of March 2022, vet aftersales moved to Olympus Marketing</t>
        </is>
      </c>
      <c r="T18" s="6">
        <f>SUM(Z18:AF18)</f>
        <v>22</v>
      </c>
      <c r="U18" s="8" t="inlineStr">
        <is>
          <t>V2</t>
        </is>
      </c>
      <c r="V18" s="4" t="inlineStr">
        <is>
          <t>Vet endoscopy specialist in JAMO; imaging minded sales team.</t>
        </is>
      </c>
      <c r="W18" s="4" t="inlineStr">
        <is>
          <t>GI imaging bundle: endoscopy plus abdominal ultrasound.</t>
        </is>
      </c>
      <c r="X18" s="4" t="inlineStr">
        <is>
          <t>Not checked (human list not in v17)</t>
        </is>
      </c>
      <c r="Y18" s="4" t="inlineStr">
        <is>
          <t>https://www.jamo.or.jp/member/ ; https://www.avs.co.jp/contact/</t>
        </is>
      </c>
      <c r="Z18" s="4" t="n">
        <v>3</v>
      </c>
      <c r="AA18" s="4" t="n">
        <v>3</v>
      </c>
      <c r="AB18" s="4" t="n">
        <v>5</v>
      </c>
      <c r="AC18" s="4" t="n">
        <v>4</v>
      </c>
      <c r="AD18" s="4" t="n">
        <v>1</v>
      </c>
      <c r="AE18" s="4" t="n">
        <v>3</v>
      </c>
      <c r="AF18" s="4" t="n">
        <v>3</v>
      </c>
      <c r="AG18" s="4" t="inlineStr">
        <is>
          <t>Evidence backed</t>
        </is>
      </c>
    </row>
    <row r="19" ht="75" customHeight="1">
      <c r="A19" s="4" t="n">
        <v>15</v>
      </c>
      <c r="B19" s="4" t="inlineStr">
        <is>
          <t>Asahi Intecc Co., Ltd. (Companion Animal Devices)</t>
        </is>
      </c>
      <c r="C19" s="4" t="inlineStr">
        <is>
          <t>朝日インテック株式会社 (伴侶動物医療機器事業)</t>
        </is>
      </c>
      <c r="D19" s="4" t="inlineStr">
        <is>
          <t>Not found (NTA lookup blocked; dedupe by Japanese name)</t>
        </is>
      </c>
      <c r="E19" s="4" t="inlineStr">
        <is>
          <t>Aichi</t>
        </is>
      </c>
      <c r="F19" s="4" t="inlineStr">
        <is>
          <t>Chubu</t>
        </is>
      </c>
      <c r="G19" s="5" t="inlineStr">
        <is>
          <t>https://www.asahi-intecc-vet.com/</t>
        </is>
      </c>
      <c r="H19" s="4" t="inlineStr">
        <is>
          <t>Human device MAH; runs a companion animal device business (job ad, Shinagawa)</t>
        </is>
      </c>
      <c r="I19" s="4" t="inlineStr">
        <is>
          <t>Catheters and guidewires; no ultrasound</t>
        </is>
      </c>
      <c r="J19" s="4" t="inlineStr">
        <is>
          <t>Companion</t>
        </is>
      </c>
      <c r="K19" s="4" t="inlineStr">
        <is>
          <t>National</t>
        </is>
      </c>
      <c r="L19" s="4" t="inlineStr">
        <is>
          <t>Listed company</t>
        </is>
      </c>
      <c r="M19" s="4" t="inlineStr">
        <is>
          <t>n/a</t>
        </is>
      </c>
      <c r="N19" s="4" t="inlineStr">
        <is>
          <t>Not identified</t>
        </is>
      </c>
      <c r="O19" s="4" t="inlineStr">
        <is>
          <t>Not identified</t>
        </is>
      </c>
      <c r="P19" s="4" t="inlineStr">
        <is>
          <t>Not published; inquiry form: https://www.asahi-intecc.co.jp/contact/vet</t>
        </is>
      </c>
      <c r="Q19" s="4" t="inlineStr">
        <is>
          <t>+81 561 48 5551</t>
        </is>
      </c>
      <c r="R19" s="4" t="inlineStr">
        <is>
          <t>Not identified</t>
        </is>
      </c>
      <c r="S19" s="4" t="inlineStr">
        <is>
          <t>Company inquiry only (form); dedicated vet inquiry form</t>
        </is>
      </c>
      <c r="T19" s="6">
        <f>SUM(Z19:AF19)</f>
        <v>22</v>
      </c>
      <c r="U19" s="7" t="inlineStr">
        <is>
          <t>V1</t>
        </is>
      </c>
      <c r="V19" s="4" t="inlineStr">
        <is>
          <t>Interventional device major building a companion animal business; interventional work needs ultrasound guidance. FLAG: Vet business evidence from a job ad only.</t>
        </is>
      </c>
      <c r="W19" s="4" t="inlineStr">
        <is>
          <t>Ultrasound guided intervention demo with their vet catheters.</t>
        </is>
      </c>
      <c r="X19" s="4" t="inlineStr">
        <is>
          <t>Not checked (human list not in v17)</t>
        </is>
      </c>
      <c r="Y19" s="4" t="inlineStr">
        <is>
          <t>https://www.rdsupport-tenshoku.jp/search/JOB40843 ; https://www.asahi-intecc.co.jp/contact/vet</t>
        </is>
      </c>
      <c r="Z19" s="4" t="n">
        <v>5</v>
      </c>
      <c r="AA19" s="4" t="n">
        <v>2</v>
      </c>
      <c r="AB19" s="4" t="n">
        <v>5</v>
      </c>
      <c r="AC19" s="4" t="n">
        <v>3</v>
      </c>
      <c r="AD19" s="4" t="n">
        <v>1</v>
      </c>
      <c r="AE19" s="4" t="n">
        <v>4</v>
      </c>
      <c r="AF19" s="4" t="n">
        <v>2</v>
      </c>
      <c r="AG19" s="4" t="inlineStr">
        <is>
          <t>Evidence backed</t>
        </is>
      </c>
    </row>
    <row r="20" ht="75" customHeight="1">
      <c r="A20" s="4" t="n">
        <v>16</v>
      </c>
      <c r="B20" s="4" t="inlineStr">
        <is>
          <t>HORIBA, Ltd. (Veterinary)</t>
        </is>
      </c>
      <c r="C20" s="4" t="inlineStr">
        <is>
          <t>株式会社堀場製作所</t>
        </is>
      </c>
      <c r="D20" s="4" t="inlineStr">
        <is>
          <t>Not found (NTA lookup blocked; dedupe by Japanese name)</t>
        </is>
      </c>
      <c r="E20" s="4" t="inlineStr">
        <is>
          <t>Kyoto</t>
        </is>
      </c>
      <c r="F20" s="4" t="inlineStr">
        <is>
          <t>Kansai</t>
        </is>
      </c>
      <c r="G20" s="5" t="inlineStr">
        <is>
          <t>https://www.horiba.com/jpn/medical/</t>
        </is>
      </c>
      <c r="H20" s="4" t="inlineStr">
        <is>
          <t>Vet device MAH (NVAL: Microsemi LC712 notification 23 Oct 2024)</t>
        </is>
      </c>
      <c r="I20" s="4" t="inlineStr">
        <is>
          <t>Vet haematology; no ultrasound</t>
        </is>
      </c>
      <c r="J20" s="4" t="inlineStr">
        <is>
          <t>Companion</t>
        </is>
      </c>
      <c r="K20" s="4" t="inlineStr">
        <is>
          <t>National</t>
        </is>
      </c>
      <c r="L20" s="4" t="inlineStr">
        <is>
          <t>Large</t>
        </is>
      </c>
      <c r="M20" s="4" t="inlineStr">
        <is>
          <t>n/a</t>
        </is>
      </c>
      <c r="N20" s="4" t="inlineStr">
        <is>
          <t>Not identified</t>
        </is>
      </c>
      <c r="O20" s="4" t="inlineStr">
        <is>
          <t>Not identified</t>
        </is>
      </c>
      <c r="P20" s="4" t="inlineStr">
        <is>
          <t>Not published; inquiry form: https://www.horiba.com/jpn/company/news/detail/news/1/2024/microsemi-lc-712-release/</t>
        </is>
      </c>
      <c r="Q20" s="4" t="inlineStr">
        <is>
          <t>Not found (use site)</t>
        </is>
      </c>
      <c r="R20" s="4" t="inlineStr">
        <is>
          <t>Not identified</t>
        </is>
      </c>
      <c r="S20" s="4" t="inlineStr">
        <is>
          <t>Company inquiry only (form on HORIBA site)</t>
        </is>
      </c>
      <c r="T20" s="6">
        <f>SUM(Z20:AF20)</f>
        <v>22</v>
      </c>
      <c r="U20" s="7" t="inlineStr">
        <is>
          <t>V1</t>
        </is>
      </c>
      <c r="V20" s="4" t="inlineStr">
        <is>
          <t>Freshly notified a vet haematology analyser and exhibits at JBVP; growing vet channel.</t>
        </is>
      </c>
      <c r="W20" s="4" t="inlineStr">
        <is>
          <t>Diagnostics bundle partner; ask who their vet dealers are.</t>
        </is>
      </c>
      <c r="X20" s="4" t="inlineStr">
        <is>
          <t>Not checked (human list not in v17)</t>
        </is>
      </c>
      <c r="Y20" s="4" t="inlineStr">
        <is>
          <t>https://www.vm.nval.go.jp/public/detail/19457 ; https://www.horiba.com/jpn/medical/news/events/detail/news/9/2025/%E6%97%A5%E6%9C%AC%E8%87%A8%E5%BA%8A%E7%8D%A3%E5%8C%BB%E5%AD%A6%E3%83%95%E3%82%A9%E3%83%BC%E3%83%A9%E3%83%A0jbvp%E5%B9%B4%E6%AC%A1%E5%A4%A7%E4%BC%9A/ ; https://www.horiba.com/jpn/company/news/detail/news/1/2024/microsemi-lc-712-release/</t>
        </is>
      </c>
      <c r="Z20" s="4" t="n">
        <v>5</v>
      </c>
      <c r="AA20" s="4" t="n">
        <v>1</v>
      </c>
      <c r="AB20" s="4" t="n">
        <v>5</v>
      </c>
      <c r="AC20" s="4" t="n">
        <v>4</v>
      </c>
      <c r="AD20" s="4" t="n">
        <v>1</v>
      </c>
      <c r="AE20" s="4" t="n">
        <v>4</v>
      </c>
      <c r="AF20" s="4" t="n">
        <v>2</v>
      </c>
      <c r="AG20" s="4" t="inlineStr">
        <is>
          <t>Evidence backed</t>
        </is>
      </c>
    </row>
    <row r="21" ht="75" customHeight="1">
      <c r="A21" s="4" t="n">
        <v>17</v>
      </c>
      <c r="B21" s="4" t="inlineStr">
        <is>
          <t>Kruz Medical</t>
        </is>
      </c>
      <c r="C21" s="4" t="inlineStr">
        <is>
          <t>クルーズメディカル</t>
        </is>
      </c>
      <c r="D21" s="4" t="inlineStr">
        <is>
          <t>Not found (NTA lookup blocked; dedupe by Japanese name)</t>
        </is>
      </c>
      <c r="E21" s="4" t="inlineStr">
        <is>
          <t>Osaka</t>
        </is>
      </c>
      <c r="F21" s="4" t="inlineStr">
        <is>
          <t>Kansai</t>
        </is>
      </c>
      <c r="G21" s="5" t="inlineStr">
        <is>
          <t>https://kruz-medical.co.jp/</t>
        </is>
      </c>
      <c r="H21" s="4" t="inlineStr">
        <is>
          <t>Vet device sales with clinic opening, relocation and renewal support</t>
        </is>
      </c>
      <c r="I21" s="4" t="inlineStr">
        <is>
          <t>Sells CT and ultrasound among other devices (brands not confirmed)</t>
        </is>
      </c>
      <c r="J21" s="4" t="inlineStr">
        <is>
          <t>Companion</t>
        </is>
      </c>
      <c r="K21" s="4" t="inlineStr">
        <is>
          <t>Osaka base; national openings</t>
        </is>
      </c>
      <c r="L21" s="4" t="inlineStr">
        <is>
          <t>Not found</t>
        </is>
      </c>
      <c r="M21" s="4" t="inlineStr">
        <is>
          <t>n/a</t>
        </is>
      </c>
      <c r="N21" s="4" t="inlineStr">
        <is>
          <t>Not identified</t>
        </is>
      </c>
      <c r="O21" s="4" t="inlineStr">
        <is>
          <t>Not identified</t>
        </is>
      </c>
      <c r="P21" s="4" t="inlineStr">
        <is>
          <t>info@kruz.co.jp</t>
        </is>
      </c>
      <c r="Q21" s="4" t="inlineStr">
        <is>
          <t>06 6190 2500</t>
        </is>
      </c>
      <c r="R21" s="4" t="inlineStr">
        <is>
          <t>Not identified</t>
        </is>
      </c>
      <c r="S21" s="4" t="inlineStr">
        <is>
          <t>Verified (published on own site, read via search); from older company site</t>
        </is>
      </c>
      <c r="T21" s="6">
        <f>SUM(Z21:AF21)</f>
        <v>22</v>
      </c>
      <c r="U21" s="8" t="inlineStr">
        <is>
          <t>V2</t>
        </is>
      </c>
      <c r="V21" s="4" t="inlineStr">
        <is>
          <t>Osaka company running vet clinic openings end to end and selling equipment from CT and ultrasound to consumables. FLAG: Legal name and current ultrasound brand not confirmed.</t>
        </is>
      </c>
      <c r="W21" s="4" t="inlineStr">
        <is>
          <t>Opening package partner: portable plus cart ultrasound in their standard equipment list.</t>
        </is>
      </c>
      <c r="X21" s="4" t="inlineStr">
        <is>
          <t>Not checked (human list not in v17)</t>
        </is>
      </c>
      <c r="Y21" s="4" t="inlineStr">
        <is>
          <t>https://kruz-medical.co.jp/business/ ; https://kruz.co.jp/ ; http://kruz.co.jp/profile.html</t>
        </is>
      </c>
      <c r="Z21" s="4" t="n">
        <v>3</v>
      </c>
      <c r="AA21" s="4" t="n">
        <v>4</v>
      </c>
      <c r="AB21" s="4" t="n">
        <v>3</v>
      </c>
      <c r="AC21" s="4" t="n">
        <v>5</v>
      </c>
      <c r="AD21" s="4" t="n">
        <v>1</v>
      </c>
      <c r="AE21" s="4" t="n">
        <v>3</v>
      </c>
      <c r="AF21" s="4" t="n">
        <v>3</v>
      </c>
      <c r="AG21" s="4" t="inlineStr">
        <is>
          <t>Evidence backed</t>
        </is>
      </c>
    </row>
    <row r="22" ht="75" customHeight="1">
      <c r="A22" s="4" t="n">
        <v>18</v>
      </c>
      <c r="B22" s="4" t="inlineStr">
        <is>
          <t>Meiji Animal Health Co., Ltd.</t>
        </is>
      </c>
      <c r="C22" s="4" t="inlineStr">
        <is>
          <t>明治アニマルヘルス株式会社</t>
        </is>
      </c>
      <c r="D22" s="4" t="inlineStr">
        <is>
          <t>Not found (NTA lookup blocked; dedupe by Japanese name)</t>
        </is>
      </c>
      <c r="E22" s="4" t="inlineStr">
        <is>
          <t>Kumamoto</t>
        </is>
      </c>
      <c r="F22" s="4" t="inlineStr">
        <is>
          <t>Kyushu and Okinawa</t>
        </is>
      </c>
      <c r="G22" s="5" t="inlineStr">
        <is>
          <t>https://www.vet.meiji.com</t>
        </is>
      </c>
      <c r="H22" s="4" t="inlineStr">
        <is>
          <t>第三種動物用医療機器製造販売業許可 plus vet drug MAH (listed on company outline)</t>
        </is>
      </c>
      <c r="I22" s="4" t="inlineStr">
        <is>
          <t>Vet vaccines and drugs; no ultrasound line identified</t>
        </is>
      </c>
      <c r="J22" s="4" t="inlineStr">
        <is>
          <t>Both</t>
        </is>
      </c>
      <c r="K22" s="4" t="inlineStr">
        <is>
          <t>National; HQ Kumamoto</t>
        </is>
      </c>
      <c r="L22" s="4" t="inlineStr">
        <is>
          <t>Founded 2022 (Meiji group vet arm); headcount on site</t>
        </is>
      </c>
      <c r="M22" s="4" t="inlineStr">
        <is>
          <t>n/a</t>
        </is>
      </c>
      <c r="N22" s="4" t="inlineStr">
        <is>
          <t>Not identified</t>
        </is>
      </c>
      <c r="O22" s="4" t="inlineStr">
        <is>
          <t>Not identified</t>
        </is>
      </c>
      <c r="P22" s="4" t="inlineStr">
        <is>
          <t>Not published; inquiry form: https://www.vet.meiji.com</t>
        </is>
      </c>
      <c r="Q22" s="4" t="inlineStr">
        <is>
          <t>096 344 8127; sales 03 4332 1620</t>
        </is>
      </c>
      <c r="R22" s="4" t="inlineStr">
        <is>
          <t>Not identified</t>
        </is>
      </c>
      <c r="S22" s="4" t="inlineStr">
        <is>
          <t>Company inquiry only (form); only privacy@vet.meiji.com published, not a sales address</t>
        </is>
      </c>
      <c r="T22" s="6">
        <f>SUM(Z22:AF22)</f>
        <v>22</v>
      </c>
      <c r="U22" s="7" t="inlineStr">
        <is>
          <t>V1</t>
        </is>
      </c>
      <c r="V22" s="4" t="inlineStr">
        <is>
          <t>Kyushu based animal health maker with a device MAH licence and a national livestock and companion sales force; strong bovine and swine relationships in Kyushu.</t>
        </is>
      </c>
      <c r="W22" s="4" t="inlineStr">
        <is>
          <t>Position a livestock repro portable (EBit series) as a device add on to their bovine vaccine calls.</t>
        </is>
      </c>
      <c r="X22" s="4" t="inlineStr">
        <is>
          <t>Not checked (human list not in v17)</t>
        </is>
      </c>
      <c r="Y22" s="4" t="inlineStr">
        <is>
          <t>https://www.vet.meiji.com/corporate/outline.html ; https://www.vet.meiji.com</t>
        </is>
      </c>
      <c r="Z22" s="4" t="n">
        <v>4</v>
      </c>
      <c r="AA22" s="4" t="n">
        <v>1</v>
      </c>
      <c r="AB22" s="4" t="n">
        <v>5</v>
      </c>
      <c r="AC22" s="4" t="n">
        <v>3</v>
      </c>
      <c r="AD22" s="4" t="n">
        <v>5</v>
      </c>
      <c r="AE22" s="4" t="n">
        <v>2</v>
      </c>
      <c r="AF22" s="4" t="n">
        <v>2</v>
      </c>
      <c r="AG22" s="4" t="inlineStr">
        <is>
          <t>Evidence backed</t>
        </is>
      </c>
    </row>
    <row r="23" ht="75" customHeight="1">
      <c r="A23" s="4" t="n">
        <v>19</v>
      </c>
      <c r="B23" s="4" t="inlineStr">
        <is>
          <t>Shimadzu Corporation (Veterinary X ray)</t>
        </is>
      </c>
      <c r="C23" s="4" t="inlineStr">
        <is>
          <t>株式会社島津製作所</t>
        </is>
      </c>
      <c r="D23" s="4" t="inlineStr">
        <is>
          <t>Not found (NTA lookup blocked; dedupe by Japanese name)</t>
        </is>
      </c>
      <c r="E23" s="4" t="inlineStr">
        <is>
          <t>Kyoto</t>
        </is>
      </c>
      <c r="F23" s="4" t="inlineStr">
        <is>
          <t>Kansai</t>
        </is>
      </c>
      <c r="G23" s="4" t="inlineStr">
        <is>
          <t>Not found</t>
        </is>
      </c>
      <c r="H23" s="4" t="inlineStr">
        <is>
          <t>Small animal X ray system on market (via Medical Space)</t>
        </is>
      </c>
      <c r="I23" s="4" t="inlineStr">
        <is>
          <t>X ray; no vet ultrasound</t>
        </is>
      </c>
      <c r="J23" s="4" t="inlineStr">
        <is>
          <t>Companion</t>
        </is>
      </c>
      <c r="K23" s="4" t="inlineStr">
        <is>
          <t>National</t>
        </is>
      </c>
      <c r="L23" s="4" t="inlineStr">
        <is>
          <t>Large</t>
        </is>
      </c>
      <c r="M23" s="4" t="inlineStr">
        <is>
          <t>n/a</t>
        </is>
      </c>
      <c r="N23" s="4" t="inlineStr">
        <is>
          <t>Not identified</t>
        </is>
      </c>
      <c r="O23" s="4" t="inlineStr">
        <is>
          <t>Not identified</t>
        </is>
      </c>
      <c r="P23" s="4" t="inlineStr">
        <is>
          <t>Not published; phone only</t>
        </is>
      </c>
      <c r="Q23" s="4" t="inlineStr">
        <is>
          <t>0120 524 333 (Shimadzu Medical Systems support)</t>
        </is>
      </c>
      <c r="R23" s="4" t="inlineStr">
        <is>
          <t>Not identified</t>
        </is>
      </c>
      <c r="S23" s="4" t="inlineStr">
        <is>
          <t>Company inquiry only (phone)</t>
        </is>
      </c>
      <c r="T23" s="6">
        <f>SUM(Z23:AF23)</f>
        <v>22</v>
      </c>
      <c r="U23" s="7" t="inlineStr">
        <is>
          <t>V1</t>
        </is>
      </c>
      <c r="V23" s="4" t="inlineStr">
        <is>
          <t>Imaging major with a small animal X ray system and national service.</t>
        </is>
      </c>
      <c r="W23" s="4" t="inlineStr">
        <is>
          <t>Imaging suite partnership; low probability.</t>
        </is>
      </c>
      <c r="X23" s="4" t="inlineStr">
        <is>
          <t>Not checked (human list not in v17)</t>
        </is>
      </c>
      <c r="Y23" s="4" t="inlineStr">
        <is>
          <t>https://medical-space.co.jp/products/manufacturer/%E5%B3%B6%E6%B4%A5%E8%A3%BD%E4%BD%9C%E6%89%80/ ; https://www.med.shimadzu.co.jp/network/</t>
        </is>
      </c>
      <c r="Z23" s="4" t="n">
        <v>4</v>
      </c>
      <c r="AA23" s="4" t="n">
        <v>3</v>
      </c>
      <c r="AB23" s="4" t="n">
        <v>5</v>
      </c>
      <c r="AC23" s="4" t="n">
        <v>3</v>
      </c>
      <c r="AD23" s="4" t="n">
        <v>1</v>
      </c>
      <c r="AE23" s="4" t="n">
        <v>5</v>
      </c>
      <c r="AF23" s="4" t="n">
        <v>1</v>
      </c>
      <c r="AG23" s="4" t="inlineStr">
        <is>
          <t>Evidence backed</t>
        </is>
      </c>
    </row>
    <row r="24" ht="75" customHeight="1">
      <c r="A24" s="4" t="n">
        <v>20</v>
      </c>
      <c r="B24" s="4" t="inlineStr">
        <is>
          <t>Yasui Co., Ltd.</t>
        </is>
      </c>
      <c r="C24" s="4" t="inlineStr">
        <is>
          <t>安井株式会社</t>
        </is>
      </c>
      <c r="D24" s="4" t="inlineStr">
        <is>
          <t>Not found (NTA lookup blocked; dedupe by Japanese name)</t>
        </is>
      </c>
      <c r="E24" s="4" t="inlineStr">
        <is>
          <t>Miyazaki</t>
        </is>
      </c>
      <c r="F24" s="4" t="inlineStr">
        <is>
          <t>Kyushu and Okinawa</t>
        </is>
      </c>
      <c r="G24" s="5" t="inlineStr">
        <is>
          <t>https://www.yasui-kk.co.jp</t>
        </is>
      </c>
      <c r="H24" s="4" t="inlineStr">
        <is>
          <t>第二種動物用医療機器製造販売業許可 (obtained 16 Apr 2020); 第二種医療機器製造販売業</t>
        </is>
      </c>
      <c r="I24" s="4" t="inlineStr">
        <is>
          <t>Own medical disposables; no ultrasound line</t>
        </is>
      </c>
      <c r="J24" s="4" t="inlineStr">
        <is>
          <t>Both</t>
        </is>
      </c>
      <c r="K24" s="4" t="inlineStr">
        <is>
          <t>HQ Kadogawa, Miyazaki; offices Tokyo, Fukuoka, Kagoshima, Nichinan</t>
        </is>
      </c>
      <c r="L24" s="4" t="inlineStr">
        <is>
          <t>Not found</t>
        </is>
      </c>
      <c r="M24" s="4" t="inlineStr">
        <is>
          <t>n/a</t>
        </is>
      </c>
      <c r="N24" s="4" t="inlineStr">
        <is>
          <t>Not identified</t>
        </is>
      </c>
      <c r="O24" s="4" t="inlineStr">
        <is>
          <t>Not identified</t>
        </is>
      </c>
      <c r="P24" s="4" t="inlineStr">
        <is>
          <t>yasui@yasui-kk.co.jp</t>
        </is>
      </c>
      <c r="Q24" s="4" t="inlineStr">
        <is>
          <t>0982 63 7111</t>
        </is>
      </c>
      <c r="R24" s="4" t="inlineStr">
        <is>
          <t>Not identified</t>
        </is>
      </c>
      <c r="S24" s="4" t="inlineStr">
        <is>
          <t>Likely (third party listing)</t>
        </is>
      </c>
      <c r="T24" s="6">
        <f>SUM(Z24:AF24)</f>
        <v>22</v>
      </c>
      <c r="U24" s="7" t="inlineStr">
        <is>
          <t>V1</t>
        </is>
      </c>
      <c r="V24" s="4" t="inlineStr">
        <is>
          <t>Kyushu manufacturer that went out of its way to obtain a vet device MAH licence in 2020, so it already understands the NVAL notification route.</t>
        </is>
      </c>
      <c r="W24" s="4" t="inlineStr">
        <is>
          <t>Explore MAH service for CHISON vet notifications, using their Kyushu offices for livestock territory.</t>
        </is>
      </c>
      <c r="X24" s="4" t="inlineStr">
        <is>
          <t>Not checked (human list not in v17)</t>
        </is>
      </c>
      <c r="Y24" s="4" t="inlineStr">
        <is>
          <t>https://www.yasui-kk.co.jp/medical-news/2721/ ; https://www.pref.miyazaki.lg.jp/documents/57538/57538_20230421133605-1.pdf ; https://hamiq.koic.or.jp/introduction/detail.php?num=2359 ; https://www.yasui-kk.co.jp/medical/</t>
        </is>
      </c>
      <c r="Z24" s="4" t="n">
        <v>5</v>
      </c>
      <c r="AA24" s="4" t="n">
        <v>1</v>
      </c>
      <c r="AB24" s="4" t="n">
        <v>5</v>
      </c>
      <c r="AC24" s="4" t="n">
        <v>2</v>
      </c>
      <c r="AD24" s="4" t="n">
        <v>3</v>
      </c>
      <c r="AE24" s="4" t="n">
        <v>3</v>
      </c>
      <c r="AF24" s="4" t="n">
        <v>3</v>
      </c>
      <c r="AG24" s="4" t="inlineStr">
        <is>
          <t>Evidence backed</t>
        </is>
      </c>
    </row>
    <row r="25" ht="75" customHeight="1">
      <c r="A25" s="4" t="n">
        <v>21</v>
      </c>
      <c r="B25" s="4" t="inlineStr">
        <is>
          <t>A&amp;D Company, Limited</t>
        </is>
      </c>
      <c r="C25" s="4" t="inlineStr">
        <is>
          <t>株式会社エー・アンド・デイ</t>
        </is>
      </c>
      <c r="D25" s="4" t="inlineStr">
        <is>
          <t>Not found (NTA lookup blocked; dedupe by Japanese name)</t>
        </is>
      </c>
      <c r="E25" s="4" t="inlineStr">
        <is>
          <t>Tokyo</t>
        </is>
      </c>
      <c r="F25" s="4" t="inlineStr">
        <is>
          <t>Kanto</t>
        </is>
      </c>
      <c r="G25" s="4" t="inlineStr">
        <is>
          <t>Not found</t>
        </is>
      </c>
      <c r="H25" s="4" t="inlineStr">
        <is>
          <t>Device MAH; ranked third among device suppliers to animal hospitals (AHHD)</t>
        </is>
      </c>
      <c r="I25" s="4" t="inlineStr">
        <is>
          <t>BP monitors and scales; no ultrasound</t>
        </is>
      </c>
      <c r="J25" s="4" t="inlineStr">
        <is>
          <t>Companion</t>
        </is>
      </c>
      <c r="K25" s="4" t="inlineStr">
        <is>
          <t>National via vet dealers</t>
        </is>
      </c>
      <c r="L25" s="4" t="inlineStr">
        <is>
          <t>Not found</t>
        </is>
      </c>
      <c r="M25" s="4" t="inlineStr">
        <is>
          <t>n/a</t>
        </is>
      </c>
      <c r="N25" s="4" t="inlineStr">
        <is>
          <t>Not identified</t>
        </is>
      </c>
      <c r="O25" s="4" t="inlineStr">
        <is>
          <t>Not identified</t>
        </is>
      </c>
      <c r="P25" s="4" t="inlineStr">
        <is>
          <t>Not published; inquiry form: https://www.aandd.co.jp/products/medical/</t>
        </is>
      </c>
      <c r="Q25" s="4" t="inlineStr">
        <is>
          <t>Not found</t>
        </is>
      </c>
      <c r="R25" s="4" t="inlineStr">
        <is>
          <t>Not identified</t>
        </is>
      </c>
      <c r="S25" s="4" t="inlineStr">
        <is>
          <t>Company inquiry only (form on product pages)</t>
        </is>
      </c>
      <c r="T25" s="6">
        <f>SUM(Z25:AF25)</f>
        <v>21</v>
      </c>
      <c r="U25" s="7" t="inlineStr">
        <is>
          <t>V1</t>
        </is>
      </c>
      <c r="V25" s="4" t="inlineStr">
        <is>
          <t>Third ranked device supplier to animal hospitals; measurement devices sold through vet dealers.</t>
        </is>
      </c>
      <c r="W25" s="4" t="inlineStr">
        <is>
          <t>Ask whether they would carry or act as MAH for a complementary vet ultrasound line in their existing vet catalogue.</t>
        </is>
      </c>
      <c r="X25" s="4" t="inlineStr">
        <is>
          <t>Not checked (human list not in v17)</t>
        </is>
      </c>
      <c r="Y25" s="4" t="inlineStr">
        <is>
          <t>https://ahhd.jp/I0000004 ; https://www.aandd.co.jp/support/agency/ ; https://www.aandd.co.jp/products/medical/</t>
        </is>
      </c>
      <c r="Z25" s="4" t="n">
        <v>5</v>
      </c>
      <c r="AA25" s="4" t="n">
        <v>1</v>
      </c>
      <c r="AB25" s="4" t="n">
        <v>5</v>
      </c>
      <c r="AC25" s="4" t="n">
        <v>3</v>
      </c>
      <c r="AD25" s="4" t="n">
        <v>1</v>
      </c>
      <c r="AE25" s="4" t="n">
        <v>3</v>
      </c>
      <c r="AF25" s="4" t="n">
        <v>3</v>
      </c>
      <c r="AG25" s="4" t="inlineStr">
        <is>
          <t>Evidence backed</t>
        </is>
      </c>
    </row>
    <row r="26" ht="75" customHeight="1">
      <c r="A26" s="4" t="n">
        <v>22</v>
      </c>
      <c r="B26" s="4" t="inlineStr">
        <is>
          <t>AMCO Inc.</t>
        </is>
      </c>
      <c r="C26" s="4" t="inlineStr">
        <is>
          <t>株式会社アムコ</t>
        </is>
      </c>
      <c r="D26" s="4" t="inlineStr">
        <is>
          <t>Not found (NTA lookup blocked; dedupe by Japanese name)</t>
        </is>
      </c>
      <c r="E26" s="4" t="inlineStr">
        <is>
          <t>Tokyo</t>
        </is>
      </c>
      <c r="F26" s="4" t="inlineStr">
        <is>
          <t>Kanto</t>
        </is>
      </c>
      <c r="G26" s="5" t="inlineStr">
        <is>
          <t>https://amco.co.jp</t>
        </is>
      </c>
      <c r="H26" s="4" t="inlineStr">
        <is>
          <t>Vet LED surgical light supplied to vet dealers</t>
        </is>
      </c>
      <c r="I26" s="4" t="inlineStr">
        <is>
          <t>Surgical lights; no ultrasound</t>
        </is>
      </c>
      <c r="J26" s="4" t="inlineStr">
        <is>
          <t>Companion</t>
        </is>
      </c>
      <c r="K26" s="4" t="inlineStr">
        <is>
          <t>National via vet dealers</t>
        </is>
      </c>
      <c r="L26" s="4" t="inlineStr">
        <is>
          <t>Not found</t>
        </is>
      </c>
      <c r="M26" s="4" t="inlineStr">
        <is>
          <t>n/a</t>
        </is>
      </c>
      <c r="N26" s="4" t="inlineStr">
        <is>
          <t>Not identified</t>
        </is>
      </c>
      <c r="O26" s="4" t="inlineStr">
        <is>
          <t>Not identified</t>
        </is>
      </c>
      <c r="P26" s="4" t="inlineStr">
        <is>
          <t>qa@amco-inc.net</t>
        </is>
      </c>
      <c r="Q26" s="4" t="inlineStr">
        <is>
          <t>03 3265 4261</t>
        </is>
      </c>
      <c r="R26" s="4" t="inlineStr">
        <is>
          <t>Not identified</t>
        </is>
      </c>
      <c r="S26" s="4" t="inlineStr">
        <is>
          <t>Verified (published on own site, read via search); quality assurance dept for used devices, ask to forward</t>
        </is>
      </c>
      <c r="T26" s="6">
        <f>SUM(Z26:AF26)</f>
        <v>21</v>
      </c>
      <c r="U26" s="7" t="inlineStr">
        <is>
          <t>V1</t>
        </is>
      </c>
      <c r="V26" s="4" t="inlineStr">
        <is>
          <t>Supplies vet surgical lights listed by Miyano Medix alongside Tokyo Menix tables. FLAG: HQ prefecture assumed Tokyo; confirm.</t>
        </is>
      </c>
      <c r="W26" s="4" t="inlineStr">
        <is>
          <t>Ask whether they would carry or act as MAH for a complementary vet ultrasound line in their existing vet catalogue.</t>
        </is>
      </c>
      <c r="X26" s="4" t="inlineStr">
        <is>
          <t>Not checked (human list not in v17)</t>
        </is>
      </c>
      <c r="Y26" s="4" t="inlineStr">
        <is>
          <t>http://www.miyano-medix.com/service7.html ; https://go.amco-inc.net/l/943023/2021-10-29/2kgyq</t>
        </is>
      </c>
      <c r="Z26" s="4" t="n">
        <v>5</v>
      </c>
      <c r="AA26" s="4" t="n">
        <v>1</v>
      </c>
      <c r="AB26" s="4" t="n">
        <v>5</v>
      </c>
      <c r="AC26" s="4" t="n">
        <v>3</v>
      </c>
      <c r="AD26" s="4" t="n">
        <v>1</v>
      </c>
      <c r="AE26" s="4" t="n">
        <v>3</v>
      </c>
      <c r="AF26" s="4" t="n">
        <v>3</v>
      </c>
      <c r="AG26" s="4" t="inlineStr">
        <is>
          <t>Evidence backed</t>
        </is>
      </c>
    </row>
    <row r="27" ht="75" customHeight="1">
      <c r="A27" s="4" t="n">
        <v>23</v>
      </c>
      <c r="B27" s="4" t="inlineStr">
        <is>
          <t>Akiyama Seisakusho Co., Ltd.</t>
        </is>
      </c>
      <c r="C27" s="4" t="inlineStr">
        <is>
          <t>株式会社秋山製作所</t>
        </is>
      </c>
      <c r="D27" s="4" t="inlineStr">
        <is>
          <t>Not found (NTA lookup blocked; dedupe by Japanese name)</t>
        </is>
      </c>
      <c r="E27" s="4" t="inlineStr">
        <is>
          <t>Tokyo</t>
        </is>
      </c>
      <c r="F27" s="4" t="inlineStr">
        <is>
          <t>Kanto</t>
        </is>
      </c>
      <c r="G27" s="5" t="inlineStr">
        <is>
          <t>http://akiyama-elp.com/gaiyou.html</t>
        </is>
      </c>
      <c r="H27" s="4" t="inlineStr">
        <is>
          <t>Vet device MAH (NVAL: vet sutures and needles, ELP series)</t>
        </is>
      </c>
      <c r="I27" s="4" t="inlineStr">
        <is>
          <t>Sutures; no ultrasound</t>
        </is>
      </c>
      <c r="J27" s="4" t="inlineStr">
        <is>
          <t>Companion</t>
        </is>
      </c>
      <c r="K27" s="4" t="inlineStr">
        <is>
          <t>National via vet dealers</t>
        </is>
      </c>
      <c r="L27" s="4" t="inlineStr">
        <is>
          <t>Not found</t>
        </is>
      </c>
      <c r="M27" s="4" t="inlineStr">
        <is>
          <t>n/a</t>
        </is>
      </c>
      <c r="N27" s="4" t="inlineStr">
        <is>
          <t>Not identified</t>
        </is>
      </c>
      <c r="O27" s="4" t="inlineStr">
        <is>
          <t>Not identified</t>
        </is>
      </c>
      <c r="P27" s="4" t="inlineStr">
        <is>
          <t>Not published; phone only</t>
        </is>
      </c>
      <c r="Q27" s="4" t="inlineStr">
        <is>
          <t>03 3811 0802</t>
        </is>
      </c>
      <c r="R27" s="4" t="inlineStr">
        <is>
          <t>Not identified</t>
        </is>
      </c>
      <c r="S27" s="4" t="inlineStr">
        <is>
          <t>Company inquiry only (form)</t>
        </is>
      </c>
      <c r="T27" s="6">
        <f>SUM(Z27:AF27)</f>
        <v>21</v>
      </c>
      <c r="U27" s="7" t="inlineStr">
        <is>
          <t>V1</t>
        </is>
      </c>
      <c r="V27" s="4" t="inlineStr">
        <is>
          <t>Holds a family of vet suture notifications and has an Osaka office. FLAG: HQ prefecture assumed Tokyo (Osaka office confirmed); confirm.</t>
        </is>
      </c>
      <c r="W27" s="4" t="inlineStr">
        <is>
          <t>Ask whether they would carry or act as MAH for a complementary vet ultrasound line in their existing vet catalogue.</t>
        </is>
      </c>
      <c r="X27" s="4" t="inlineStr">
        <is>
          <t>Not checked (human list not in v17)</t>
        </is>
      </c>
      <c r="Y27" s="4" t="inlineStr">
        <is>
          <t>https://vm.nval.go.jp/?page=115&amp;submit=submit ; https://www.osaka-iryokiki-kyokai.com/member_list/</t>
        </is>
      </c>
      <c r="Z27" s="4" t="n">
        <v>5</v>
      </c>
      <c r="AA27" s="4" t="n">
        <v>1</v>
      </c>
      <c r="AB27" s="4" t="n">
        <v>5</v>
      </c>
      <c r="AC27" s="4" t="n">
        <v>3</v>
      </c>
      <c r="AD27" s="4" t="n">
        <v>1</v>
      </c>
      <c r="AE27" s="4" t="n">
        <v>3</v>
      </c>
      <c r="AF27" s="4" t="n">
        <v>3</v>
      </c>
      <c r="AG27" s="4" t="inlineStr">
        <is>
          <t>Evidence backed</t>
        </is>
      </c>
    </row>
    <row r="28" ht="75" customHeight="1">
      <c r="A28" s="4" t="n">
        <v>24</v>
      </c>
      <c r="B28" s="4" t="inlineStr">
        <is>
          <t>Astec Co., Ltd.</t>
        </is>
      </c>
      <c r="C28" s="4" t="inlineStr">
        <is>
          <t>株式会社アステック</t>
        </is>
      </c>
      <c r="D28" s="4" t="inlineStr">
        <is>
          <t>Not found (NTA lookup blocked; dedupe by Japanese name)</t>
        </is>
      </c>
      <c r="E28" s="4" t="inlineStr">
        <is>
          <t>Ibaraki</t>
        </is>
      </c>
      <c r="F28" s="4" t="inlineStr">
        <is>
          <t>Kanto</t>
        </is>
      </c>
      <c r="G28" s="5" t="inlineStr">
        <is>
          <t>https://astec-medical.co.jp/</t>
        </is>
      </c>
      <c r="H28" s="4" t="inlineStr">
        <is>
          <t>Vet device MAH (NVAL: ThermoVision2 rectal thermometer); imports and wholesales devices</t>
        </is>
      </c>
      <c r="I28" s="4" t="inlineStr">
        <is>
          <t>No ultrasound identified</t>
        </is>
      </c>
      <c r="J28" s="4" t="inlineStr">
        <is>
          <t>Companion</t>
        </is>
      </c>
      <c r="K28" s="4" t="inlineStr">
        <is>
          <t>National via vet dealers</t>
        </is>
      </c>
      <c r="L28" s="4" t="inlineStr">
        <is>
          <t>Not found</t>
        </is>
      </c>
      <c r="M28" s="4" t="inlineStr">
        <is>
          <t>n/a</t>
        </is>
      </c>
      <c r="N28" s="4" t="inlineStr">
        <is>
          <t>Not identified</t>
        </is>
      </c>
      <c r="O28" s="4" t="inlineStr">
        <is>
          <t>Not identified</t>
        </is>
      </c>
      <c r="P28" s="4" t="inlineStr">
        <is>
          <t>Not published; phone only</t>
        </is>
      </c>
      <c r="Q28" s="4" t="inlineStr">
        <is>
          <t>029 855 2866</t>
        </is>
      </c>
      <c r="R28" s="4" t="inlineStr">
        <is>
          <t>Not identified</t>
        </is>
      </c>
      <c r="S28" s="4" t="inlineStr">
        <is>
          <t>Company inquiry only (form)</t>
        </is>
      </c>
      <c r="T28" s="6">
        <f>SUM(Z28:AF28)</f>
        <v>21</v>
      </c>
      <c r="U28" s="7" t="inlineStr">
        <is>
          <t>V1</t>
        </is>
      </c>
      <c r="V28" s="4" t="inlineStr">
        <is>
          <t>Tsukuba importer and wholesaler that recently notified a vet device.</t>
        </is>
      </c>
      <c r="W28" s="4" t="inlineStr">
        <is>
          <t>Ask whether they would carry or act as MAH for a complementary vet ultrasound line in their existing vet catalogue.</t>
        </is>
      </c>
      <c r="X28" s="4" t="inlineStr">
        <is>
          <t>Not checked (human list not in v17)</t>
        </is>
      </c>
      <c r="Y28" s="4" t="inlineStr">
        <is>
          <t>https://www.vm.nval.go.jp/public/detail/19578 ; https://baseconnect.in/companies/prefecture/d8203dea-91e2-41c3-a785-b80aa997273c/category/b2358a1c-c4c6-46f4-a0b1-dee3a1b30a0b</t>
        </is>
      </c>
      <c r="Z28" s="4" t="n">
        <v>5</v>
      </c>
      <c r="AA28" s="4" t="n">
        <v>1</v>
      </c>
      <c r="AB28" s="4" t="n">
        <v>5</v>
      </c>
      <c r="AC28" s="4" t="n">
        <v>3</v>
      </c>
      <c r="AD28" s="4" t="n">
        <v>1</v>
      </c>
      <c r="AE28" s="4" t="n">
        <v>3</v>
      </c>
      <c r="AF28" s="4" t="n">
        <v>3</v>
      </c>
      <c r="AG28" s="4" t="inlineStr">
        <is>
          <t>Evidence backed</t>
        </is>
      </c>
    </row>
    <row r="29" ht="75" customHeight="1">
      <c r="A29" s="4" t="n">
        <v>25</v>
      </c>
      <c r="B29" s="4" t="inlineStr">
        <is>
          <t>Cornes AG Ltd.</t>
        </is>
      </c>
      <c r="C29" s="4" t="inlineStr">
        <is>
          <t>コーンズ・エージー株式会社</t>
        </is>
      </c>
      <c r="D29" s="4" t="inlineStr">
        <is>
          <t>Not found (NTA lookup blocked; dedupe by Japanese name)</t>
        </is>
      </c>
      <c r="E29" s="4" t="inlineStr">
        <is>
          <t>Hokkaido</t>
        </is>
      </c>
      <c r="F29" s="4" t="inlineStr">
        <is>
          <t>Tohoku and Hokkaido</t>
        </is>
      </c>
      <c r="G29" s="5" t="inlineStr">
        <is>
          <t>https://www.cornesag.com</t>
        </is>
      </c>
      <c r="H29" s="4" t="inlineStr">
        <is>
          <t>Dairy equipment and herd monitoring (Afimilk); vet device licence not confirmed</t>
        </is>
      </c>
      <c r="I29" s="4" t="inlineStr">
        <is>
          <t>No ultrasound identified</t>
        </is>
      </c>
      <c r="J29" s="4" t="inlineStr">
        <is>
          <t>Large animal</t>
        </is>
      </c>
      <c r="K29" s="4" t="inlineStr">
        <is>
          <t>Hokkaido and dairy regions nationwide</t>
        </is>
      </c>
      <c r="L29" s="4" t="inlineStr">
        <is>
          <t>Not found</t>
        </is>
      </c>
      <c r="M29" s="4" t="inlineStr">
        <is>
          <t>n/a</t>
        </is>
      </c>
      <c r="N29" s="4" t="inlineStr">
        <is>
          <t>Not identified</t>
        </is>
      </c>
      <c r="O29" s="4" t="inlineStr">
        <is>
          <t>Not identified</t>
        </is>
      </c>
      <c r="P29" s="4" t="inlineStr">
        <is>
          <t>Not published; inquiry form: https://www.cornesag.com/inquiry/</t>
        </is>
      </c>
      <c r="Q29" s="4" t="inlineStr">
        <is>
          <t>0123 32 1452</t>
        </is>
      </c>
      <c r="R29" s="4" t="inlineStr">
        <is>
          <t>Not identified</t>
        </is>
      </c>
      <c r="S29" s="4" t="inlineStr">
        <is>
          <t>Company inquiry only (form)</t>
        </is>
      </c>
      <c r="T29" s="6">
        <f>SUM(Z29:AF29)</f>
        <v>21</v>
      </c>
      <c r="U29" s="8" t="inlineStr">
        <is>
          <t>V2</t>
        </is>
      </c>
      <c r="V29" s="4" t="inlineStr">
        <is>
          <t>Dairy technology dealer with service engineers on farms; repro monitoring customers also buy pregnancy scanners. FLAG: Vet device sales licence not confirmed.</t>
        </is>
      </c>
      <c r="W29" s="4" t="inlineStr">
        <is>
          <t>Bundle repro ultrasound with their heat detection systems.</t>
        </is>
      </c>
      <c r="X29" s="4" t="inlineStr">
        <is>
          <t>Not checked (human list not in v17)</t>
        </is>
      </c>
      <c r="Y29" s="4" t="inlineStr">
        <is>
          <t>https://www.cornesag.com/product/milking/breeding_management/afimilk_afiact/feature.html ; https://www.cornesag.com/inquiry/</t>
        </is>
      </c>
      <c r="Z29" s="4" t="n">
        <v>2</v>
      </c>
      <c r="AA29" s="4" t="n">
        <v>1</v>
      </c>
      <c r="AB29" s="4" t="n">
        <v>5</v>
      </c>
      <c r="AC29" s="4" t="n">
        <v>1</v>
      </c>
      <c r="AD29" s="4" t="n">
        <v>5</v>
      </c>
      <c r="AE29" s="4" t="n">
        <v>4</v>
      </c>
      <c r="AF29" s="4" t="n">
        <v>3</v>
      </c>
      <c r="AG29" s="4" t="inlineStr">
        <is>
          <t>Evidence backed</t>
        </is>
      </c>
    </row>
    <row r="30" ht="75" customHeight="1">
      <c r="A30" s="4" t="n">
        <v>26</v>
      </c>
      <c r="B30" s="4" t="inlineStr">
        <is>
          <t>Create Medic Co., Ltd.</t>
        </is>
      </c>
      <c r="C30" s="4" t="inlineStr">
        <is>
          <t>クリエートメディック株式会社</t>
        </is>
      </c>
      <c r="D30" s="4" t="inlineStr">
        <is>
          <t>Not found (NTA lookup blocked; dedupe by Japanese name)</t>
        </is>
      </c>
      <c r="E30" s="4" t="inlineStr">
        <is>
          <t>Kanagawa</t>
        </is>
      </c>
      <c r="F30" s="4" t="inlineStr">
        <is>
          <t>Kanto</t>
        </is>
      </c>
      <c r="G30" s="5" t="inlineStr">
        <is>
          <t>http://www.createmedic.co.jp/products/animal_2/</t>
        </is>
      </c>
      <c r="H30" s="4" t="inlineStr">
        <is>
          <t>Vet device MAH (NVAL: Tierrett vet IV catheters 2021, large animal catheters 2022)</t>
        </is>
      </c>
      <c r="I30" s="4" t="inlineStr">
        <is>
          <t>Tierrett vet catheters; no ultrasound</t>
        </is>
      </c>
      <c r="J30" s="4" t="inlineStr">
        <is>
          <t>Both</t>
        </is>
      </c>
      <c r="K30" s="4" t="inlineStr">
        <is>
          <t>National via vet dealers</t>
        </is>
      </c>
      <c r="L30" s="4" t="inlineStr">
        <is>
          <t>Not found</t>
        </is>
      </c>
      <c r="M30" s="4" t="inlineStr">
        <is>
          <t>n/a</t>
        </is>
      </c>
      <c r="N30" s="4" t="inlineStr">
        <is>
          <t>Not identified</t>
        </is>
      </c>
      <c r="O30" s="4" t="inlineStr">
        <is>
          <t>Not identified</t>
        </is>
      </c>
      <c r="P30" s="4" t="inlineStr">
        <is>
          <t>k-kadoya@createmedic.co.jp</t>
        </is>
      </c>
      <c r="Q30" s="4" t="inlineStr">
        <is>
          <t>029 243 9411 (animal business office)</t>
        </is>
      </c>
      <c r="R30" s="4" t="inlineStr">
        <is>
          <t>Not identified</t>
        </is>
      </c>
      <c r="S30" s="4" t="inlineStr">
        <is>
          <t>Likely (third party listing); named staff, not confirmed as vet desk</t>
        </is>
      </c>
      <c r="T30" s="6">
        <f>SUM(Z30:AF30)</f>
        <v>21</v>
      </c>
      <c r="U30" s="7" t="inlineStr">
        <is>
          <t>V1</t>
        </is>
      </c>
      <c r="V30" s="4" t="inlineStr">
        <is>
          <t>Built a dedicated vet catheter brand (Tierrett) with recent NVAL notifications for small and large animals.</t>
        </is>
      </c>
      <c r="W30" s="4" t="inlineStr">
        <is>
          <t>Ask whether they would carry or act as MAH for a complementary vet ultrasound line in their existing vet catalogue.</t>
        </is>
      </c>
      <c r="X30" s="4" t="inlineStr">
        <is>
          <t>Not checked (human list not in v17)</t>
        </is>
      </c>
      <c r="Y30" s="4" t="inlineStr">
        <is>
          <t>https://www.vm.nval.go.jp/public/detail/17513 ; https://www.vm.nval.go.jp/public/detail/19240 ; https://tonomachi-ksf.kawasaki-net.ne.jp/institution/%E3%82%AF%E3%83%AA%E3%82%A8%E3%83%BC%E3%83%88%E3%83%A1%E3%83%87%E3%82%A3%E3%83%83%E3%82%AF%E6%A0%AA%E5%BC%8F%E4%BC%9A%E7%A4%BE_j/ ; https://www.createmedic.co.jp/contact/form/</t>
        </is>
      </c>
      <c r="Z30" s="4" t="n">
        <v>5</v>
      </c>
      <c r="AA30" s="4" t="n">
        <v>1</v>
      </c>
      <c r="AB30" s="4" t="n">
        <v>5</v>
      </c>
      <c r="AC30" s="4" t="n">
        <v>3</v>
      </c>
      <c r="AD30" s="4" t="n">
        <v>1</v>
      </c>
      <c r="AE30" s="4" t="n">
        <v>3</v>
      </c>
      <c r="AF30" s="4" t="n">
        <v>3</v>
      </c>
      <c r="AG30" s="4" t="inlineStr">
        <is>
          <t>Evidence backed</t>
        </is>
      </c>
    </row>
    <row r="31" ht="75" customHeight="1">
      <c r="A31" s="4" t="n">
        <v>27</v>
      </c>
      <c r="B31" s="4" t="inlineStr">
        <is>
          <t>Erma Sales Co., Ltd.</t>
        </is>
      </c>
      <c r="C31" s="4" t="inlineStr">
        <is>
          <t>ヱルマ販売株式会社</t>
        </is>
      </c>
      <c r="D31" s="4" t="inlineStr">
        <is>
          <t>Not found (NTA lookup blocked; dedupe by Japanese name)</t>
        </is>
      </c>
      <c r="E31" s="4" t="inlineStr">
        <is>
          <t>Saitama</t>
        </is>
      </c>
      <c r="F31" s="4" t="inlineStr">
        <is>
          <t>Kanto</t>
        </is>
      </c>
      <c r="G31" s="5" t="inlineStr">
        <is>
          <t>https://erma.co.jp/</t>
        </is>
      </c>
      <c r="H31" s="4" t="inlineStr">
        <is>
          <t>Vet device MAH (NVAL: EYM230 haematology)</t>
        </is>
      </c>
      <c r="I31" s="4" t="inlineStr">
        <is>
          <t>Haematology; no ultrasound</t>
        </is>
      </c>
      <c r="J31" s="4" t="inlineStr">
        <is>
          <t>Companion</t>
        </is>
      </c>
      <c r="K31" s="4" t="inlineStr">
        <is>
          <t>National</t>
        </is>
      </c>
      <c r="L31" s="4" t="inlineStr">
        <is>
          <t>Not found</t>
        </is>
      </c>
      <c r="M31" s="4" t="inlineStr">
        <is>
          <t>n/a</t>
        </is>
      </c>
      <c r="N31" s="4" t="inlineStr">
        <is>
          <t>Not identified</t>
        </is>
      </c>
      <c r="O31" s="4" t="inlineStr">
        <is>
          <t>Not identified</t>
        </is>
      </c>
      <c r="P31" s="4" t="inlineStr">
        <is>
          <t>Not published; phone only</t>
        </is>
      </c>
      <c r="Q31" s="4" t="inlineStr">
        <is>
          <t>048 984 3138 (sales)</t>
        </is>
      </c>
      <c r="R31" s="4" t="inlineStr">
        <is>
          <t>Not identified</t>
        </is>
      </c>
      <c r="S31" s="4" t="inlineStr">
        <is>
          <t>Company inquiry only (form)</t>
        </is>
      </c>
      <c r="T31" s="6">
        <f>SUM(Z31:AF31)</f>
        <v>21</v>
      </c>
      <c r="U31" s="7" t="inlineStr">
        <is>
          <t>V1</t>
        </is>
      </c>
      <c r="V31" s="4" t="inlineStr">
        <is>
          <t>Holds a vet analyser notification; small MAH that may welcome an extra vet line.</t>
        </is>
      </c>
      <c r="W31" s="4" t="inlineStr">
        <is>
          <t>Ask about MAH services and their dealer list.</t>
        </is>
      </c>
      <c r="X31" s="4" t="inlineStr">
        <is>
          <t>Not checked (human list not in v17)</t>
        </is>
      </c>
      <c r="Y31" s="4" t="inlineStr">
        <is>
          <t>https://www.vm.nval.go.jp/public/detail/18103</t>
        </is>
      </c>
      <c r="Z31" s="4" t="n">
        <v>5</v>
      </c>
      <c r="AA31" s="4" t="n">
        <v>1</v>
      </c>
      <c r="AB31" s="4" t="n">
        <v>5</v>
      </c>
      <c r="AC31" s="4" t="n">
        <v>3</v>
      </c>
      <c r="AD31" s="4" t="n">
        <v>1</v>
      </c>
      <c r="AE31" s="4" t="n">
        <v>3</v>
      </c>
      <c r="AF31" s="4" t="n">
        <v>3</v>
      </c>
      <c r="AG31" s="4" t="inlineStr">
        <is>
          <t>Evidence backed</t>
        </is>
      </c>
    </row>
    <row r="32" ht="75" customHeight="1">
      <c r="A32" s="4" t="n">
        <v>28</v>
      </c>
      <c r="B32" s="4" t="inlineStr">
        <is>
          <t>Frontier International Co., Ltd.</t>
        </is>
      </c>
      <c r="C32" s="4" t="inlineStr">
        <is>
          <t>株式会社フロンティアインターナショナル</t>
        </is>
      </c>
      <c r="D32" s="4" t="inlineStr">
        <is>
          <t>Not found (NTA lookup blocked; dedupe by Japanese name)</t>
        </is>
      </c>
      <c r="E32" s="4" t="inlineStr">
        <is>
          <t>Kanagawa</t>
        </is>
      </c>
      <c r="F32" s="4" t="inlineStr">
        <is>
          <t>Kanto</t>
        </is>
      </c>
      <c r="G32" s="5" t="inlineStr">
        <is>
          <t>https://frontier-intl.co.jp</t>
        </is>
      </c>
      <c r="H32" s="4" t="inlineStr">
        <is>
          <t>Livestock supplies; sells vet ultrasound to vets and zoos</t>
        </is>
      </c>
      <c r="I32" s="4" t="inlineStr">
        <is>
          <t>IMV imaging (Easi Scan Go, EXAPAD mini, EXAGO)</t>
        </is>
      </c>
      <c r="J32" s="4" t="inlineStr">
        <is>
          <t>Large animal</t>
        </is>
      </c>
      <c r="K32" s="4" t="inlineStr">
        <is>
          <t>National swine and cattle</t>
        </is>
      </c>
      <c r="L32" s="4" t="inlineStr">
        <is>
          <t>Not found</t>
        </is>
      </c>
      <c r="M32" s="4" t="inlineStr">
        <is>
          <t>n/a</t>
        </is>
      </c>
      <c r="N32" s="4" t="inlineStr">
        <is>
          <t>Not identified</t>
        </is>
      </c>
      <c r="O32" s="4" t="inlineStr">
        <is>
          <t>Not identified</t>
        </is>
      </c>
      <c r="P32" s="4" t="inlineStr">
        <is>
          <t>Not published; phone only</t>
        </is>
      </c>
      <c r="Q32" s="4" t="inlineStr">
        <is>
          <t>Not found (use site)</t>
        </is>
      </c>
      <c r="R32" s="4" t="inlineStr">
        <is>
          <t>Not identified</t>
        </is>
      </c>
      <c r="S32" s="4" t="inlineStr">
        <is>
          <t>Company inquiry only (form); HQ Kawasaki (Asao), Kanagawa</t>
        </is>
      </c>
      <c r="T32" s="6">
        <f>SUM(Z32:AF32)</f>
        <v>21</v>
      </c>
      <c r="U32" s="8" t="inlineStr">
        <is>
          <t>V2</t>
        </is>
      </c>
      <c r="V32" s="4" t="inlineStr">
        <is>
          <t>Sells bovine and swine ultrasound to vets; experienced in large animal imaging. FLAG: Carries IMV imaging ultrasound (brand conflict). HQ not confirmed; a same name Tokyo promotion firm is a different company.</t>
        </is>
      </c>
      <c r="W32" s="4" t="inlineStr">
        <is>
          <t>Second source for affordable livestock portables (EBit 50).</t>
        </is>
      </c>
      <c r="X32" s="4" t="inlineStr">
        <is>
          <t>Not checked (human list not in v17)</t>
        </is>
      </c>
      <c r="Y32" s="4" t="inlineStr">
        <is>
          <t>https://frontier-intl.co.jp/product/tyouonpasindankilist/</t>
        </is>
      </c>
      <c r="Z32" s="4" t="n">
        <v>3</v>
      </c>
      <c r="AA32" s="4" t="n">
        <v>5</v>
      </c>
      <c r="AB32" s="4" t="n">
        <v>2</v>
      </c>
      <c r="AC32" s="4" t="n">
        <v>1</v>
      </c>
      <c r="AD32" s="4" t="n">
        <v>5</v>
      </c>
      <c r="AE32" s="4" t="n">
        <v>2</v>
      </c>
      <c r="AF32" s="4" t="n">
        <v>3</v>
      </c>
      <c r="AG32" s="4" t="inlineStr">
        <is>
          <t>Evidence backed</t>
        </is>
      </c>
    </row>
    <row r="33" ht="75" customHeight="1">
      <c r="A33" s="4" t="n">
        <v>29</v>
      </c>
      <c r="B33" s="4" t="inlineStr">
        <is>
          <t>Nakanishi Inc. (Veterinary)</t>
        </is>
      </c>
      <c r="C33" s="4" t="inlineStr">
        <is>
          <t>株式会社ナカニシ</t>
        </is>
      </c>
      <c r="D33" s="4" t="inlineStr">
        <is>
          <t>Not found (NTA lookup blocked; dedupe by Japanese name)</t>
        </is>
      </c>
      <c r="E33" s="4" t="inlineStr">
        <is>
          <t>Tochigi</t>
        </is>
      </c>
      <c r="F33" s="4" t="inlineStr">
        <is>
          <t>Kanto</t>
        </is>
      </c>
      <c r="G33" s="4" t="inlineStr">
        <is>
          <t>Not found</t>
        </is>
      </c>
      <c r="H33" s="4" t="inlineStr">
        <is>
          <t>Dental devices maker; vet scaler line sold to animal hospitals</t>
        </is>
      </c>
      <c r="I33" s="4" t="inlineStr">
        <is>
          <t>Dental; no ultrasound imaging</t>
        </is>
      </c>
      <c r="J33" s="4" t="inlineStr">
        <is>
          <t>Companion</t>
        </is>
      </c>
      <c r="K33" s="4" t="inlineStr">
        <is>
          <t>National</t>
        </is>
      </c>
      <c r="L33" s="4" t="inlineStr">
        <is>
          <t>Listed company</t>
        </is>
      </c>
      <c r="M33" s="4" t="inlineStr">
        <is>
          <t>n/a</t>
        </is>
      </c>
      <c r="N33" s="4" t="inlineStr">
        <is>
          <t>Not identified</t>
        </is>
      </c>
      <c r="O33" s="4" t="inlineStr">
        <is>
          <t>Not identified</t>
        </is>
      </c>
      <c r="P33" s="4" t="inlineStr">
        <is>
          <t>Not published; phone only</t>
        </is>
      </c>
      <c r="Q33" s="4" t="inlineStr">
        <is>
          <t>Not found</t>
        </is>
      </c>
      <c r="R33" s="4" t="inlineStr">
        <is>
          <t>Not identified</t>
        </is>
      </c>
      <c r="S33" s="4" t="inlineStr">
        <is>
          <t>Unverified (no contact found in search)</t>
        </is>
      </c>
      <c r="T33" s="6">
        <f>SUM(Z33:AF33)</f>
        <v>21</v>
      </c>
      <c r="U33" s="7" t="inlineStr">
        <is>
          <t>V1</t>
        </is>
      </c>
      <c r="V33" s="4" t="inlineStr">
        <is>
          <t>Ranks among the top vet hospital device suppliers by AHHD; strong vet dental channel.</t>
        </is>
      </c>
      <c r="W33" s="4" t="inlineStr">
        <is>
          <t>Low probability distribution; channel intelligence.</t>
        </is>
      </c>
      <c r="X33" s="4" t="inlineStr">
        <is>
          <t>Not checked (human list not in v17)</t>
        </is>
      </c>
      <c r="Y33" s="4" t="inlineStr">
        <is>
          <t>https://ahhd.jp/I0000004 ; https://medical-space.co.jp/products/9158/</t>
        </is>
      </c>
      <c r="Z33" s="4" t="n">
        <v>4</v>
      </c>
      <c r="AA33" s="4" t="n">
        <v>1</v>
      </c>
      <c r="AB33" s="4" t="n">
        <v>5</v>
      </c>
      <c r="AC33" s="4" t="n">
        <v>4</v>
      </c>
      <c r="AD33" s="4" t="n">
        <v>1</v>
      </c>
      <c r="AE33" s="4" t="n">
        <v>4</v>
      </c>
      <c r="AF33" s="4" t="n">
        <v>2</v>
      </c>
      <c r="AG33" s="4" t="inlineStr">
        <is>
          <t>Evidence backed</t>
        </is>
      </c>
    </row>
    <row r="34" ht="75" customHeight="1">
      <c r="A34" s="4" t="n">
        <v>30</v>
      </c>
      <c r="B34" s="4" t="inlineStr">
        <is>
          <t>Osada Medical Co., Ltd.</t>
        </is>
      </c>
      <c r="C34" s="4" t="inlineStr">
        <is>
          <t>株式会社オサダメディカル</t>
        </is>
      </c>
      <c r="D34" s="4" t="inlineStr">
        <is>
          <t>Not found (NTA lookup blocked; dedupe by Japanese name)</t>
        </is>
      </c>
      <c r="E34" s="4" t="inlineStr">
        <is>
          <t>Tokyo</t>
        </is>
      </c>
      <c r="F34" s="4" t="inlineStr">
        <is>
          <t>Kanto</t>
        </is>
      </c>
      <c r="G34" s="4" t="inlineStr">
        <is>
          <t>Not found</t>
        </is>
      </c>
      <c r="H34" s="4" t="inlineStr">
        <is>
          <t>Vet bone surgery, laser, dental, handheld X ray, tables, sterilisers (JAMO member)</t>
        </is>
      </c>
      <c r="I34" s="4" t="inlineStr">
        <is>
          <t>No ultrasound</t>
        </is>
      </c>
      <c r="J34" s="4" t="inlineStr">
        <is>
          <t>Companion</t>
        </is>
      </c>
      <c r="K34" s="4" t="inlineStr">
        <is>
          <t>Shinagawa, Tokyo; national</t>
        </is>
      </c>
      <c r="L34" s="4" t="inlineStr">
        <is>
          <t>Not found</t>
        </is>
      </c>
      <c r="M34" s="4" t="inlineStr">
        <is>
          <t>n/a</t>
        </is>
      </c>
      <c r="N34" s="4" t="inlineStr">
        <is>
          <t>Not identified</t>
        </is>
      </c>
      <c r="O34" s="4" t="inlineStr">
        <is>
          <t>Not identified</t>
        </is>
      </c>
      <c r="P34" s="4" t="inlineStr">
        <is>
          <t>Not published; phone only</t>
        </is>
      </c>
      <c r="Q34" s="4" t="inlineStr">
        <is>
          <t>Not found</t>
        </is>
      </c>
      <c r="R34" s="4" t="inlineStr">
        <is>
          <t>Not identified</t>
        </is>
      </c>
      <c r="S34" s="4" t="inlineStr">
        <is>
          <t>Unverified (no contact found in search)</t>
        </is>
      </c>
      <c r="T34" s="6">
        <f>SUM(Z34:AF34)</f>
        <v>21</v>
      </c>
      <c r="U34" s="8" t="inlineStr">
        <is>
          <t>V2</t>
        </is>
      </c>
      <c r="V34" s="4" t="inlineStr">
        <is>
          <t>Broad vet equipment catalogue including handheld X ray; imaging adjacent with no ultrasound.</t>
        </is>
      </c>
      <c r="W34" s="4" t="inlineStr">
        <is>
          <t>Add a portable ultrasound to their handheld X ray offer.</t>
        </is>
      </c>
      <c r="X34" s="4" t="inlineStr">
        <is>
          <t>Not checked (human list not in v17)</t>
        </is>
      </c>
      <c r="Y34" s="4" t="inlineStr">
        <is>
          <t>https://www.jamo.or.jp/member/</t>
        </is>
      </c>
      <c r="Z34" s="4" t="n">
        <v>3</v>
      </c>
      <c r="AA34" s="4" t="n">
        <v>2</v>
      </c>
      <c r="AB34" s="4" t="n">
        <v>5</v>
      </c>
      <c r="AC34" s="4" t="n">
        <v>4</v>
      </c>
      <c r="AD34" s="4" t="n">
        <v>1</v>
      </c>
      <c r="AE34" s="4" t="n">
        <v>3</v>
      </c>
      <c r="AF34" s="4" t="n">
        <v>3</v>
      </c>
      <c r="AG34" s="4" t="inlineStr">
        <is>
          <t>Evidence backed</t>
        </is>
      </c>
    </row>
    <row r="35" ht="75" customHeight="1">
      <c r="A35" s="4" t="n">
        <v>31</v>
      </c>
      <c r="B35" s="4" t="inlineStr">
        <is>
          <t>Surge Miyawaki Co., Ltd.</t>
        </is>
      </c>
      <c r="C35" s="4" t="inlineStr">
        <is>
          <t>サージミヤワキ株式会社</t>
        </is>
      </c>
      <c r="D35" s="4" t="inlineStr">
        <is>
          <t>Not found (NTA lookup blocked; dedupe by Japanese name)</t>
        </is>
      </c>
      <c r="E35" s="4" t="inlineStr">
        <is>
          <t>Tokyo</t>
        </is>
      </c>
      <c r="F35" s="4" t="inlineStr">
        <is>
          <t>Kanto</t>
        </is>
      </c>
      <c r="G35" s="5" t="inlineStr">
        <is>
          <t>https://surge-m.co.jp</t>
        </is>
      </c>
      <c r="H35" s="4" t="inlineStr">
        <is>
          <t>Vet device MAH (NVAL: vet thermometer)</t>
        </is>
      </c>
      <c r="I35" s="4" t="inlineStr">
        <is>
          <t>Thermometers, livestock tools, electric fences; no ultrasound</t>
        </is>
      </c>
      <c r="J35" s="4" t="inlineStr">
        <is>
          <t>Both</t>
        </is>
      </c>
      <c r="K35" s="4" t="inlineStr">
        <is>
          <t>National via vet dealers</t>
        </is>
      </c>
      <c r="L35" s="4" t="inlineStr">
        <is>
          <t>Not found</t>
        </is>
      </c>
      <c r="M35" s="4" t="inlineStr">
        <is>
          <t>n/a</t>
        </is>
      </c>
      <c r="N35" s="4" t="inlineStr">
        <is>
          <t>Not identified</t>
        </is>
      </c>
      <c r="O35" s="4" t="inlineStr">
        <is>
          <t>Not identified</t>
        </is>
      </c>
      <c r="P35" s="4" t="inlineStr">
        <is>
          <t>Not published; inquiry form: https://surge-m.co.jp/home/inquiry/inquiry/</t>
        </is>
      </c>
      <c r="Q35" s="4" t="inlineStr">
        <is>
          <t>03 3449 3711</t>
        </is>
      </c>
      <c r="R35" s="4" t="inlineStr">
        <is>
          <t>Not identified</t>
        </is>
      </c>
      <c r="S35" s="4" t="inlineStr">
        <is>
          <t>Company inquiry only (form)</t>
        </is>
      </c>
      <c r="T35" s="6">
        <f>SUM(Z35:AF35)</f>
        <v>21</v>
      </c>
      <c r="U35" s="7" t="inlineStr">
        <is>
          <t>V1</t>
        </is>
      </c>
      <c r="V35" s="4" t="inlineStr">
        <is>
          <t>Listed as a Tokyo animal device wholesaler and holds a vet thermometer notification; livestock customer base.</t>
        </is>
      </c>
      <c r="W35" s="4" t="inlineStr">
        <is>
          <t>Ask whether they would carry or act as MAH for a complementary vet ultrasound line in their existing vet catalogue.</t>
        </is>
      </c>
      <c r="X35" s="4" t="inlineStr">
        <is>
          <t>Not checked (human list not in v17)</t>
        </is>
      </c>
      <c r="Y35" s="4" t="inlineStr">
        <is>
          <t>https://www.vm.nval.go.jp/public/detail/6752 ; https://baseconnect.in/companies/prefecture/a30ebdff-361b-42be-8372-1b0d350f48a0/keyword/c53ff370-90f7-45dc-a0ee-e22bda2cde5e ; https://surge-m.co.jp/home/inquiry/inquiry/</t>
        </is>
      </c>
      <c r="Z35" s="4" t="n">
        <v>5</v>
      </c>
      <c r="AA35" s="4" t="n">
        <v>1</v>
      </c>
      <c r="AB35" s="4" t="n">
        <v>5</v>
      </c>
      <c r="AC35" s="4" t="n">
        <v>3</v>
      </c>
      <c r="AD35" s="4" t="n">
        <v>1</v>
      </c>
      <c r="AE35" s="4" t="n">
        <v>3</v>
      </c>
      <c r="AF35" s="4" t="n">
        <v>3</v>
      </c>
      <c r="AG35" s="4" t="inlineStr">
        <is>
          <t>Evidence backed</t>
        </is>
      </c>
    </row>
    <row r="36" ht="75" customHeight="1">
      <c r="A36" s="4" t="n">
        <v>32</v>
      </c>
      <c r="B36" s="4" t="inlineStr">
        <is>
          <t>Terumo Corporation (Animal Health)</t>
        </is>
      </c>
      <c r="C36" s="4" t="inlineStr">
        <is>
          <t>テルモ株式会社</t>
        </is>
      </c>
      <c r="D36" s="4" t="inlineStr">
        <is>
          <t>Not found (NTA lookup blocked; dedupe by Japanese name)</t>
        </is>
      </c>
      <c r="E36" s="4" t="inlineStr">
        <is>
          <t>Tokyo</t>
        </is>
      </c>
      <c r="F36" s="4" t="inlineStr">
        <is>
          <t>Kanto</t>
        </is>
      </c>
      <c r="G36" s="4" t="inlineStr">
        <is>
          <t>Not found</t>
        </is>
      </c>
      <c r="H36" s="4" t="inlineStr">
        <is>
          <t>Human and vet device MAH; ranked first among device suppliers to animal hospitals (AHHD)</t>
        </is>
      </c>
      <c r="I36" s="4" t="inlineStr">
        <is>
          <t>Disposables; no vet ultrasound</t>
        </is>
      </c>
      <c r="J36" s="4" t="inlineStr">
        <is>
          <t>Companion</t>
        </is>
      </c>
      <c r="K36" s="4" t="inlineStr">
        <is>
          <t>National via vet dealers</t>
        </is>
      </c>
      <c r="L36" s="4" t="inlineStr">
        <is>
          <t>Not found</t>
        </is>
      </c>
      <c r="M36" s="4" t="inlineStr">
        <is>
          <t>n/a</t>
        </is>
      </c>
      <c r="N36" s="4" t="inlineStr">
        <is>
          <t>Not identified</t>
        </is>
      </c>
      <c r="O36" s="4" t="inlineStr">
        <is>
          <t>Not identified</t>
        </is>
      </c>
      <c r="P36" s="4" t="inlineStr">
        <is>
          <t>Not published; inquiry form: https://www.terumo.co.jp/inquiry</t>
        </is>
      </c>
      <c r="Q36" s="4" t="inlineStr">
        <is>
          <t>Not found</t>
        </is>
      </c>
      <c r="R36" s="4" t="inlineStr">
        <is>
          <t>Not identified</t>
        </is>
      </c>
      <c r="S36" s="4" t="inlineStr">
        <is>
          <t>Company inquiry only (form)</t>
        </is>
      </c>
      <c r="T36" s="6">
        <f>SUM(Z36:AF36)</f>
        <v>21</v>
      </c>
      <c r="U36" s="7" t="inlineStr">
        <is>
          <t>V1</t>
        </is>
      </c>
      <c r="V36" s="4" t="inlineStr">
        <is>
          <t>Largest supplier of devices to animal hospitals by AHHD ranking. FLAG: Very large; co marketing only.</t>
        </is>
      </c>
      <c r="W36" s="4" t="inlineStr">
        <is>
          <t>Ask whether they would carry or act as MAH for a complementary vet ultrasound line in their existing vet catalogue.</t>
        </is>
      </c>
      <c r="X36" s="4" t="inlineStr">
        <is>
          <t>Not checked (human list not in v17)</t>
        </is>
      </c>
      <c r="Y36" s="4" t="inlineStr">
        <is>
          <t>https://ahhd.jp/I0000004 ; https://www.terumo.co.jp/inquiry</t>
        </is>
      </c>
      <c r="Z36" s="4" t="n">
        <v>5</v>
      </c>
      <c r="AA36" s="4" t="n">
        <v>1</v>
      </c>
      <c r="AB36" s="4" t="n">
        <v>5</v>
      </c>
      <c r="AC36" s="4" t="n">
        <v>3</v>
      </c>
      <c r="AD36" s="4" t="n">
        <v>1</v>
      </c>
      <c r="AE36" s="4" t="n">
        <v>3</v>
      </c>
      <c r="AF36" s="4" t="n">
        <v>3</v>
      </c>
      <c r="AG36" s="4" t="inlineStr">
        <is>
          <t>Evidence backed</t>
        </is>
      </c>
    </row>
    <row r="37" ht="75" customHeight="1">
      <c r="A37" s="4" t="n">
        <v>33</v>
      </c>
      <c r="B37" s="4" t="inlineStr">
        <is>
          <t>Tokyo Iken Co., Ltd.</t>
        </is>
      </c>
      <c r="C37" s="4" t="inlineStr">
        <is>
          <t>東京医研株式会社</t>
        </is>
      </c>
      <c r="D37" s="4" t="inlineStr">
        <is>
          <t>Not found (NTA lookup blocked; dedupe by Japanese name)</t>
        </is>
      </c>
      <c r="E37" s="4" t="inlineStr">
        <is>
          <t>Tokyo</t>
        </is>
      </c>
      <c r="F37" s="4" t="inlineStr">
        <is>
          <t>Kanto</t>
        </is>
      </c>
      <c r="G37" s="5" t="inlineStr">
        <is>
          <t>https://www.tokyoiken.co.jp/</t>
        </is>
      </c>
      <c r="H37" s="4" t="inlineStr">
        <is>
          <t>Device maker; ranked seventh among device suppliers to animal hospitals (AHHD)</t>
        </is>
      </c>
      <c r="I37" s="4" t="inlineStr">
        <is>
          <t>Physiotherapy and laser; no ultrasound imaging</t>
        </is>
      </c>
      <c r="J37" s="4" t="inlineStr">
        <is>
          <t>Companion</t>
        </is>
      </c>
      <c r="K37" s="4" t="inlineStr">
        <is>
          <t>National via vet dealers</t>
        </is>
      </c>
      <c r="L37" s="4" t="inlineStr">
        <is>
          <t>Not found</t>
        </is>
      </c>
      <c r="M37" s="4" t="inlineStr">
        <is>
          <t>n/a</t>
        </is>
      </c>
      <c r="N37" s="4" t="inlineStr">
        <is>
          <t>Not identified</t>
        </is>
      </c>
      <c r="O37" s="4" t="inlineStr">
        <is>
          <t>Not identified</t>
        </is>
      </c>
      <c r="P37" s="4" t="inlineStr">
        <is>
          <t>Not published; inquiry form: https://www.tokyoiken.co.jp/contact/</t>
        </is>
      </c>
      <c r="Q37" s="4" t="inlineStr">
        <is>
          <t>042 318 8324 (sales)</t>
        </is>
      </c>
      <c r="R37" s="4" t="inlineStr">
        <is>
          <t>Not identified</t>
        </is>
      </c>
      <c r="S37" s="4" t="inlineStr">
        <is>
          <t>Company inquiry only (form); holds 第二種動物用医療機器製造販売業許可</t>
        </is>
      </c>
      <c r="T37" s="6">
        <f>SUM(Z37:AF37)</f>
        <v>21</v>
      </c>
      <c r="U37" s="7" t="inlineStr">
        <is>
          <t>V1</t>
        </is>
      </c>
      <c r="V37" s="4" t="inlineStr">
        <is>
          <t>Seventh ranked supplier to animal hospitals; carried by Munatex and Bond Japan.</t>
        </is>
      </c>
      <c r="W37" s="4" t="inlineStr">
        <is>
          <t>Ask whether they would carry or act as MAH for a complementary vet ultrasound line in their existing vet catalogue.</t>
        </is>
      </c>
      <c r="X37" s="4" t="inlineStr">
        <is>
          <t>Not checked (human list not in v17)</t>
        </is>
      </c>
      <c r="Y37" s="4" t="inlineStr">
        <is>
          <t>https://ahhd.jp/I0000004 ; https://www.munatex.co.jp/businessguide/ ; https://www.tokyoiken.co.jp/contact/</t>
        </is>
      </c>
      <c r="Z37" s="4" t="n">
        <v>5</v>
      </c>
      <c r="AA37" s="4" t="n">
        <v>1</v>
      </c>
      <c r="AB37" s="4" t="n">
        <v>5</v>
      </c>
      <c r="AC37" s="4" t="n">
        <v>3</v>
      </c>
      <c r="AD37" s="4" t="n">
        <v>1</v>
      </c>
      <c r="AE37" s="4" t="n">
        <v>3</v>
      </c>
      <c r="AF37" s="4" t="n">
        <v>3</v>
      </c>
      <c r="AG37" s="4" t="inlineStr">
        <is>
          <t>Evidence backed</t>
        </is>
      </c>
    </row>
    <row r="38" ht="75" customHeight="1">
      <c r="A38" s="4" t="n">
        <v>34</v>
      </c>
      <c r="B38" s="4" t="inlineStr">
        <is>
          <t>Yamada Medical Lighting Co., Ltd.</t>
        </is>
      </c>
      <c r="C38" s="4" t="inlineStr">
        <is>
          <t>山田医療照明株式会社</t>
        </is>
      </c>
      <c r="D38" s="4" t="inlineStr">
        <is>
          <t>Not found (NTA lookup blocked; dedupe by Japanese name)</t>
        </is>
      </c>
      <c r="E38" s="4" t="inlineStr">
        <is>
          <t>Tokyo</t>
        </is>
      </c>
      <c r="F38" s="4" t="inlineStr">
        <is>
          <t>Kanto</t>
        </is>
      </c>
      <c r="G38" s="5" t="inlineStr">
        <is>
          <t>https://www.skylux.co.jp/product/</t>
        </is>
      </c>
      <c r="H38" s="4" t="inlineStr">
        <is>
          <t>Surgical lights sold to animal hospitals via vet dealers</t>
        </is>
      </c>
      <c r="I38" s="4" t="inlineStr">
        <is>
          <t>Surgical lights; no ultrasound</t>
        </is>
      </c>
      <c r="J38" s="4" t="inlineStr">
        <is>
          <t>Companion</t>
        </is>
      </c>
      <c r="K38" s="4" t="inlineStr">
        <is>
          <t>National via vet dealers</t>
        </is>
      </c>
      <c r="L38" s="4" t="inlineStr">
        <is>
          <t>Not found</t>
        </is>
      </c>
      <c r="M38" s="4" t="inlineStr">
        <is>
          <t>n/a</t>
        </is>
      </c>
      <c r="N38" s="4" t="inlineStr">
        <is>
          <t>Not identified</t>
        </is>
      </c>
      <c r="O38" s="4" t="inlineStr">
        <is>
          <t>Not identified</t>
        </is>
      </c>
      <c r="P38" s="4" t="inlineStr">
        <is>
          <t>Not published; inquiry form: https://www.skylux.co.jp/contact/</t>
        </is>
      </c>
      <c r="Q38" s="4" t="inlineStr">
        <is>
          <t>03 5212 6021</t>
        </is>
      </c>
      <c r="R38" s="4" t="inlineStr">
        <is>
          <t>Not identified</t>
        </is>
      </c>
      <c r="S38" s="4" t="inlineStr">
        <is>
          <t>Company inquiry only (form)</t>
        </is>
      </c>
      <c r="T38" s="6">
        <f>SUM(Z38:AF38)</f>
        <v>21</v>
      </c>
      <c r="U38" s="7" t="inlineStr">
        <is>
          <t>V1</t>
        </is>
      </c>
      <c r="V38" s="4" t="inlineStr">
        <is>
          <t>Surgical light maker present in vet dealer catalogues. FLAG: Vet MAH status not confirmed.</t>
        </is>
      </c>
      <c r="W38" s="4" t="inlineStr">
        <is>
          <t>Ask whether they would carry or act as MAH for a complementary vet ultrasound line in their existing vet catalogue.</t>
        </is>
      </c>
      <c r="X38" s="4" t="inlineStr">
        <is>
          <t>Not checked (human list not in v17)</t>
        </is>
      </c>
      <c r="Y38" s="4" t="inlineStr">
        <is>
          <t>https://www.skylux.co.jp/product/ ; https://medical-space.co.jp/products/product/%E2%96%A0%E6%89%8B%E8%A1%93%E9%96%A2%E9%80%A3/%E6%89%8B%E8%A1%93%E7%84%A1%E5%BD%B1%E7%81%AF/ ; https://www.skylux.co.jp/contact/</t>
        </is>
      </c>
      <c r="Z38" s="4" t="n">
        <v>5</v>
      </c>
      <c r="AA38" s="4" t="n">
        <v>1</v>
      </c>
      <c r="AB38" s="4" t="n">
        <v>5</v>
      </c>
      <c r="AC38" s="4" t="n">
        <v>3</v>
      </c>
      <c r="AD38" s="4" t="n">
        <v>1</v>
      </c>
      <c r="AE38" s="4" t="n">
        <v>3</v>
      </c>
      <c r="AF38" s="4" t="n">
        <v>3</v>
      </c>
      <c r="AG38" s="4" t="inlineStr">
        <is>
          <t>Evidence backed</t>
        </is>
      </c>
    </row>
    <row r="39" ht="75" customHeight="1">
      <c r="A39" s="4" t="n">
        <v>35</v>
      </c>
      <c r="B39" s="4" t="inlineStr">
        <is>
          <t>Acoma Medical Industry Co., Ltd.</t>
        </is>
      </c>
      <c r="C39" s="4" t="inlineStr">
        <is>
          <t>アコマ医科工業株式会社</t>
        </is>
      </c>
      <c r="D39" s="4" t="inlineStr">
        <is>
          <t>Not found (NTA lookup blocked; dedupe by Japanese name)</t>
        </is>
      </c>
      <c r="E39" s="4" t="inlineStr">
        <is>
          <t>Tokyo</t>
        </is>
      </c>
      <c r="F39" s="4" t="inlineStr">
        <is>
          <t>Kanto</t>
        </is>
      </c>
      <c r="G39" s="5" t="inlineStr">
        <is>
          <t>https://www.acoma.com/</t>
        </is>
      </c>
      <c r="H39" s="4" t="inlineStr">
        <is>
          <t>Vet anaesthesia devices on market (Vetac 5); MAH status to confirm</t>
        </is>
      </c>
      <c r="I39" s="4" t="inlineStr">
        <is>
          <t>Own anaesthesia machines; no ultrasound</t>
        </is>
      </c>
      <c r="J39" s="4" t="inlineStr">
        <is>
          <t>Companion</t>
        </is>
      </c>
      <c r="K39" s="4" t="inlineStr">
        <is>
          <t>National via vet dealers</t>
        </is>
      </c>
      <c r="L39" s="4" t="inlineStr">
        <is>
          <t>Not found</t>
        </is>
      </c>
      <c r="M39" s="4" t="inlineStr">
        <is>
          <t>n/a</t>
        </is>
      </c>
      <c r="N39" s="4" t="inlineStr">
        <is>
          <t>Not identified</t>
        </is>
      </c>
      <c r="O39" s="4" t="inlineStr">
        <is>
          <t>Not identified</t>
        </is>
      </c>
      <c r="P39" s="4" t="inlineStr">
        <is>
          <t>Not published; inquiry form: https://www.acoma.com/support/support-list/</t>
        </is>
      </c>
      <c r="Q39" s="4" t="inlineStr">
        <is>
          <t>03 3811 4151</t>
        </is>
      </c>
      <c r="R39" s="4" t="inlineStr">
        <is>
          <t>Not identified</t>
        </is>
      </c>
      <c r="S39" s="4" t="inlineStr">
        <is>
          <t>Company inquiry only (form)</t>
        </is>
      </c>
      <c r="T39" s="6">
        <f>SUM(Z39:AF39)</f>
        <v>20</v>
      </c>
      <c r="U39" s="7" t="inlineStr">
        <is>
          <t>V1</t>
        </is>
      </c>
      <c r="V39" s="4" t="inlineStr">
        <is>
          <t>Domestic anaesthesia maker with a vet model sold through Munatex and Medical Space; complementary, unconflicted.</t>
        </is>
      </c>
      <c r="W39" s="4" t="inlineStr">
        <is>
          <t>Peri operative ultrasound for nerve blocks and vascular access alongside their anaesthesia line.</t>
        </is>
      </c>
      <c r="X39" s="4" t="inlineStr">
        <is>
          <t>Not checked (human list not in v17)</t>
        </is>
      </c>
      <c r="Y39" s="4" t="inlineStr">
        <is>
          <t>https://munatex.com/products/5863/ ; https://medical-space.co.jp/products-manufacturer/ ; https://www.acoma.com/support/support-list/</t>
        </is>
      </c>
      <c r="Z39" s="4" t="n">
        <v>4</v>
      </c>
      <c r="AA39" s="4" t="n">
        <v>1</v>
      </c>
      <c r="AB39" s="4" t="n">
        <v>5</v>
      </c>
      <c r="AC39" s="4" t="n">
        <v>4</v>
      </c>
      <c r="AD39" s="4" t="n">
        <v>1</v>
      </c>
      <c r="AE39" s="4" t="n">
        <v>3</v>
      </c>
      <c r="AF39" s="4" t="n">
        <v>2</v>
      </c>
      <c r="AG39" s="4" t="inlineStr">
        <is>
          <t>Evidence backed</t>
        </is>
      </c>
    </row>
    <row r="40" ht="75" customHeight="1">
      <c r="A40" s="4" t="n">
        <v>36</v>
      </c>
      <c r="B40" s="4" t="inlineStr">
        <is>
          <t>Sakai Medical</t>
        </is>
      </c>
      <c r="C40" s="4" t="inlineStr">
        <is>
          <t>サカイ・メディカル</t>
        </is>
      </c>
      <c r="D40" s="4" t="inlineStr">
        <is>
          <t>Not found (NTA lookup blocked; dedupe by Japanese name)</t>
        </is>
      </c>
      <c r="E40" s="4" t="inlineStr">
        <is>
          <t>Niigata</t>
        </is>
      </c>
      <c r="F40" s="4" t="inlineStr">
        <is>
          <t>Chubu</t>
        </is>
      </c>
      <c r="G40" s="5" t="inlineStr">
        <is>
          <t>https://sakai-me.com/</t>
        </is>
      </c>
      <c r="H40" s="4" t="inlineStr">
        <is>
          <t>Vet device sales and opening support</t>
        </is>
      </c>
      <c r="I40" s="4" t="inlineStr">
        <is>
          <t>Not identified</t>
        </is>
      </c>
      <c r="J40" s="4" t="inlineStr">
        <is>
          <t>Companion</t>
        </is>
      </c>
      <c r="K40" s="4" t="inlineStr">
        <is>
          <t>Niigata</t>
        </is>
      </c>
      <c r="L40" s="4" t="inlineStr">
        <is>
          <t>Not found</t>
        </is>
      </c>
      <c r="M40" s="4" t="inlineStr">
        <is>
          <t>n/a</t>
        </is>
      </c>
      <c r="N40" s="4" t="inlineStr">
        <is>
          <t>Not identified</t>
        </is>
      </c>
      <c r="O40" s="4" t="inlineStr">
        <is>
          <t>Not identified</t>
        </is>
      </c>
      <c r="P40" s="4" t="inlineStr">
        <is>
          <t>Not published; phone only</t>
        </is>
      </c>
      <c r="Q40" s="4" t="inlineStr">
        <is>
          <t>025 387 2144</t>
        </is>
      </c>
      <c r="R40" s="4" t="inlineStr">
        <is>
          <t>Not identified</t>
        </is>
      </c>
      <c r="S40" s="4" t="inlineStr">
        <is>
          <t>Company inquiry only (form)</t>
        </is>
      </c>
      <c r="T40" s="6">
        <f>SUM(Z40:AF40)</f>
        <v>20</v>
      </c>
      <c r="U40" s="8" t="inlineStr">
        <is>
          <t>V2</t>
        </is>
      </c>
      <c r="V40" s="4" t="inlineStr">
        <is>
          <t>One of very few vet dedicated dealers in Niigata and Hokuriku.</t>
        </is>
      </c>
      <c r="W40" s="4" t="inlineStr">
        <is>
          <t>Exclusive Niigata coverage offer with demo stock.</t>
        </is>
      </c>
      <c r="X40" s="4" t="inlineStr">
        <is>
          <t>Not checked (human list not in v17)</t>
        </is>
      </c>
      <c r="Y40" s="4" t="inlineStr">
        <is>
          <t>https://sakai-me.com/</t>
        </is>
      </c>
      <c r="Z40" s="4" t="n">
        <v>3</v>
      </c>
      <c r="AA40" s="4" t="n">
        <v>2</v>
      </c>
      <c r="AB40" s="4" t="n">
        <v>4</v>
      </c>
      <c r="AC40" s="4" t="n">
        <v>4</v>
      </c>
      <c r="AD40" s="4" t="n">
        <v>2</v>
      </c>
      <c r="AE40" s="4" t="n">
        <v>2</v>
      </c>
      <c r="AF40" s="4" t="n">
        <v>3</v>
      </c>
      <c r="AG40" s="4" t="inlineStr">
        <is>
          <t>Evidence backed</t>
        </is>
      </c>
    </row>
    <row r="41" ht="75" customHeight="1">
      <c r="A41" s="4" t="n">
        <v>37</v>
      </c>
      <c r="B41" s="4" t="inlineStr">
        <is>
          <t>Setagaya Seiki Co., Ltd.</t>
        </is>
      </c>
      <c r="C41" s="4" t="inlineStr">
        <is>
          <t>世田谷精機株式会社</t>
        </is>
      </c>
      <c r="D41" s="4" t="inlineStr">
        <is>
          <t>Not found (NTA lookup blocked; dedupe by Japanese name)</t>
        </is>
      </c>
      <c r="E41" s="4" t="inlineStr">
        <is>
          <t>Tokyo</t>
        </is>
      </c>
      <c r="F41" s="4" t="inlineStr">
        <is>
          <t>Kanto</t>
        </is>
      </c>
      <c r="G41" s="4" t="inlineStr">
        <is>
          <t>Not found</t>
        </is>
      </c>
      <c r="H41" s="4" t="inlineStr">
        <is>
          <t>Vet device MAH (NVAL: Butterfly hip plate system, succession 2014)</t>
        </is>
      </c>
      <c r="I41" s="4" t="inlineStr">
        <is>
          <t>Orthopaedic implants; no ultrasound</t>
        </is>
      </c>
      <c r="J41" s="4" t="inlineStr">
        <is>
          <t>Companion</t>
        </is>
      </c>
      <c r="K41" s="4" t="inlineStr">
        <is>
          <t>National</t>
        </is>
      </c>
      <c r="L41" s="4" t="inlineStr">
        <is>
          <t>Not found</t>
        </is>
      </c>
      <c r="M41" s="4" t="inlineStr">
        <is>
          <t>n/a</t>
        </is>
      </c>
      <c r="N41" s="4" t="inlineStr">
        <is>
          <t>Not identified</t>
        </is>
      </c>
      <c r="O41" s="4" t="inlineStr">
        <is>
          <t>Not identified</t>
        </is>
      </c>
      <c r="P41" s="4" t="inlineStr">
        <is>
          <t>Not published; phone only</t>
        </is>
      </c>
      <c r="Q41" s="4" t="inlineStr">
        <is>
          <t>Not found</t>
        </is>
      </c>
      <c r="R41" s="4" t="inlineStr">
        <is>
          <t>Not identified</t>
        </is>
      </c>
      <c r="S41" s="4" t="inlineStr">
        <is>
          <t>Unverified (no contact found in search)</t>
        </is>
      </c>
      <c r="T41" s="6">
        <f>SUM(Z41:AF41)</f>
        <v>20</v>
      </c>
      <c r="U41" s="7" t="inlineStr">
        <is>
          <t>V1</t>
        </is>
      </c>
      <c r="V41" s="4" t="inlineStr">
        <is>
          <t>Vet orthopaedic implant MAH with surgeon relationships; peri operative ultrasound fits.</t>
        </is>
      </c>
      <c r="W41" s="4" t="inlineStr">
        <is>
          <t>Musculoskeletal and peri operative linear probe demo.</t>
        </is>
      </c>
      <c r="X41" s="4" t="inlineStr">
        <is>
          <t>Not checked (human list not in v17)</t>
        </is>
      </c>
      <c r="Y41" s="4" t="inlineStr">
        <is>
          <t>https://www.vm.nval.go.jp/public/detail/11016</t>
        </is>
      </c>
      <c r="Z41" s="4" t="n">
        <v>5</v>
      </c>
      <c r="AA41" s="4" t="n">
        <v>1</v>
      </c>
      <c r="AB41" s="4" t="n">
        <v>5</v>
      </c>
      <c r="AC41" s="4" t="n">
        <v>3</v>
      </c>
      <c r="AD41" s="4" t="n">
        <v>1</v>
      </c>
      <c r="AE41" s="4" t="n">
        <v>2</v>
      </c>
      <c r="AF41" s="4" t="n">
        <v>3</v>
      </c>
      <c r="AG41" s="4" t="inlineStr">
        <is>
          <t>Evidence backed</t>
        </is>
      </c>
    </row>
    <row r="42" ht="75" customHeight="1">
      <c r="A42" s="4" t="n">
        <v>38</v>
      </c>
      <c r="B42" s="4" t="inlineStr">
        <is>
          <t>Shinmedico Co., Ltd.</t>
        </is>
      </c>
      <c r="C42" s="4" t="inlineStr">
        <is>
          <t>シンメディコ株式会社</t>
        </is>
      </c>
      <c r="D42" s="4" t="inlineStr">
        <is>
          <t>Not found (NTA lookup blocked; dedupe by Japanese name)</t>
        </is>
      </c>
      <c r="E42" s="4" t="inlineStr">
        <is>
          <t>Chiba</t>
        </is>
      </c>
      <c r="F42" s="4" t="inlineStr">
        <is>
          <t>Kanto</t>
        </is>
      </c>
      <c r="G42" s="5" t="inlineStr">
        <is>
          <t>https://shinmedico.jp/</t>
        </is>
      </c>
      <c r="H42" s="4" t="inlineStr">
        <is>
          <t>Imports and sells vet surgical instruments and devices</t>
        </is>
      </c>
      <c r="I42" s="4" t="inlineStr">
        <is>
          <t>Not identified</t>
        </is>
      </c>
      <c r="J42" s="4" t="inlineStr">
        <is>
          <t>Companion</t>
        </is>
      </c>
      <c r="K42" s="4" t="inlineStr">
        <is>
          <t>Chiba; national</t>
        </is>
      </c>
      <c r="L42" s="4" t="inlineStr">
        <is>
          <t>Not found</t>
        </is>
      </c>
      <c r="M42" s="4" t="inlineStr">
        <is>
          <t>n/a</t>
        </is>
      </c>
      <c r="N42" s="4" t="inlineStr">
        <is>
          <t>Not identified</t>
        </is>
      </c>
      <c r="O42" s="4" t="inlineStr">
        <is>
          <t>Not identified</t>
        </is>
      </c>
      <c r="P42" s="4" t="inlineStr">
        <is>
          <t>info@shinmedico.jp</t>
        </is>
      </c>
      <c r="Q42" s="4" t="inlineStr">
        <is>
          <t>047 369 7799</t>
        </is>
      </c>
      <c r="R42" s="4" t="inlineStr">
        <is>
          <t>Not identified</t>
        </is>
      </c>
      <c r="S42" s="4" t="inlineStr">
        <is>
          <t>Verified (published on own site, read via search)</t>
        </is>
      </c>
      <c r="T42" s="6">
        <f>SUM(Z42:AF42)</f>
        <v>20</v>
      </c>
      <c r="U42" s="8" t="inlineStr">
        <is>
          <t>V2</t>
        </is>
      </c>
      <c r="V42" s="4" t="inlineStr">
        <is>
          <t>Importer of vet surgical devices, so used to foreign makers and MAFF paperwork.</t>
        </is>
      </c>
      <c r="W42" s="4" t="inlineStr">
        <is>
          <t>Peri operative ultrasound as an imported add on line.</t>
        </is>
      </c>
      <c r="X42" s="4" t="inlineStr">
        <is>
          <t>Not checked (human list not in v17)</t>
        </is>
      </c>
      <c r="Y42" s="4" t="inlineStr">
        <is>
          <t>https://baseconnect.in/companies/prefecture/3420045f-8609-4232-9407-75407ae4e6e8/keyword/a68873de-8c54-4a2c-820f-e04c8b93064c ; https://shinmedico.jp/company/ ; https://shinmedico.jp/inquiry/</t>
        </is>
      </c>
      <c r="Z42" s="4" t="n">
        <v>3</v>
      </c>
      <c r="AA42" s="4" t="n">
        <v>1</v>
      </c>
      <c r="AB42" s="4" t="n">
        <v>5</v>
      </c>
      <c r="AC42" s="4" t="n">
        <v>4</v>
      </c>
      <c r="AD42" s="4" t="n">
        <v>1</v>
      </c>
      <c r="AE42" s="4" t="n">
        <v>2</v>
      </c>
      <c r="AF42" s="4" t="n">
        <v>4</v>
      </c>
      <c r="AG42" s="4" t="inlineStr">
        <is>
          <t>Evidence backed</t>
        </is>
      </c>
    </row>
    <row r="43" ht="75" customHeight="1">
      <c r="A43" s="4" t="n">
        <v>39</v>
      </c>
      <c r="B43" s="4" t="inlineStr">
        <is>
          <t>Taiyo Denshi Co., Ltd.</t>
        </is>
      </c>
      <c r="C43" s="4" t="inlineStr">
        <is>
          <t>太陽電子株式会社</t>
        </is>
      </c>
      <c r="D43" s="4" t="inlineStr">
        <is>
          <t>Not found (NTA lookup blocked; dedupe by Japanese name)</t>
        </is>
      </c>
      <c r="E43" s="4" t="inlineStr">
        <is>
          <t>Tokyo</t>
        </is>
      </c>
      <c r="F43" s="4" t="inlineStr">
        <is>
          <t>Kanto</t>
        </is>
      </c>
      <c r="G43" s="5" t="inlineStr">
        <is>
          <t>https://www.taiyo-denshi.com/</t>
        </is>
      </c>
      <c r="H43" s="4" t="inlineStr">
        <is>
          <t>Vet ICU maker (Altus series); JAMO member</t>
        </is>
      </c>
      <c r="I43" s="4" t="inlineStr">
        <is>
          <t>Own ICU; no ultrasound</t>
        </is>
      </c>
      <c r="J43" s="4" t="inlineStr">
        <is>
          <t>Companion</t>
        </is>
      </c>
      <c r="K43" s="4" t="inlineStr">
        <is>
          <t>Suginami, Tokyo; national</t>
        </is>
      </c>
      <c r="L43" s="4" t="inlineStr">
        <is>
          <t>Not found</t>
        </is>
      </c>
      <c r="M43" s="4" t="inlineStr">
        <is>
          <t>n/a</t>
        </is>
      </c>
      <c r="N43" s="4" t="inlineStr">
        <is>
          <t>Not identified</t>
        </is>
      </c>
      <c r="O43" s="4" t="inlineStr">
        <is>
          <t>Not identified</t>
        </is>
      </c>
      <c r="P43" s="4" t="inlineStr">
        <is>
          <t>Not published; inquiry form: https://www.taiyo-denshi.com/contents/category/contact/</t>
        </is>
      </c>
      <c r="Q43" s="4" t="inlineStr">
        <is>
          <t>03 3316 1848</t>
        </is>
      </c>
      <c r="R43" s="4" t="inlineStr">
        <is>
          <t>Not identified</t>
        </is>
      </c>
      <c r="S43" s="4" t="inlineStr">
        <is>
          <t>Company inquiry only (form); FLAG company registration closed (liquidation completed 4 Nov 2025 per gBizINFO)</t>
        </is>
      </c>
      <c r="T43" s="6">
        <f>SUM(Z43:AF43)</f>
        <v>20</v>
      </c>
      <c r="U43" s="7" t="inlineStr">
        <is>
          <t>V1</t>
        </is>
      </c>
      <c r="V43" s="4" t="inlineStr">
        <is>
          <t>Domestic vet ICU maker in the JAMO association; existing hospital relationships. FLAG: Some ICU models discontinued; confirm current activity.</t>
        </is>
      </c>
      <c r="W43" s="4" t="inlineStr">
        <is>
          <t>ICU bedside point of care ultrasound.</t>
        </is>
      </c>
      <c r="X43" s="4" t="inlineStr">
        <is>
          <t>Not checked (human list not in v17)</t>
        </is>
      </c>
      <c r="Y43" s="4" t="inlineStr">
        <is>
          <t>https://www.jamo.or.jp/member/ ; https://www.nashinoki-vet.com/column/2016/4017/ ; https://www.taiyo-denshi.com/contents/category/contact/</t>
        </is>
      </c>
      <c r="Z43" s="4" t="n">
        <v>4</v>
      </c>
      <c r="AA43" s="4" t="n">
        <v>1</v>
      </c>
      <c r="AB43" s="4" t="n">
        <v>5</v>
      </c>
      <c r="AC43" s="4" t="n">
        <v>3</v>
      </c>
      <c r="AD43" s="4" t="n">
        <v>1</v>
      </c>
      <c r="AE43" s="4" t="n">
        <v>3</v>
      </c>
      <c r="AF43" s="4" t="n">
        <v>3</v>
      </c>
      <c r="AG43" s="4" t="inlineStr">
        <is>
          <t>Evidence backed</t>
        </is>
      </c>
    </row>
    <row r="44" ht="75" customHeight="1">
      <c r="A44" s="4" t="n">
        <v>40</v>
      </c>
      <c r="B44" s="4" t="inlineStr">
        <is>
          <t>Asuka Medical Co., Ltd.</t>
        </is>
      </c>
      <c r="C44" s="4" t="inlineStr">
        <is>
          <t>飛鳥メディカル株式会社</t>
        </is>
      </c>
      <c r="D44" s="4" t="inlineStr">
        <is>
          <t>Not found (NTA lookup blocked; dedupe by Japanese name)</t>
        </is>
      </c>
      <c r="E44" s="4" t="inlineStr">
        <is>
          <t>Kyoto</t>
        </is>
      </c>
      <c r="F44" s="4" t="inlineStr">
        <is>
          <t>Kansai</t>
        </is>
      </c>
      <c r="G44" s="5" t="inlineStr">
        <is>
          <t>http://www.asuka-med.com</t>
        </is>
      </c>
      <c r="H44" s="4" t="inlineStr">
        <is>
          <t>Vet laser devices (JAMO member)</t>
        </is>
      </c>
      <c r="I44" s="4" t="inlineStr">
        <is>
          <t>Lasers; no ultrasound</t>
        </is>
      </c>
      <c r="J44" s="4" t="inlineStr">
        <is>
          <t>Both</t>
        </is>
      </c>
      <c r="K44" s="4" t="inlineStr">
        <is>
          <t>Kyoto; national</t>
        </is>
      </c>
      <c r="L44" s="4" t="inlineStr">
        <is>
          <t>Not found</t>
        </is>
      </c>
      <c r="M44" s="4" t="inlineStr">
        <is>
          <t>n/a</t>
        </is>
      </c>
      <c r="N44" s="4" t="inlineStr">
        <is>
          <t>Not identified</t>
        </is>
      </c>
      <c r="O44" s="4" t="inlineStr">
        <is>
          <t>Not identified</t>
        </is>
      </c>
      <c r="P44" s="4" t="inlineStr">
        <is>
          <t>Not published; phone only</t>
        </is>
      </c>
      <c r="Q44" s="4" t="inlineStr">
        <is>
          <t>075 777 6097</t>
        </is>
      </c>
      <c r="R44" s="4" t="inlineStr">
        <is>
          <t>Not identified</t>
        </is>
      </c>
      <c r="S44" s="4" t="inlineStr">
        <is>
          <t>Company inquiry only (form)</t>
        </is>
      </c>
      <c r="T44" s="6">
        <f>SUM(Z44:AF44)</f>
        <v>19</v>
      </c>
      <c r="U44" s="8" t="inlineStr">
        <is>
          <t>V2</t>
        </is>
      </c>
      <c r="V44" s="4" t="inlineStr">
        <is>
          <t>Laser maker and seller for small and large animals, sold through Medical Space; vet focused.</t>
        </is>
      </c>
      <c r="W44" s="4" t="inlineStr">
        <is>
          <t>Rehab and MSK: laser plus high frequency ultrasound.</t>
        </is>
      </c>
      <c r="X44" s="4" t="inlineStr">
        <is>
          <t>Not checked (human list not in v17)</t>
        </is>
      </c>
      <c r="Y44" s="4" t="inlineStr">
        <is>
          <t>https://www.jamo.or.jp/member/ ; https://medical-space.co.jp/products/manufacturer/%E9%A3%9B%E9%B3%A5%E3%83%A1%E3%83%87%E3%82%A3%E3%82%AB%E3%83%AB/</t>
        </is>
      </c>
      <c r="Z44" s="4" t="n">
        <v>3</v>
      </c>
      <c r="AA44" s="4" t="n">
        <v>1</v>
      </c>
      <c r="AB44" s="4" t="n">
        <v>5</v>
      </c>
      <c r="AC44" s="4" t="n">
        <v>3</v>
      </c>
      <c r="AD44" s="4" t="n">
        <v>2</v>
      </c>
      <c r="AE44" s="4" t="n">
        <v>2</v>
      </c>
      <c r="AF44" s="4" t="n">
        <v>3</v>
      </c>
      <c r="AG44" s="4" t="inlineStr">
        <is>
          <t>Evidence backed</t>
        </is>
      </c>
    </row>
    <row r="45" ht="75" customHeight="1">
      <c r="A45" s="4" t="n">
        <v>41</v>
      </c>
      <c r="B45" s="4" t="inlineStr">
        <is>
          <t>Atom Vets Medical Co., Ltd.</t>
        </is>
      </c>
      <c r="C45" s="4" t="inlineStr">
        <is>
          <t>株式会社アトムベッツメディカル</t>
        </is>
      </c>
      <c r="D45" s="4" t="inlineStr">
        <is>
          <t>Not found (NTA lookup blocked; dedupe by Japanese name)</t>
        </is>
      </c>
      <c r="E45" s="4" t="inlineStr">
        <is>
          <t>Kyoto</t>
        </is>
      </c>
      <c r="F45" s="4" t="inlineStr">
        <is>
          <t>Kansai</t>
        </is>
      </c>
      <c r="G45" s="4" t="inlineStr">
        <is>
          <t>Not found</t>
        </is>
      </c>
      <c r="H45" s="4" t="inlineStr">
        <is>
          <t>Vet device sales (JAMO member)</t>
        </is>
      </c>
      <c r="I45" s="4" t="inlineStr">
        <is>
          <t>Not identified</t>
        </is>
      </c>
      <c r="J45" s="4" t="inlineStr">
        <is>
          <t>Companion</t>
        </is>
      </c>
      <c r="K45" s="4" t="inlineStr">
        <is>
          <t>Kyoto, Kansai</t>
        </is>
      </c>
      <c r="L45" s="4" t="inlineStr">
        <is>
          <t>Not found</t>
        </is>
      </c>
      <c r="M45" s="4" t="inlineStr">
        <is>
          <t>n/a</t>
        </is>
      </c>
      <c r="N45" s="4" t="inlineStr">
        <is>
          <t>Not identified</t>
        </is>
      </c>
      <c r="O45" s="4" t="inlineStr">
        <is>
          <t>Not identified</t>
        </is>
      </c>
      <c r="P45" s="4" t="inlineStr">
        <is>
          <t>Not published; phone only</t>
        </is>
      </c>
      <c r="Q45" s="4" t="inlineStr">
        <is>
          <t>Not found</t>
        </is>
      </c>
      <c r="R45" s="4" t="inlineStr">
        <is>
          <t>Not identified</t>
        </is>
      </c>
      <c r="S45" s="4" t="inlineStr">
        <is>
          <t>Unverified (no contact found in search)</t>
        </is>
      </c>
      <c r="T45" s="6">
        <f>SUM(Z45:AF45)</f>
        <v>19</v>
      </c>
      <c r="U45" s="8" t="inlineStr">
        <is>
          <t>V2</t>
        </is>
      </c>
      <c r="V45" s="4" t="inlineStr">
        <is>
          <t>JAMO member whose business is introducing and selling devices to animal hospitals in Kyoto.</t>
        </is>
      </c>
      <c r="W45" s="4" t="inlineStr">
        <is>
          <t>Kansai partner for portable ultrasound with clinic demos.</t>
        </is>
      </c>
      <c r="X45" s="4" t="inlineStr">
        <is>
          <t>Not checked (human list not in v17)</t>
        </is>
      </c>
      <c r="Y45" s="4" t="inlineStr">
        <is>
          <t>https://www.jamo.or.jp/member/</t>
        </is>
      </c>
      <c r="Z45" s="4" t="n">
        <v>3</v>
      </c>
      <c r="AA45" s="4" t="n">
        <v>2</v>
      </c>
      <c r="AB45" s="4" t="n">
        <v>4</v>
      </c>
      <c r="AC45" s="4" t="n">
        <v>4</v>
      </c>
      <c r="AD45" s="4" t="n">
        <v>1</v>
      </c>
      <c r="AE45" s="4" t="n">
        <v>2</v>
      </c>
      <c r="AF45" s="4" t="n">
        <v>3</v>
      </c>
      <c r="AG45" s="4" t="inlineStr">
        <is>
          <t>Evidence backed</t>
        </is>
      </c>
    </row>
    <row r="46" ht="75" customHeight="1">
      <c r="A46" s="4" t="n">
        <v>42</v>
      </c>
      <c r="B46" s="4" t="inlineStr">
        <is>
          <t>Emar Ltd.</t>
        </is>
      </c>
      <c r="C46" s="4" t="inlineStr">
        <is>
          <t>エマール有限会社</t>
        </is>
      </c>
      <c r="D46" s="4" t="inlineStr">
        <is>
          <t>Not found (NTA lookup blocked; dedupe by Japanese name)</t>
        </is>
      </c>
      <c r="E46" s="4" t="inlineStr">
        <is>
          <t>Osaka</t>
        </is>
      </c>
      <c r="F46" s="4" t="inlineStr">
        <is>
          <t>Kansai</t>
        </is>
      </c>
      <c r="G46" s="4" t="inlineStr">
        <is>
          <t>Not found</t>
        </is>
      </c>
      <c r="H46" s="4" t="inlineStr">
        <is>
          <t>Vet device sales (listed under medical devices in JP PET NEWS industry map)</t>
        </is>
      </c>
      <c r="I46" s="4" t="inlineStr">
        <is>
          <t>Not identified</t>
        </is>
      </c>
      <c r="J46" s="4" t="inlineStr">
        <is>
          <t>Companion</t>
        </is>
      </c>
      <c r="K46" s="4" t="inlineStr">
        <is>
          <t>Toyonaka, Osaka</t>
        </is>
      </c>
      <c r="L46" s="4" t="inlineStr">
        <is>
          <t>Not found</t>
        </is>
      </c>
      <c r="M46" s="4" t="inlineStr">
        <is>
          <t>n/a</t>
        </is>
      </c>
      <c r="N46" s="4" t="inlineStr">
        <is>
          <t>Not identified</t>
        </is>
      </c>
      <c r="O46" s="4" t="inlineStr">
        <is>
          <t>Not identified</t>
        </is>
      </c>
      <c r="P46" s="4" t="inlineStr">
        <is>
          <t>Not published; phone only</t>
        </is>
      </c>
      <c r="Q46" s="4" t="inlineStr">
        <is>
          <t>06 6854 7607</t>
        </is>
      </c>
      <c r="R46" s="4" t="inlineStr">
        <is>
          <t>Not identified</t>
        </is>
      </c>
      <c r="S46" s="4" t="inlineStr">
        <is>
          <t>Company inquiry only (phone)</t>
        </is>
      </c>
      <c r="T46" s="6">
        <f>SUM(Z46:AF46)</f>
        <v>19</v>
      </c>
      <c r="U46" s="8" t="inlineStr">
        <is>
          <t>V2</t>
        </is>
      </c>
      <c r="V46" s="4" t="inlineStr">
        <is>
          <t>Osaka vet device company listed in the pet industry map; local coverage in north Osaka.</t>
        </is>
      </c>
      <c r="W46" s="4" t="inlineStr">
        <is>
          <t>Kansai sub dealer for SonoEye handhelds.</t>
        </is>
      </c>
      <c r="X46" s="4" t="inlineStr">
        <is>
          <t>Not checked (human list not in v17)</t>
        </is>
      </c>
      <c r="Y46" s="4" t="inlineStr">
        <is>
          <t>https://news.jprpet.com/company/list/175/</t>
        </is>
      </c>
      <c r="Z46" s="4" t="n">
        <v>3</v>
      </c>
      <c r="AA46" s="4" t="n">
        <v>2</v>
      </c>
      <c r="AB46" s="4" t="n">
        <v>4</v>
      </c>
      <c r="AC46" s="4" t="n">
        <v>4</v>
      </c>
      <c r="AD46" s="4" t="n">
        <v>1</v>
      </c>
      <c r="AE46" s="4" t="n">
        <v>2</v>
      </c>
      <c r="AF46" s="4" t="n">
        <v>3</v>
      </c>
      <c r="AG46" s="4" t="inlineStr">
        <is>
          <t>Evidence backed</t>
        </is>
      </c>
    </row>
    <row r="47" ht="75" customHeight="1">
      <c r="A47" s="4" t="n">
        <v>43</v>
      </c>
      <c r="B47" s="4" t="inlineStr">
        <is>
          <t>Flex Medical Co., Ltd.</t>
        </is>
      </c>
      <c r="C47" s="4" t="inlineStr">
        <is>
          <t>フレックスメディカル株式会社</t>
        </is>
      </c>
      <c r="D47" s="4" t="inlineStr">
        <is>
          <t>Not found (NTA lookup blocked; dedupe by Japanese name)</t>
        </is>
      </c>
      <c r="E47" s="4" t="inlineStr">
        <is>
          <t>Osaka</t>
        </is>
      </c>
      <c r="F47" s="4" t="inlineStr">
        <is>
          <t>Kansai</t>
        </is>
      </c>
      <c r="G47" s="5" t="inlineStr">
        <is>
          <t>https://www.flexmedical.jp/</t>
        </is>
      </c>
      <c r="H47" s="4" t="inlineStr">
        <is>
          <t>Medical instruments and equipment sales to animal hospitals (JAMO member)</t>
        </is>
      </c>
      <c r="I47" s="4" t="inlineStr">
        <is>
          <t>Not identified</t>
        </is>
      </c>
      <c r="J47" s="4" t="inlineStr">
        <is>
          <t>Companion</t>
        </is>
      </c>
      <c r="K47" s="4" t="inlineStr">
        <is>
          <t>Osaka</t>
        </is>
      </c>
      <c r="L47" s="4" t="inlineStr">
        <is>
          <t>Not found</t>
        </is>
      </c>
      <c r="M47" s="4" t="inlineStr">
        <is>
          <t>n/a</t>
        </is>
      </c>
      <c r="N47" s="4" t="inlineStr">
        <is>
          <t>Not identified</t>
        </is>
      </c>
      <c r="O47" s="4" t="inlineStr">
        <is>
          <t>Not identified</t>
        </is>
      </c>
      <c r="P47" s="4" t="inlineStr">
        <is>
          <t>Not published; inquiry form: https://www.flexmedical.jp/contact.html</t>
        </is>
      </c>
      <c r="Q47" s="4" t="inlineStr">
        <is>
          <t>06 6762 2678</t>
        </is>
      </c>
      <c r="R47" s="4" t="inlineStr">
        <is>
          <t>Not identified</t>
        </is>
      </c>
      <c r="S47" s="4" t="inlineStr">
        <is>
          <t>Company inquiry only (form)</t>
        </is>
      </c>
      <c r="T47" s="6">
        <f>SUM(Z47:AF47)</f>
        <v>19</v>
      </c>
      <c r="U47" s="8" t="inlineStr">
        <is>
          <t>V2</t>
        </is>
      </c>
      <c r="V47" s="4" t="inlineStr">
        <is>
          <t>Osaka trading company describing itself as an animal hospital equipment dealer.</t>
        </is>
      </c>
      <c r="W47" s="4" t="inlineStr">
        <is>
          <t>Kansai dealer trial with demo unit.</t>
        </is>
      </c>
      <c r="X47" s="4" t="inlineStr">
        <is>
          <t>Not checked (human list not in v17)</t>
        </is>
      </c>
      <c r="Y47" s="4" t="inlineStr">
        <is>
          <t>https://www.jamo.or.jp/member/ ; https://www.flexmedical.jp/contact.html</t>
        </is>
      </c>
      <c r="Z47" s="4" t="n">
        <v>3</v>
      </c>
      <c r="AA47" s="4" t="n">
        <v>2</v>
      </c>
      <c r="AB47" s="4" t="n">
        <v>4</v>
      </c>
      <c r="AC47" s="4" t="n">
        <v>4</v>
      </c>
      <c r="AD47" s="4" t="n">
        <v>1</v>
      </c>
      <c r="AE47" s="4" t="n">
        <v>2</v>
      </c>
      <c r="AF47" s="4" t="n">
        <v>3</v>
      </c>
      <c r="AG47" s="4" t="inlineStr">
        <is>
          <t>Evidence backed</t>
        </is>
      </c>
    </row>
    <row r="48" ht="75" customHeight="1">
      <c r="A48" s="4" t="n">
        <v>44</v>
      </c>
      <c r="B48" s="4" t="inlineStr">
        <is>
          <t>Kimura Med Co., Ltd.</t>
        </is>
      </c>
      <c r="C48" s="4" t="inlineStr">
        <is>
          <t>株式会社キムラメド</t>
        </is>
      </c>
      <c r="D48" s="4" t="inlineStr">
        <is>
          <t>Not found (NTA lookup blocked; dedupe by Japanese name)</t>
        </is>
      </c>
      <c r="E48" s="4" t="inlineStr">
        <is>
          <t>Tokyo</t>
        </is>
      </c>
      <c r="F48" s="4" t="inlineStr">
        <is>
          <t>Kanto</t>
        </is>
      </c>
      <c r="G48" s="5" t="inlineStr">
        <is>
          <t>https://www.kimuramed.jp/</t>
        </is>
      </c>
      <c r="H48" s="4" t="inlineStr">
        <is>
          <t>Vet devices on market (VentStar ventilator, now discontinued; O2 concentrators)</t>
        </is>
      </c>
      <c r="I48" s="4" t="inlineStr">
        <is>
          <t>Own; no ultrasound</t>
        </is>
      </c>
      <c r="J48" s="4" t="inlineStr">
        <is>
          <t>Companion</t>
        </is>
      </c>
      <c r="K48" s="4" t="inlineStr">
        <is>
          <t>National via vet dealers</t>
        </is>
      </c>
      <c r="L48" s="4" t="inlineStr">
        <is>
          <t>Not found</t>
        </is>
      </c>
      <c r="M48" s="4" t="inlineStr">
        <is>
          <t>n/a</t>
        </is>
      </c>
      <c r="N48" s="4" t="inlineStr">
        <is>
          <t>Not identified</t>
        </is>
      </c>
      <c r="O48" s="4" t="inlineStr">
        <is>
          <t>Not identified</t>
        </is>
      </c>
      <c r="P48" s="4" t="inlineStr">
        <is>
          <t>Not published; inquiry form: https://www.kimuramed.jp/contact/</t>
        </is>
      </c>
      <c r="Q48" s="4" t="inlineStr">
        <is>
          <t>03 5849 3192</t>
        </is>
      </c>
      <c r="R48" s="4" t="inlineStr">
        <is>
          <t>Not identified</t>
        </is>
      </c>
      <c r="S48" s="4" t="inlineStr">
        <is>
          <t>Company inquiry only (form)</t>
        </is>
      </c>
      <c r="T48" s="6">
        <f>SUM(Z48:AF48)</f>
        <v>19</v>
      </c>
      <c r="U48" s="7" t="inlineStr">
        <is>
          <t>V1</t>
        </is>
      </c>
      <c r="V48" s="4" t="inlineStr">
        <is>
          <t>Vet ICU and oxygen equipment supplier with an existing vet channel. FLAG: VentStar ventilator discontinued; confirm current vet activity.</t>
        </is>
      </c>
      <c r="W48" s="4" t="inlineStr">
        <is>
          <t>Complementary ICU line; ask about their dealer network.</t>
        </is>
      </c>
      <c r="X48" s="4" t="inlineStr">
        <is>
          <t>Not checked (human list not in v17)</t>
        </is>
      </c>
      <c r="Y48" s="4" t="inlineStr">
        <is>
          <t>https://medical-space.co.jp/products/2309/ ; https://www.kimuramed.jp/contact/</t>
        </is>
      </c>
      <c r="Z48" s="4" t="n">
        <v>4</v>
      </c>
      <c r="AA48" s="4" t="n">
        <v>1</v>
      </c>
      <c r="AB48" s="4" t="n">
        <v>5</v>
      </c>
      <c r="AC48" s="4" t="n">
        <v>3</v>
      </c>
      <c r="AD48" s="4" t="n">
        <v>1</v>
      </c>
      <c r="AE48" s="4" t="n">
        <v>3</v>
      </c>
      <c r="AF48" s="4" t="n">
        <v>2</v>
      </c>
      <c r="AG48" s="4" t="inlineStr">
        <is>
          <t>Evidence backed</t>
        </is>
      </c>
    </row>
    <row r="49" ht="75" customHeight="1">
      <c r="A49" s="4" t="n">
        <v>45</v>
      </c>
      <c r="B49" s="4" t="inlineStr">
        <is>
          <t>Kind Co., Ltd.</t>
        </is>
      </c>
      <c r="C49" s="4" t="inlineStr">
        <is>
          <t>株式会社カインド</t>
        </is>
      </c>
      <c r="D49" s="4" t="inlineStr">
        <is>
          <t>Not found (NTA lookup blocked; dedupe by Japanese name)</t>
        </is>
      </c>
      <c r="E49" s="4" t="inlineStr">
        <is>
          <t>Kanagawa</t>
        </is>
      </c>
      <c r="F49" s="4" t="inlineStr">
        <is>
          <t>Kanto</t>
        </is>
      </c>
      <c r="G49" s="5" t="inlineStr">
        <is>
          <t>https://kind-medical.co.jp/</t>
        </is>
      </c>
      <c r="H49" s="4" t="inlineStr">
        <is>
          <t>Vet devices and consumables sales</t>
        </is>
      </c>
      <c r="I49" s="4" t="inlineStr">
        <is>
          <t>Not identified</t>
        </is>
      </c>
      <c r="J49" s="4" t="inlineStr">
        <is>
          <t>Companion</t>
        </is>
      </c>
      <c r="K49" s="4" t="inlineStr">
        <is>
          <t>Yokohama (Tsuzuki)</t>
        </is>
      </c>
      <c r="L49" s="4" t="inlineStr">
        <is>
          <t>Not found</t>
        </is>
      </c>
      <c r="M49" s="4" t="inlineStr">
        <is>
          <t>n/a</t>
        </is>
      </c>
      <c r="N49" s="4" t="inlineStr">
        <is>
          <t>Not identified</t>
        </is>
      </c>
      <c r="O49" s="4" t="inlineStr">
        <is>
          <t>Not identified</t>
        </is>
      </c>
      <c r="P49" s="4" t="inlineStr">
        <is>
          <t>info@kind-medical.co.jp</t>
        </is>
      </c>
      <c r="Q49" s="4" t="inlineStr">
        <is>
          <t>045 548 9195</t>
        </is>
      </c>
      <c r="R49" s="4" t="inlineStr">
        <is>
          <t>Not identified</t>
        </is>
      </c>
      <c r="S49" s="4" t="inlineStr">
        <is>
          <t>Verified (published on own site, read via search)</t>
        </is>
      </c>
      <c r="T49" s="6">
        <f>SUM(Z49:AF49)</f>
        <v>19</v>
      </c>
      <c r="U49" s="8" t="inlineStr">
        <is>
          <t>V2</t>
        </is>
      </c>
      <c r="V49" s="4" t="inlineStr">
        <is>
          <t>Specialises in animal hospitals in Yokohama, from needles to large equipment, plus clinic opening support.</t>
        </is>
      </c>
      <c r="W49" s="4" t="inlineStr">
        <is>
          <t>Opening support bundle with portable ultrasound.</t>
        </is>
      </c>
      <c r="X49" s="4" t="inlineStr">
        <is>
          <t>Not checked (human list not in v17)</t>
        </is>
      </c>
      <c r="Y49" s="4" t="inlineStr">
        <is>
          <t>https://kind-medical.co.jp/ ; https://kind-medical.co.jp/company/ ; https://kind-medical.co.jp/contact/</t>
        </is>
      </c>
      <c r="Z49" s="4" t="n">
        <v>3</v>
      </c>
      <c r="AA49" s="4" t="n">
        <v>2</v>
      </c>
      <c r="AB49" s="4" t="n">
        <v>4</v>
      </c>
      <c r="AC49" s="4" t="n">
        <v>4</v>
      </c>
      <c r="AD49" s="4" t="n">
        <v>1</v>
      </c>
      <c r="AE49" s="4" t="n">
        <v>2</v>
      </c>
      <c r="AF49" s="4" t="n">
        <v>3</v>
      </c>
      <c r="AG49" s="4" t="inlineStr">
        <is>
          <t>Evidence backed</t>
        </is>
      </c>
    </row>
    <row r="50" ht="75" customHeight="1">
      <c r="A50" s="4" t="n">
        <v>46</v>
      </c>
      <c r="B50" s="4" t="inlineStr">
        <is>
          <t>M Cast Co., Ltd.</t>
        </is>
      </c>
      <c r="C50" s="4" t="inlineStr">
        <is>
          <t>エム・キャスト株式会社</t>
        </is>
      </c>
      <c r="D50" s="4" t="inlineStr">
        <is>
          <t>Not found (NTA lookup blocked; dedupe by Japanese name)</t>
        </is>
      </c>
      <c r="E50" s="4" t="inlineStr">
        <is>
          <t>Tokyo</t>
        </is>
      </c>
      <c r="F50" s="4" t="inlineStr">
        <is>
          <t>Kanto</t>
        </is>
      </c>
      <c r="G50" s="5" t="inlineStr">
        <is>
          <t>https://www.e-mcast.co.jp</t>
        </is>
      </c>
      <c r="H50" s="4" t="inlineStr">
        <is>
          <t>Used and new equipment; dedicated animal hospital category (Mitsubishi HC Capital group)</t>
        </is>
      </c>
      <c r="I50" s="4" t="inlineStr">
        <is>
          <t>Used multi brand incl. vet ultrasound</t>
        </is>
      </c>
      <c r="J50" s="4" t="inlineStr">
        <is>
          <t>Companion</t>
        </is>
      </c>
      <c r="K50" s="4" t="inlineStr">
        <is>
          <t>National</t>
        </is>
      </c>
      <c r="L50" s="4" t="inlineStr">
        <is>
          <t>Mitsubishi HC Capital group</t>
        </is>
      </c>
      <c r="M50" s="4" t="inlineStr">
        <is>
          <t>n/a</t>
        </is>
      </c>
      <c r="N50" s="4" t="inlineStr">
        <is>
          <t>Not identified</t>
        </is>
      </c>
      <c r="O50" s="4" t="inlineStr">
        <is>
          <t>Not identified</t>
        </is>
      </c>
      <c r="P50" s="4" t="inlineStr">
        <is>
          <t>info@e-mcast.co.jp</t>
        </is>
      </c>
      <c r="Q50" s="4" t="inlineStr">
        <is>
          <t>03 6675 9617</t>
        </is>
      </c>
      <c r="R50" s="4" t="inlineStr">
        <is>
          <t>Not identified</t>
        </is>
      </c>
      <c r="S50" s="4" t="inlineStr">
        <is>
          <t>Verified (published on own site, read via search)</t>
        </is>
      </c>
      <c r="T50" s="6">
        <f>SUM(Z50:AF50)</f>
        <v>19</v>
      </c>
      <c r="U50" s="8" t="inlineStr">
        <is>
          <t>V2</t>
        </is>
      </c>
      <c r="V50" s="4" t="inlineStr">
        <is>
          <t>Runs a dedicated animal hospital equipment section with ultrasound, X ray and CT, and leasing capability.</t>
        </is>
      </c>
      <c r="W50" s="4" t="inlineStr">
        <is>
          <t>Leasing friendly new units for clinic openings.</t>
        </is>
      </c>
      <c r="X50" s="4" t="inlineStr">
        <is>
          <t>Not checked (human list not in v17)</t>
        </is>
      </c>
      <c r="Y50" s="4" t="inlineStr">
        <is>
          <t>https://www.e-mcast.co.jp/shop/r/rdoubutsu/ ; https://www.e-mcast.co.jp/shop/secure/method_index.aspx</t>
        </is>
      </c>
      <c r="Z50" s="4" t="n">
        <v>2</v>
      </c>
      <c r="AA50" s="4" t="n">
        <v>4</v>
      </c>
      <c r="AB50" s="4" t="n">
        <v>3</v>
      </c>
      <c r="AC50" s="4" t="n">
        <v>3</v>
      </c>
      <c r="AD50" s="4" t="n">
        <v>1</v>
      </c>
      <c r="AE50" s="4" t="n">
        <v>3</v>
      </c>
      <c r="AF50" s="4" t="n">
        <v>3</v>
      </c>
      <c r="AG50" s="4" t="inlineStr">
        <is>
          <t>Evidence backed</t>
        </is>
      </c>
    </row>
    <row r="51" ht="75" customHeight="1">
      <c r="A51" s="4" t="n">
        <v>47</v>
      </c>
      <c r="B51" s="4" t="inlineStr">
        <is>
          <t>Marubun Corporation (Medical Device)</t>
        </is>
      </c>
      <c r="C51" s="4" t="inlineStr">
        <is>
          <t>丸文株式会社</t>
        </is>
      </c>
      <c r="D51" s="4" t="inlineStr">
        <is>
          <t>Not found (NTA lookup blocked; dedupe by Japanese name)</t>
        </is>
      </c>
      <c r="E51" s="4" t="inlineStr">
        <is>
          <t>Tokyo</t>
        </is>
      </c>
      <c r="F51" s="4" t="inlineStr">
        <is>
          <t>Kanto</t>
        </is>
      </c>
      <c r="G51" s="5" t="inlineStr">
        <is>
          <t>https://www.marubun.co.jp</t>
        </is>
      </c>
      <c r="H51" s="4" t="inlineStr">
        <is>
          <t>Sole Japan distributor for Clarius handheld ultrasound (human; foreign special approval)</t>
        </is>
      </c>
      <c r="I51" s="4" t="inlineStr">
        <is>
          <t>Clarius handheld (competing handheld)</t>
        </is>
      </c>
      <c r="J51" s="4" t="inlineStr">
        <is>
          <t>Companion</t>
        </is>
      </c>
      <c r="K51" s="4" t="inlineStr">
        <is>
          <t>National</t>
        </is>
      </c>
      <c r="L51" s="4" t="inlineStr">
        <is>
          <t>Listed electronics trading house</t>
        </is>
      </c>
      <c r="M51" s="4" t="inlineStr">
        <is>
          <t>n/a</t>
        </is>
      </c>
      <c r="N51" s="4" t="inlineStr">
        <is>
          <t>Not identified</t>
        </is>
      </c>
      <c r="O51" s="4" t="inlineStr">
        <is>
          <t>Not identified</t>
        </is>
      </c>
      <c r="P51" s="4" t="inlineStr">
        <is>
          <t>Not published; inquiry form: https://www.marubun.co.jp/products/51908/</t>
        </is>
      </c>
      <c r="Q51" s="4" t="inlineStr">
        <is>
          <t>Not found</t>
        </is>
      </c>
      <c r="R51" s="4" t="inlineStr">
        <is>
          <t>Not identified</t>
        </is>
      </c>
      <c r="S51" s="4" t="inlineStr">
        <is>
          <t>Company inquiry only (form)</t>
        </is>
      </c>
      <c r="T51" s="6">
        <f>SUM(Z51:AF51)</f>
        <v>19</v>
      </c>
      <c r="U51" s="7" t="inlineStr">
        <is>
          <t>V1</t>
        </is>
      </c>
      <c r="V51" s="4" t="inlineStr">
        <is>
          <t>Electronics trader that built an ultrasound business in 2024; Clarius has a vet range not yet launched in Japan via them. FLAG: Carries a competing handheld brand.</t>
        </is>
      </c>
      <c r="W51" s="4" t="inlineStr">
        <is>
          <t>Conflicted on handhelds; pitch carts or portables where Clarius has no product.</t>
        </is>
      </c>
      <c r="X51" s="4" t="inlineStr">
        <is>
          <t>Not checked (human list not in v17)</t>
        </is>
      </c>
      <c r="Y51" s="4" t="inlineStr">
        <is>
          <t>https://www.marubun.co.jp/info/2024/50370 ; https://clarius.com/?p=125094 ; https://www.marubun.co.jp/products/51908/</t>
        </is>
      </c>
      <c r="Z51" s="4" t="n">
        <v>4</v>
      </c>
      <c r="AA51" s="4" t="n">
        <v>4</v>
      </c>
      <c r="AB51" s="4" t="n">
        <v>2</v>
      </c>
      <c r="AC51" s="4" t="n">
        <v>2</v>
      </c>
      <c r="AD51" s="4" t="n">
        <v>1</v>
      </c>
      <c r="AE51" s="4" t="n">
        <v>3</v>
      </c>
      <c r="AF51" s="4" t="n">
        <v>3</v>
      </c>
      <c r="AG51" s="4" t="inlineStr">
        <is>
          <t>Evidence backed</t>
        </is>
      </c>
    </row>
    <row r="52" ht="75" customHeight="1">
      <c r="A52" s="4" t="n">
        <v>48</v>
      </c>
      <c r="B52" s="4" t="inlineStr">
        <is>
          <t>Meiyu Co., Ltd.</t>
        </is>
      </c>
      <c r="C52" s="4" t="inlineStr">
        <is>
          <t>株式会社名優</t>
        </is>
      </c>
      <c r="D52" s="4" t="inlineStr">
        <is>
          <t>Not found (NTA lookup blocked; dedupe by Japanese name)</t>
        </is>
      </c>
      <c r="E52" s="4" t="inlineStr">
        <is>
          <t>Chiba</t>
        </is>
      </c>
      <c r="F52" s="4" t="inlineStr">
        <is>
          <t>Kanto</t>
        </is>
      </c>
      <c r="G52" s="5" t="inlineStr">
        <is>
          <t>https://meilleur.co.jp/</t>
        </is>
      </c>
      <c r="H52" s="4" t="inlineStr">
        <is>
          <t>Imports unique EU and US devices; JAMO member</t>
        </is>
      </c>
      <c r="I52" s="4" t="inlineStr">
        <is>
          <t>Not identified</t>
        </is>
      </c>
      <c r="J52" s="4" t="inlineStr">
        <is>
          <t>Companion</t>
        </is>
      </c>
      <c r="K52" s="4" t="inlineStr">
        <is>
          <t>Yachiyo, Chiba</t>
        </is>
      </c>
      <c r="L52" s="4" t="inlineStr">
        <is>
          <t>Not found</t>
        </is>
      </c>
      <c r="M52" s="4" t="inlineStr">
        <is>
          <t>n/a</t>
        </is>
      </c>
      <c r="N52" s="4" t="inlineStr">
        <is>
          <t>Not identified</t>
        </is>
      </c>
      <c r="O52" s="4" t="inlineStr">
        <is>
          <t>Not identified</t>
        </is>
      </c>
      <c r="P52" s="4" t="inlineStr">
        <is>
          <t>Not published; inquiry form: https://meilleur.co.jp/contact/</t>
        </is>
      </c>
      <c r="Q52" s="4" t="inlineStr">
        <is>
          <t>047 480 6161</t>
        </is>
      </c>
      <c r="R52" s="4" t="inlineStr">
        <is>
          <t>Not identified</t>
        </is>
      </c>
      <c r="S52" s="4" t="inlineStr">
        <is>
          <t>Company inquiry only (form)</t>
        </is>
      </c>
      <c r="T52" s="6">
        <f>SUM(Z52:AF52)</f>
        <v>19</v>
      </c>
      <c r="U52" s="8" t="inlineStr">
        <is>
          <t>V2</t>
        </is>
      </c>
      <c r="V52" s="4" t="inlineStr">
        <is>
          <t>Importer in the vet device association, open to foreign brands.</t>
        </is>
      </c>
      <c r="W52" s="4" t="inlineStr">
        <is>
          <t>Introduce CHISON as an OEM grade portable.</t>
        </is>
      </c>
      <c r="X52" s="4" t="inlineStr">
        <is>
          <t>Not checked (human list not in v17)</t>
        </is>
      </c>
      <c r="Y52" s="4" t="inlineStr">
        <is>
          <t>https://www.jamo.or.jp/member/ ; https://meilleur.co.jp/contact/</t>
        </is>
      </c>
      <c r="Z52" s="4" t="n">
        <v>3</v>
      </c>
      <c r="AA52" s="4" t="n">
        <v>1</v>
      </c>
      <c r="AB52" s="4" t="n">
        <v>5</v>
      </c>
      <c r="AC52" s="4" t="n">
        <v>3</v>
      </c>
      <c r="AD52" s="4" t="n">
        <v>1</v>
      </c>
      <c r="AE52" s="4" t="n">
        <v>2</v>
      </c>
      <c r="AF52" s="4" t="n">
        <v>4</v>
      </c>
      <c r="AG52" s="4" t="inlineStr">
        <is>
          <t>Evidence backed</t>
        </is>
      </c>
    </row>
    <row r="53" ht="75" customHeight="1">
      <c r="A53" s="4" t="n">
        <v>49</v>
      </c>
      <c r="B53" s="4" t="inlineStr">
        <is>
          <t>Nihon Iryo Co., Ltd.</t>
        </is>
      </c>
      <c r="C53" s="4" t="inlineStr">
        <is>
          <t>日本医療株式会社</t>
        </is>
      </c>
      <c r="D53" s="4" t="inlineStr">
        <is>
          <t>Not found (NTA lookup blocked; dedupe by Japanese name)</t>
        </is>
      </c>
      <c r="E53" s="4" t="inlineStr">
        <is>
          <t>Tokyo</t>
        </is>
      </c>
      <c r="F53" s="4" t="inlineStr">
        <is>
          <t>Kanto</t>
        </is>
      </c>
      <c r="G53" s="5" t="inlineStr">
        <is>
          <t>http://www.nihoniryo.co.jp/</t>
        </is>
      </c>
      <c r="H53" s="4" t="inlineStr">
        <is>
          <t>Vet device sales (JP PET NEWS medical device category)</t>
        </is>
      </c>
      <c r="I53" s="4" t="inlineStr">
        <is>
          <t>Not identified</t>
        </is>
      </c>
      <c r="J53" s="4" t="inlineStr">
        <is>
          <t>Companion</t>
        </is>
      </c>
      <c r="K53" s="4" t="inlineStr">
        <is>
          <t>Setagaya, Tokyo</t>
        </is>
      </c>
      <c r="L53" s="4" t="inlineStr">
        <is>
          <t>Not found</t>
        </is>
      </c>
      <c r="M53" s="4" t="inlineStr">
        <is>
          <t>n/a</t>
        </is>
      </c>
      <c r="N53" s="4" t="inlineStr">
        <is>
          <t>Not identified</t>
        </is>
      </c>
      <c r="O53" s="4" t="inlineStr">
        <is>
          <t>Not identified</t>
        </is>
      </c>
      <c r="P53" s="4" t="inlineStr">
        <is>
          <t>Not published; phone only</t>
        </is>
      </c>
      <c r="Q53" s="4" t="inlineStr">
        <is>
          <t>03 3416 7511</t>
        </is>
      </c>
      <c r="R53" s="4" t="inlineStr">
        <is>
          <t>Not identified</t>
        </is>
      </c>
      <c r="S53" s="4" t="inlineStr">
        <is>
          <t>Company inquiry only (phone)</t>
        </is>
      </c>
      <c r="T53" s="6">
        <f>SUM(Z53:AF53)</f>
        <v>19</v>
      </c>
      <c r="U53" s="8" t="inlineStr">
        <is>
          <t>V2</t>
        </is>
      </c>
      <c r="V53" s="4" t="inlineStr">
        <is>
          <t>Tokyo vet device company in the pet industry map; Setagaya is dense in animal hospitals.</t>
        </is>
      </c>
      <c r="W53" s="4" t="inlineStr">
        <is>
          <t>Tokyo west sub dealer.</t>
        </is>
      </c>
      <c r="X53" s="4" t="inlineStr">
        <is>
          <t>Not checked (human list not in v17)</t>
        </is>
      </c>
      <c r="Y53" s="4" t="inlineStr">
        <is>
          <t>https://news.jprpet.com/company/list/175/</t>
        </is>
      </c>
      <c r="Z53" s="4" t="n">
        <v>3</v>
      </c>
      <c r="AA53" s="4" t="n">
        <v>2</v>
      </c>
      <c r="AB53" s="4" t="n">
        <v>4</v>
      </c>
      <c r="AC53" s="4" t="n">
        <v>4</v>
      </c>
      <c r="AD53" s="4" t="n">
        <v>1</v>
      </c>
      <c r="AE53" s="4" t="n">
        <v>2</v>
      </c>
      <c r="AF53" s="4" t="n">
        <v>3</v>
      </c>
      <c r="AG53" s="4" t="inlineStr">
        <is>
          <t>Evidence backed</t>
        </is>
      </c>
    </row>
    <row r="54" ht="75" customHeight="1">
      <c r="A54" s="4" t="n">
        <v>50</v>
      </c>
      <c r="B54" s="4" t="inlineStr">
        <is>
          <t>Sophiatech Co., Ltd.</t>
        </is>
      </c>
      <c r="C54" s="4" t="inlineStr">
        <is>
          <t>株式会社ソフィアテック</t>
        </is>
      </c>
      <c r="D54" s="4" t="inlineStr">
        <is>
          <t>Not found (NTA lookup blocked; dedupe by Japanese name)</t>
        </is>
      </c>
      <c r="E54" s="4" t="inlineStr">
        <is>
          <t>Tokyo</t>
        </is>
      </c>
      <c r="F54" s="4" t="inlineStr">
        <is>
          <t>Kanto</t>
        </is>
      </c>
      <c r="G54" s="5" t="inlineStr">
        <is>
          <t>https://www.sophiatech.co.jp</t>
        </is>
      </c>
      <c r="H54" s="4" t="inlineStr">
        <is>
          <t>Vet titanium screw and plate approvals shown on site</t>
        </is>
      </c>
      <c r="I54" s="4" t="inlineStr">
        <is>
          <t>Orthopaedic implants; no ultrasound</t>
        </is>
      </c>
      <c r="J54" s="4" t="inlineStr">
        <is>
          <t>Companion</t>
        </is>
      </c>
      <c r="K54" s="4" t="inlineStr">
        <is>
          <t>National</t>
        </is>
      </c>
      <c r="L54" s="4" t="inlineStr">
        <is>
          <t>Not found</t>
        </is>
      </c>
      <c r="M54" s="4" t="inlineStr">
        <is>
          <t>n/a</t>
        </is>
      </c>
      <c r="N54" s="4" t="inlineStr">
        <is>
          <t>Not identified</t>
        </is>
      </c>
      <c r="O54" s="4" t="inlineStr">
        <is>
          <t>Not identified</t>
        </is>
      </c>
      <c r="P54" s="4" t="inlineStr">
        <is>
          <t>Not published; inquiry form: https://www.sophiatech.co.jp/</t>
        </is>
      </c>
      <c r="Q54" s="4" t="inlineStr">
        <is>
          <t>042 736 3903</t>
        </is>
      </c>
      <c r="R54" s="4" t="inlineStr">
        <is>
          <t>Not identified</t>
        </is>
      </c>
      <c r="S54" s="4" t="inlineStr">
        <is>
          <t>Company inquiry only (form); operated by 株式会社プラトンジャパン ソフィアテック事業部 (Machida, Tokyo)</t>
        </is>
      </c>
      <c r="T54" s="6">
        <f>SUM(Z54:AF54)</f>
        <v>19</v>
      </c>
      <c r="U54" s="7" t="inlineStr">
        <is>
          <t>V1</t>
        </is>
      </c>
      <c r="V54" s="4" t="inlineStr">
        <is>
          <t>Holds vet orthopaedic approvals, so understands MAFF filings; orthopaedic surgeons are ultrasound buyers for MSK work. FLAG: HQ prefecture not confirmed.</t>
        </is>
      </c>
      <c r="W54" s="4" t="inlineStr">
        <is>
          <t>SonoEye P5 high frequency linear for MSK and peri operative use.</t>
        </is>
      </c>
      <c r="X54" s="4" t="inlineStr">
        <is>
          <t>Not checked (human list not in v17)</t>
        </is>
      </c>
      <c r="Y54" s="4" t="inlineStr">
        <is>
          <t>https://www.sophiatech.co.jp/orthppedic-implants?lightbox=image9xt ; https://www.sophiatech.co.jp/</t>
        </is>
      </c>
      <c r="Z54" s="4" t="n">
        <v>4</v>
      </c>
      <c r="AA54" s="4" t="n">
        <v>1</v>
      </c>
      <c r="AB54" s="4" t="n">
        <v>5</v>
      </c>
      <c r="AC54" s="4" t="n">
        <v>3</v>
      </c>
      <c r="AD54" s="4" t="n">
        <v>1</v>
      </c>
      <c r="AE54" s="4" t="n">
        <v>2</v>
      </c>
      <c r="AF54" s="4" t="n">
        <v>3</v>
      </c>
      <c r="AG54" s="4" t="inlineStr">
        <is>
          <t>Evidence backed</t>
        </is>
      </c>
    </row>
    <row r="55" ht="75" customHeight="1">
      <c r="A55" s="4" t="n">
        <v>51</v>
      </c>
      <c r="B55" s="4" t="inlineStr">
        <is>
          <t>Vet Partners Co., Ltd.</t>
        </is>
      </c>
      <c r="C55" s="4" t="inlineStr">
        <is>
          <t>株式会社ベットパートナーズ</t>
        </is>
      </c>
      <c r="D55" s="4" t="inlineStr">
        <is>
          <t>Not found (NTA lookup blocked; dedupe by Japanese name)</t>
        </is>
      </c>
      <c r="E55" s="4" t="inlineStr">
        <is>
          <t>Tokyo</t>
        </is>
      </c>
      <c r="F55" s="4" t="inlineStr">
        <is>
          <t>Kanto</t>
        </is>
      </c>
      <c r="G55" s="5" t="inlineStr">
        <is>
          <t>https://www.vetpartners.co.jp/</t>
        </is>
      </c>
      <c r="H55" s="4" t="inlineStr">
        <is>
          <t>Device and software sales to animal hospitals (job ad)</t>
        </is>
      </c>
      <c r="I55" s="4" t="inlineStr">
        <is>
          <t>Not identified</t>
        </is>
      </c>
      <c r="J55" s="4" t="inlineStr">
        <is>
          <t>Companion</t>
        </is>
      </c>
      <c r="K55" s="4" t="inlineStr">
        <is>
          <t>Nagareyama, Chiba</t>
        </is>
      </c>
      <c r="L55" s="4" t="inlineStr">
        <is>
          <t>Not found</t>
        </is>
      </c>
      <c r="M55" s="4" t="inlineStr">
        <is>
          <t>n/a</t>
        </is>
      </c>
      <c r="N55" s="4" t="inlineStr">
        <is>
          <t>Not identified</t>
        </is>
      </c>
      <c r="O55" s="4" t="inlineStr">
        <is>
          <t>Not identified</t>
        </is>
      </c>
      <c r="P55" s="4" t="inlineStr">
        <is>
          <t>Not published; inquiry form: https://www.vetpartners.co.jp/contact/</t>
        </is>
      </c>
      <c r="Q55" s="4" t="inlineStr">
        <is>
          <t>03 6673 4135</t>
        </is>
      </c>
      <c r="R55" s="4" t="inlineStr">
        <is>
          <t>Not identified</t>
        </is>
      </c>
      <c r="S55" s="4" t="inlineStr">
        <is>
          <t>Company inquiry only (form)</t>
        </is>
      </c>
      <c r="T55" s="6">
        <f>SUM(Z55:AF55)</f>
        <v>19</v>
      </c>
      <c r="U55" s="8" t="inlineStr">
        <is>
          <t>V2</t>
        </is>
      </c>
      <c r="V55" s="4" t="inlineStr">
        <is>
          <t>Hiring sales staff to sell devices and software to animal hospitals, signalling expansion.</t>
        </is>
      </c>
      <c r="W55" s="4" t="inlineStr">
        <is>
          <t>Growth line: portable ultrasound.</t>
        </is>
      </c>
      <c r="X55" s="4" t="inlineStr">
        <is>
          <t>Not checked (human list not in v17)</t>
        </is>
      </c>
      <c r="Y55" s="4" t="inlineStr">
        <is>
          <t>https://www.rdsupport-tenshoku.jp/search/JOB40843 ; https://www.vetpartners.co.jp/ ; https://www.vetpartners.co.jp/contact/</t>
        </is>
      </c>
      <c r="Z55" s="4" t="n">
        <v>3</v>
      </c>
      <c r="AA55" s="4" t="n">
        <v>2</v>
      </c>
      <c r="AB55" s="4" t="n">
        <v>4</v>
      </c>
      <c r="AC55" s="4" t="n">
        <v>4</v>
      </c>
      <c r="AD55" s="4" t="n">
        <v>1</v>
      </c>
      <c r="AE55" s="4" t="n">
        <v>2</v>
      </c>
      <c r="AF55" s="4" t="n">
        <v>3</v>
      </c>
      <c r="AG55" s="4" t="inlineStr">
        <is>
          <t>Evidence backed</t>
        </is>
      </c>
    </row>
    <row r="56" ht="75" customHeight="1">
      <c r="A56" s="4" t="n">
        <v>52</v>
      </c>
      <c r="B56" s="4" t="inlineStr">
        <is>
          <t>Animal Pharmacy</t>
        </is>
      </c>
      <c r="C56" s="4" t="inlineStr">
        <is>
          <t>アニマルファーマシー</t>
        </is>
      </c>
      <c r="D56" s="4" t="inlineStr">
        <is>
          <t>Not found (NTA lookup blocked; dedupe by Japanese name)</t>
        </is>
      </c>
      <c r="E56" s="4" t="inlineStr">
        <is>
          <t>Kanagawa</t>
        </is>
      </c>
      <c r="F56" s="4" t="inlineStr">
        <is>
          <t>Kanto</t>
        </is>
      </c>
      <c r="G56" s="5" t="inlineStr">
        <is>
          <t>https://www.animalpharmacy.jp/</t>
        </is>
      </c>
      <c r="H56" s="4" t="inlineStr">
        <is>
          <t>Import agency for vets' personal imports of drugs and devices</t>
        </is>
      </c>
      <c r="I56" s="4" t="inlineStr">
        <is>
          <t>Not identified</t>
        </is>
      </c>
      <c r="J56" s="4" t="inlineStr">
        <is>
          <t>Companion</t>
        </is>
      </c>
      <c r="K56" s="4" t="inlineStr">
        <is>
          <t>National online</t>
        </is>
      </c>
      <c r="L56" s="4" t="inlineStr">
        <is>
          <t>Not found</t>
        </is>
      </c>
      <c r="M56" s="4" t="inlineStr">
        <is>
          <t>n/a</t>
        </is>
      </c>
      <c r="N56" s="4" t="inlineStr">
        <is>
          <t>Not identified</t>
        </is>
      </c>
      <c r="O56" s="4" t="inlineStr">
        <is>
          <t>Not identified</t>
        </is>
      </c>
      <c r="P56" s="4" t="inlineStr">
        <is>
          <t>Not published; inquiry form: https://www.animalpharmacy.jp/contact/</t>
        </is>
      </c>
      <c r="Q56" s="4" t="inlineStr">
        <is>
          <t>045 900 9719</t>
        </is>
      </c>
      <c r="R56" s="4" t="inlineStr">
        <is>
          <t>Not identified</t>
        </is>
      </c>
      <c r="S56" s="4" t="inlineStr">
        <is>
          <t>Company inquiry only (form); operator Animal Pharmacy 合同会社, Yokohama</t>
        </is>
      </c>
      <c r="T56" s="6">
        <f>SUM(Z56:AF56)</f>
        <v>18</v>
      </c>
      <c r="U56" s="8" t="inlineStr">
        <is>
          <t>V2</t>
        </is>
      </c>
      <c r="V56" s="4" t="inlineStr">
        <is>
          <t>Specialist in getting foreign vet products to Japanese vets. FLAG: Personal import agency, not a full distributor.</t>
        </is>
      </c>
      <c r="W56" s="4" t="inlineStr">
        <is>
          <t>Interim route for KOL evaluation units only.</t>
        </is>
      </c>
      <c r="X56" s="4" t="inlineStr">
        <is>
          <t>Not checked (human list not in v17)</t>
        </is>
      </c>
      <c r="Y56" s="4" t="inlineStr">
        <is>
          <t>https://www.animalpharmacy.jp/ ; https://www.animalpharmacy.jp/contact/</t>
        </is>
      </c>
      <c r="Z56" s="4" t="n">
        <v>2</v>
      </c>
      <c r="AA56" s="4" t="n">
        <v>1</v>
      </c>
      <c r="AB56" s="4" t="n">
        <v>5</v>
      </c>
      <c r="AC56" s="4" t="n">
        <v>3</v>
      </c>
      <c r="AD56" s="4" t="n">
        <v>1</v>
      </c>
      <c r="AE56" s="4" t="n">
        <v>1</v>
      </c>
      <c r="AF56" s="4" t="n">
        <v>5</v>
      </c>
      <c r="AG56" s="4" t="inlineStr">
        <is>
          <t>Evidence backed</t>
        </is>
      </c>
    </row>
    <row r="57" ht="75" customHeight="1">
      <c r="A57" s="4" t="n">
        <v>53</v>
      </c>
      <c r="B57" s="4" t="inlineStr">
        <is>
          <t>Arrows Healthcare Co., Ltd.</t>
        </is>
      </c>
      <c r="C57" s="4" t="inlineStr">
        <is>
          <t>株式会社アローズヘルスケア</t>
        </is>
      </c>
      <c r="D57" s="4" t="inlineStr">
        <is>
          <t>Not found (NTA lookup blocked; dedupe by Japanese name)</t>
        </is>
      </c>
      <c r="E57" s="4" t="inlineStr">
        <is>
          <t>Tokyo</t>
        </is>
      </c>
      <c r="F57" s="4" t="inlineStr">
        <is>
          <t>Kanto</t>
        </is>
      </c>
      <c r="G57" s="5" t="inlineStr">
        <is>
          <t>https://arrows-healthcare.com</t>
        </is>
      </c>
      <c r="H57" s="4" t="inlineStr">
        <is>
          <t>Used medical equipment; lists vet ultrasound with 3 probes</t>
        </is>
      </c>
      <c r="I57" s="4" t="inlineStr">
        <is>
          <t>Used multi brand</t>
        </is>
      </c>
      <c r="J57" s="4" t="inlineStr">
        <is>
          <t>Companion</t>
        </is>
      </c>
      <c r="K57" s="4" t="inlineStr">
        <is>
          <t>National</t>
        </is>
      </c>
      <c r="L57" s="4" t="inlineStr">
        <is>
          <t>Not found</t>
        </is>
      </c>
      <c r="M57" s="4" t="inlineStr">
        <is>
          <t>n/a</t>
        </is>
      </c>
      <c r="N57" s="4" t="inlineStr">
        <is>
          <t>Not identified</t>
        </is>
      </c>
      <c r="O57" s="4" t="inlineStr">
        <is>
          <t>Not identified</t>
        </is>
      </c>
      <c r="P57" s="4" t="inlineStr">
        <is>
          <t>Not published; inquiry form: https://arrows-healthcare.com/inquiry</t>
        </is>
      </c>
      <c r="Q57" s="4" t="inlineStr">
        <is>
          <t>03 6658 4170</t>
        </is>
      </c>
      <c r="R57" s="4" t="inlineStr">
        <is>
          <t>Not identified</t>
        </is>
      </c>
      <c r="S57" s="4" t="inlineStr">
        <is>
          <t>Company inquiry only (form)</t>
        </is>
      </c>
      <c r="T57" s="6">
        <f>SUM(Z57:AF57)</f>
        <v>18</v>
      </c>
      <c r="U57" s="8" t="inlineStr">
        <is>
          <t>V2</t>
        </is>
      </c>
      <c r="V57" s="4" t="inlineStr">
        <is>
          <t>Used equipment dealer actively listing vet ultrasound; reaches price sensitive clinics.</t>
        </is>
      </c>
      <c r="W57" s="4" t="inlineStr">
        <is>
          <t>New entry tier units against used stock.</t>
        </is>
      </c>
      <c r="X57" s="4" t="inlineStr">
        <is>
          <t>Not checked (human list not in v17)</t>
        </is>
      </c>
      <c r="Y57" s="4" t="inlineStr">
        <is>
          <t>https://arrows-healthcare.com/product/product_list?ccd=1017 ; https://2ndlabo.com/M530/ ; https://arrows-healthcare.com/inquiry</t>
        </is>
      </c>
      <c r="Z57" s="4" t="n">
        <v>2</v>
      </c>
      <c r="AA57" s="4" t="n">
        <v>4</v>
      </c>
      <c r="AB57" s="4" t="n">
        <v>3</v>
      </c>
      <c r="AC57" s="4" t="n">
        <v>3</v>
      </c>
      <c r="AD57" s="4" t="n">
        <v>1</v>
      </c>
      <c r="AE57" s="4" t="n">
        <v>2</v>
      </c>
      <c r="AF57" s="4" t="n">
        <v>3</v>
      </c>
      <c r="AG57" s="4" t="inlineStr">
        <is>
          <t>Evidence backed</t>
        </is>
      </c>
    </row>
    <row r="58" ht="75" customHeight="1">
      <c r="A58" s="4" t="n">
        <v>54</v>
      </c>
      <c r="B58" s="4" t="inlineStr">
        <is>
          <t>Cycloop Co., Ltd.</t>
        </is>
      </c>
      <c r="C58" s="4" t="inlineStr">
        <is>
          <t>サイクループ株式会社</t>
        </is>
      </c>
      <c r="D58" s="4" t="inlineStr">
        <is>
          <t>Not found (NTA lookup blocked; dedupe by Japanese name)</t>
        </is>
      </c>
      <c r="E58" s="4" t="inlineStr">
        <is>
          <t>Osaka</t>
        </is>
      </c>
      <c r="F58" s="4" t="inlineStr">
        <is>
          <t>Kansai</t>
        </is>
      </c>
      <c r="G58" s="4" t="inlineStr">
        <is>
          <t>Not found</t>
        </is>
      </c>
      <c r="H58" s="4" t="inlineStr">
        <is>
          <t>Animal device wholesale (Baseconnect category)</t>
        </is>
      </c>
      <c r="I58" s="4" t="inlineStr">
        <is>
          <t>Not identified</t>
        </is>
      </c>
      <c r="J58" s="4" t="inlineStr">
        <is>
          <t>Companion</t>
        </is>
      </c>
      <c r="K58" s="4" t="inlineStr">
        <is>
          <t>Osaka</t>
        </is>
      </c>
      <c r="L58" s="4" t="inlineStr">
        <is>
          <t>Not found</t>
        </is>
      </c>
      <c r="M58" s="4" t="inlineStr">
        <is>
          <t>n/a</t>
        </is>
      </c>
      <c r="N58" s="4" t="inlineStr">
        <is>
          <t>Not identified</t>
        </is>
      </c>
      <c r="O58" s="4" t="inlineStr">
        <is>
          <t>Not identified</t>
        </is>
      </c>
      <c r="P58" s="4" t="inlineStr">
        <is>
          <t>contact@cycloop.jp</t>
        </is>
      </c>
      <c r="Q58" s="4" t="inlineStr">
        <is>
          <t>03 5946 8521</t>
        </is>
      </c>
      <c r="R58" s="4" t="inlineStr">
        <is>
          <t>Not identified</t>
        </is>
      </c>
      <c r="S58" s="4" t="inlineStr">
        <is>
          <t>Verified (published on own site, read via search); FLAG business now mainly e bike subscriptions, vet device activity not current</t>
        </is>
      </c>
      <c r="T58" s="6">
        <f>SUM(Z58:AF58)</f>
        <v>17</v>
      </c>
      <c r="U58" s="8" t="inlineStr">
        <is>
          <t>V2</t>
        </is>
      </c>
      <c r="V58" s="4" t="inlineStr">
        <is>
          <t>Listed as an Osaka animal device wholesaler. FLAG: Also sells wastewater equipment; vet depth unclear.</t>
        </is>
      </c>
      <c r="W58" s="4" t="inlineStr">
        <is>
          <t>Qualify by phone; possible Kansai sub dealer.</t>
        </is>
      </c>
      <c r="X58" s="4" t="inlineStr">
        <is>
          <t>Not checked (human list not in v17)</t>
        </is>
      </c>
      <c r="Y58" s="4" t="inlineStr">
        <is>
          <t>https://baseconnect.in/companies/prefecture/d80b180e-5fd9-4082-8cdc-a510179a3475/keyword/c53ff370-90f7-45dc-a0ee-e22bda2cde5e ; https://cycloop.co.jp/about/</t>
        </is>
      </c>
      <c r="Z58" s="4" t="n">
        <v>3</v>
      </c>
      <c r="AA58" s="4" t="n">
        <v>1</v>
      </c>
      <c r="AB58" s="4" t="n">
        <v>4</v>
      </c>
      <c r="AC58" s="4" t="n">
        <v>3</v>
      </c>
      <c r="AD58" s="4" t="n">
        <v>1</v>
      </c>
      <c r="AE58" s="4" t="n">
        <v>2</v>
      </c>
      <c r="AF58" s="4" t="n">
        <v>3</v>
      </c>
      <c r="AG58" s="4" t="inlineStr">
        <is>
          <t>Evidence backed</t>
        </is>
      </c>
    </row>
    <row r="59" ht="75" customHeight="1">
      <c r="A59" s="4" t="n">
        <v>55</v>
      </c>
      <c r="B59" s="4" t="inlineStr">
        <is>
          <t>QIX Inc.</t>
        </is>
      </c>
      <c r="C59" s="4" t="inlineStr">
        <is>
          <t>株式会社QIX</t>
        </is>
      </c>
      <c r="D59" s="4" t="inlineStr">
        <is>
          <t>Not found (NTA lookup blocked; dedupe by Japanese name)</t>
        </is>
      </c>
      <c r="E59" s="4" t="inlineStr">
        <is>
          <t>Tokyo</t>
        </is>
      </c>
      <c r="F59" s="4" t="inlineStr">
        <is>
          <t>Kanto</t>
        </is>
      </c>
      <c r="G59" s="5" t="inlineStr">
        <is>
          <t>https://www.qix.co.jp</t>
        </is>
      </c>
      <c r="H59" s="4" t="inlineStr">
        <is>
          <t>Vet products maker and seller; clinic management support (no device licence confirmed)</t>
        </is>
      </c>
      <c r="I59" s="4" t="inlineStr">
        <is>
          <t>Supplements, skin care; no ultrasound</t>
        </is>
      </c>
      <c r="J59" s="4" t="inlineStr">
        <is>
          <t>Companion</t>
        </is>
      </c>
      <c r="K59" s="4" t="inlineStr">
        <is>
          <t>Machida, Tokyo; national vet hospital base</t>
        </is>
      </c>
      <c r="L59" s="4" t="inlineStr">
        <is>
          <t>Founded 2009</t>
        </is>
      </c>
      <c r="M59" s="4" t="inlineStr">
        <is>
          <t>n/a</t>
        </is>
      </c>
      <c r="N59" s="4" t="inlineStr">
        <is>
          <t>Not identified</t>
        </is>
      </c>
      <c r="O59" s="4" t="inlineStr">
        <is>
          <t>Not identified</t>
        </is>
      </c>
      <c r="P59" s="4" t="inlineStr">
        <is>
          <t>info@qix.co.jp</t>
        </is>
      </c>
      <c r="Q59" s="4" t="inlineStr">
        <is>
          <t>042 860 7462</t>
        </is>
      </c>
      <c r="R59" s="4" t="inlineStr">
        <is>
          <t>Not identified</t>
        </is>
      </c>
      <c r="S59" s="4" t="inlineStr">
        <is>
          <t>Verified (published on own site, read via search)</t>
        </is>
      </c>
      <c r="T59" s="6">
        <f>SUM(Z59:AF59)</f>
        <v>17</v>
      </c>
      <c r="U59" s="8" t="inlineStr">
        <is>
          <t>V2</t>
        </is>
      </c>
      <c r="V59" s="4" t="inlineStr">
        <is>
          <t>Vet only company selling products, education and management support to animal hospitals; exhibits at JSVAS with luncheon seminars and partnered with Benesse on hospital support. FLAG: Device sales licence not confirmed.</t>
        </is>
      </c>
      <c r="W59" s="4" t="inlineStr">
        <is>
          <t>Education partnership: ultrasound wet labs within their vet seminar programme.</t>
        </is>
      </c>
      <c r="X59" s="4" t="inlineStr">
        <is>
          <t>Not checked (human list not in v17)</t>
        </is>
      </c>
      <c r="Y59" s="4" t="inlineStr">
        <is>
          <t>https://www.qix.co.jp/news/322 ; https://www.value-press.com/pressrelease/289075 ; https://www.qix.co.jp/law/</t>
        </is>
      </c>
      <c r="Z59" s="4" t="n">
        <v>2</v>
      </c>
      <c r="AA59" s="4" t="n">
        <v>1</v>
      </c>
      <c r="AB59" s="4" t="n">
        <v>5</v>
      </c>
      <c r="AC59" s="4" t="n">
        <v>4</v>
      </c>
      <c r="AD59" s="4" t="n">
        <v>1</v>
      </c>
      <c r="AE59" s="4" t="n">
        <v>1</v>
      </c>
      <c r="AF59" s="4" t="n">
        <v>3</v>
      </c>
      <c r="AG59" s="4" t="inlineStr">
        <is>
          <t>Evidence backed</t>
        </is>
      </c>
    </row>
    <row r="60" ht="75" customHeight="1">
      <c r="A60" s="4" t="n">
        <v>56</v>
      </c>
      <c r="B60" s="4" t="inlineStr">
        <is>
          <t>Telcom Co., Ltd.</t>
        </is>
      </c>
      <c r="C60" s="4" t="inlineStr">
        <is>
          <t>テルコム株式会社</t>
        </is>
      </c>
      <c r="D60" s="4" t="inlineStr">
        <is>
          <t>Not found (NTA lookup blocked; dedupe by Japanese name)</t>
        </is>
      </c>
      <c r="E60" s="4" t="inlineStr">
        <is>
          <t>Kanagawa</t>
        </is>
      </c>
      <c r="F60" s="4" t="inlineStr">
        <is>
          <t>Kanto</t>
        </is>
      </c>
      <c r="G60" s="5" t="inlineStr">
        <is>
          <t>https://www.terucom.co.jp/</t>
        </is>
      </c>
      <c r="H60" s="4" t="inlineStr">
        <is>
          <t>Vet device business (JAMO member)</t>
        </is>
      </c>
      <c r="I60" s="4" t="inlineStr">
        <is>
          <t>Not identified</t>
        </is>
      </c>
      <c r="J60" s="4" t="inlineStr">
        <is>
          <t>Companion</t>
        </is>
      </c>
      <c r="K60" s="4" t="inlineStr">
        <is>
          <t>Yokohama; national</t>
        </is>
      </c>
      <c r="L60" s="4" t="inlineStr">
        <is>
          <t>Not found</t>
        </is>
      </c>
      <c r="M60" s="4" t="inlineStr">
        <is>
          <t>n/a</t>
        </is>
      </c>
      <c r="N60" s="4" t="inlineStr">
        <is>
          <t>Not identified</t>
        </is>
      </c>
      <c r="O60" s="4" t="inlineStr">
        <is>
          <t>Not identified</t>
        </is>
      </c>
      <c r="P60" s="4" t="inlineStr">
        <is>
          <t>terucom_info@terucom.co.jp</t>
        </is>
      </c>
      <c r="Q60" s="4" t="inlineStr">
        <is>
          <t>045 947 2904</t>
        </is>
      </c>
      <c r="R60" s="4" t="inlineStr">
        <is>
          <t>Not identified</t>
        </is>
      </c>
      <c r="S60" s="4" t="inlineStr">
        <is>
          <t>Verified (published on own site, read via search); maker of pet oxygen houses</t>
        </is>
      </c>
      <c r="T60" s="6">
        <f>SUM(Z60:AF60)</f>
        <v>17</v>
      </c>
      <c r="U60" s="8" t="inlineStr">
        <is>
          <t>V2</t>
        </is>
      </c>
      <c r="V60" s="4" t="inlineStr">
        <is>
          <t>Yokohama member of the vet device association JAMO. FLAG: Product focus not confirmed.</t>
        </is>
      </c>
      <c r="W60" s="4" t="inlineStr">
        <is>
          <t>Qualify product focus; possible Kanagawa sub dealer.</t>
        </is>
      </c>
      <c r="X60" s="4" t="inlineStr">
        <is>
          <t>Not checked (human list not in v17)</t>
        </is>
      </c>
      <c r="Y60" s="4" t="inlineStr">
        <is>
          <t>https://www.jamo.or.jp/member/ ; https://www.terucom.co.jp/company/outline/</t>
        </is>
      </c>
      <c r="Z60" s="4" t="n">
        <v>3</v>
      </c>
      <c r="AA60" s="4" t="n">
        <v>1</v>
      </c>
      <c r="AB60" s="4" t="n">
        <v>4</v>
      </c>
      <c r="AC60" s="4" t="n">
        <v>3</v>
      </c>
      <c r="AD60" s="4" t="n">
        <v>1</v>
      </c>
      <c r="AE60" s="4" t="n">
        <v>2</v>
      </c>
      <c r="AF60" s="4" t="n">
        <v>3</v>
      </c>
      <c r="AG60" s="4" t="inlineStr">
        <is>
          <t>Evidence backed</t>
        </is>
      </c>
    </row>
  </sheetData>
  <autoFilter ref="A4:AG60"/>
  <mergeCells count="1">
    <mergeCell ref="A2:L2"/>
  </mergeCells>
  <hyperlinks>
    <hyperlink xmlns:r="http://schemas.openxmlformats.org/officeDocument/2006/relationships" ref="G5" r:id="rId1"/>
    <hyperlink xmlns:r="http://schemas.openxmlformats.org/officeDocument/2006/relationships" ref="Y5" r:id="rId2"/>
    <hyperlink xmlns:r="http://schemas.openxmlformats.org/officeDocument/2006/relationships" ref="G6" r:id="rId3"/>
    <hyperlink xmlns:r="http://schemas.openxmlformats.org/officeDocument/2006/relationships" ref="Y6" r:id="rId4"/>
    <hyperlink xmlns:r="http://schemas.openxmlformats.org/officeDocument/2006/relationships" ref="G7" r:id="rId5"/>
    <hyperlink xmlns:r="http://schemas.openxmlformats.org/officeDocument/2006/relationships" ref="Y7" r:id="rId6"/>
    <hyperlink xmlns:r="http://schemas.openxmlformats.org/officeDocument/2006/relationships" ref="G8" r:id="rId7"/>
    <hyperlink xmlns:r="http://schemas.openxmlformats.org/officeDocument/2006/relationships" ref="Y8" r:id="rId8"/>
    <hyperlink xmlns:r="http://schemas.openxmlformats.org/officeDocument/2006/relationships" ref="G9" r:id="rId9"/>
    <hyperlink xmlns:r="http://schemas.openxmlformats.org/officeDocument/2006/relationships" ref="Y9" r:id="rId10"/>
    <hyperlink xmlns:r="http://schemas.openxmlformats.org/officeDocument/2006/relationships" ref="G10" r:id="rId11"/>
    <hyperlink xmlns:r="http://schemas.openxmlformats.org/officeDocument/2006/relationships" ref="Y10" r:id="rId12"/>
    <hyperlink xmlns:r="http://schemas.openxmlformats.org/officeDocument/2006/relationships" ref="G11" r:id="rId13"/>
    <hyperlink xmlns:r="http://schemas.openxmlformats.org/officeDocument/2006/relationships" ref="Y11" r:id="rId14"/>
    <hyperlink xmlns:r="http://schemas.openxmlformats.org/officeDocument/2006/relationships" ref="Y12" r:id="rId15"/>
    <hyperlink xmlns:r="http://schemas.openxmlformats.org/officeDocument/2006/relationships" ref="Y13" r:id="rId16"/>
    <hyperlink xmlns:r="http://schemas.openxmlformats.org/officeDocument/2006/relationships" ref="G14" r:id="rId17"/>
    <hyperlink xmlns:r="http://schemas.openxmlformats.org/officeDocument/2006/relationships" ref="Y14" r:id="rId18"/>
    <hyperlink xmlns:r="http://schemas.openxmlformats.org/officeDocument/2006/relationships" ref="Y15" r:id="rId19"/>
    <hyperlink xmlns:r="http://schemas.openxmlformats.org/officeDocument/2006/relationships" ref="G16" r:id="rId20"/>
    <hyperlink xmlns:r="http://schemas.openxmlformats.org/officeDocument/2006/relationships" ref="Y16" r:id="rId21"/>
    <hyperlink xmlns:r="http://schemas.openxmlformats.org/officeDocument/2006/relationships" ref="G17" r:id="rId22"/>
    <hyperlink xmlns:r="http://schemas.openxmlformats.org/officeDocument/2006/relationships" ref="Y17" r:id="rId23"/>
    <hyperlink xmlns:r="http://schemas.openxmlformats.org/officeDocument/2006/relationships" ref="Y18" r:id="rId24"/>
    <hyperlink xmlns:r="http://schemas.openxmlformats.org/officeDocument/2006/relationships" ref="G19" r:id="rId25"/>
    <hyperlink xmlns:r="http://schemas.openxmlformats.org/officeDocument/2006/relationships" ref="Y19" r:id="rId26"/>
    <hyperlink xmlns:r="http://schemas.openxmlformats.org/officeDocument/2006/relationships" ref="G20" r:id="rId27"/>
    <hyperlink xmlns:r="http://schemas.openxmlformats.org/officeDocument/2006/relationships" ref="Y20" r:id="rId28"/>
    <hyperlink xmlns:r="http://schemas.openxmlformats.org/officeDocument/2006/relationships" ref="G21" r:id="rId29"/>
    <hyperlink xmlns:r="http://schemas.openxmlformats.org/officeDocument/2006/relationships" ref="Y21" r:id="rId30"/>
    <hyperlink xmlns:r="http://schemas.openxmlformats.org/officeDocument/2006/relationships" ref="G22" r:id="rId31"/>
    <hyperlink xmlns:r="http://schemas.openxmlformats.org/officeDocument/2006/relationships" ref="Y22" r:id="rId32"/>
    <hyperlink xmlns:r="http://schemas.openxmlformats.org/officeDocument/2006/relationships" ref="Y23" r:id="rId33"/>
    <hyperlink xmlns:r="http://schemas.openxmlformats.org/officeDocument/2006/relationships" ref="G24" r:id="rId34"/>
    <hyperlink xmlns:r="http://schemas.openxmlformats.org/officeDocument/2006/relationships" ref="Y24" r:id="rId35"/>
    <hyperlink xmlns:r="http://schemas.openxmlformats.org/officeDocument/2006/relationships" ref="Y25" r:id="rId36"/>
    <hyperlink xmlns:r="http://schemas.openxmlformats.org/officeDocument/2006/relationships" ref="G26" r:id="rId37"/>
    <hyperlink xmlns:r="http://schemas.openxmlformats.org/officeDocument/2006/relationships" ref="Y26" r:id="rId38"/>
    <hyperlink xmlns:r="http://schemas.openxmlformats.org/officeDocument/2006/relationships" ref="G27" r:id="rId39"/>
    <hyperlink xmlns:r="http://schemas.openxmlformats.org/officeDocument/2006/relationships" ref="Y27" r:id="rId40"/>
    <hyperlink xmlns:r="http://schemas.openxmlformats.org/officeDocument/2006/relationships" ref="G28" r:id="rId41"/>
    <hyperlink xmlns:r="http://schemas.openxmlformats.org/officeDocument/2006/relationships" ref="Y28" r:id="rId42"/>
    <hyperlink xmlns:r="http://schemas.openxmlformats.org/officeDocument/2006/relationships" ref="G29" r:id="rId43"/>
    <hyperlink xmlns:r="http://schemas.openxmlformats.org/officeDocument/2006/relationships" ref="Y29" r:id="rId44"/>
    <hyperlink xmlns:r="http://schemas.openxmlformats.org/officeDocument/2006/relationships" ref="G30" r:id="rId45"/>
    <hyperlink xmlns:r="http://schemas.openxmlformats.org/officeDocument/2006/relationships" ref="Y30" r:id="rId46"/>
    <hyperlink xmlns:r="http://schemas.openxmlformats.org/officeDocument/2006/relationships" ref="G31" r:id="rId47"/>
    <hyperlink xmlns:r="http://schemas.openxmlformats.org/officeDocument/2006/relationships" ref="Y31" r:id="rId48"/>
    <hyperlink xmlns:r="http://schemas.openxmlformats.org/officeDocument/2006/relationships" ref="G32" r:id="rId49"/>
    <hyperlink xmlns:r="http://schemas.openxmlformats.org/officeDocument/2006/relationships" ref="Y32" r:id="rId50"/>
    <hyperlink xmlns:r="http://schemas.openxmlformats.org/officeDocument/2006/relationships" ref="Y33" r:id="rId51"/>
    <hyperlink xmlns:r="http://schemas.openxmlformats.org/officeDocument/2006/relationships" ref="Y34" r:id="rId52"/>
    <hyperlink xmlns:r="http://schemas.openxmlformats.org/officeDocument/2006/relationships" ref="G35" r:id="rId53"/>
    <hyperlink xmlns:r="http://schemas.openxmlformats.org/officeDocument/2006/relationships" ref="Y35" r:id="rId54"/>
    <hyperlink xmlns:r="http://schemas.openxmlformats.org/officeDocument/2006/relationships" ref="Y36" r:id="rId55"/>
    <hyperlink xmlns:r="http://schemas.openxmlformats.org/officeDocument/2006/relationships" ref="G37" r:id="rId56"/>
    <hyperlink xmlns:r="http://schemas.openxmlformats.org/officeDocument/2006/relationships" ref="Y37" r:id="rId57"/>
    <hyperlink xmlns:r="http://schemas.openxmlformats.org/officeDocument/2006/relationships" ref="G38" r:id="rId58"/>
    <hyperlink xmlns:r="http://schemas.openxmlformats.org/officeDocument/2006/relationships" ref="Y38" r:id="rId59"/>
    <hyperlink xmlns:r="http://schemas.openxmlformats.org/officeDocument/2006/relationships" ref="G39" r:id="rId60"/>
    <hyperlink xmlns:r="http://schemas.openxmlformats.org/officeDocument/2006/relationships" ref="Y39" r:id="rId61"/>
    <hyperlink xmlns:r="http://schemas.openxmlformats.org/officeDocument/2006/relationships" ref="G40" r:id="rId62"/>
    <hyperlink xmlns:r="http://schemas.openxmlformats.org/officeDocument/2006/relationships" ref="Y40" r:id="rId63"/>
    <hyperlink xmlns:r="http://schemas.openxmlformats.org/officeDocument/2006/relationships" ref="Y41" r:id="rId64"/>
    <hyperlink xmlns:r="http://schemas.openxmlformats.org/officeDocument/2006/relationships" ref="G42" r:id="rId65"/>
    <hyperlink xmlns:r="http://schemas.openxmlformats.org/officeDocument/2006/relationships" ref="Y42" r:id="rId66"/>
    <hyperlink xmlns:r="http://schemas.openxmlformats.org/officeDocument/2006/relationships" ref="G43" r:id="rId67"/>
    <hyperlink xmlns:r="http://schemas.openxmlformats.org/officeDocument/2006/relationships" ref="Y43" r:id="rId68"/>
    <hyperlink xmlns:r="http://schemas.openxmlformats.org/officeDocument/2006/relationships" ref="G44" r:id="rId69"/>
    <hyperlink xmlns:r="http://schemas.openxmlformats.org/officeDocument/2006/relationships" ref="Y44" r:id="rId70"/>
    <hyperlink xmlns:r="http://schemas.openxmlformats.org/officeDocument/2006/relationships" ref="Y45" r:id="rId71"/>
    <hyperlink xmlns:r="http://schemas.openxmlformats.org/officeDocument/2006/relationships" ref="Y46" r:id="rId72"/>
    <hyperlink xmlns:r="http://schemas.openxmlformats.org/officeDocument/2006/relationships" ref="G47" r:id="rId73"/>
    <hyperlink xmlns:r="http://schemas.openxmlformats.org/officeDocument/2006/relationships" ref="Y47" r:id="rId74"/>
    <hyperlink xmlns:r="http://schemas.openxmlformats.org/officeDocument/2006/relationships" ref="G48" r:id="rId75"/>
    <hyperlink xmlns:r="http://schemas.openxmlformats.org/officeDocument/2006/relationships" ref="Y48" r:id="rId76"/>
    <hyperlink xmlns:r="http://schemas.openxmlformats.org/officeDocument/2006/relationships" ref="G49" r:id="rId77"/>
    <hyperlink xmlns:r="http://schemas.openxmlformats.org/officeDocument/2006/relationships" ref="Y49" r:id="rId78"/>
    <hyperlink xmlns:r="http://schemas.openxmlformats.org/officeDocument/2006/relationships" ref="G50" r:id="rId79"/>
    <hyperlink xmlns:r="http://schemas.openxmlformats.org/officeDocument/2006/relationships" ref="Y50" r:id="rId80"/>
    <hyperlink xmlns:r="http://schemas.openxmlformats.org/officeDocument/2006/relationships" ref="G51" r:id="rId81"/>
    <hyperlink xmlns:r="http://schemas.openxmlformats.org/officeDocument/2006/relationships" ref="Y51" r:id="rId82"/>
    <hyperlink xmlns:r="http://schemas.openxmlformats.org/officeDocument/2006/relationships" ref="G52" r:id="rId83"/>
    <hyperlink xmlns:r="http://schemas.openxmlformats.org/officeDocument/2006/relationships" ref="Y52" r:id="rId84"/>
    <hyperlink xmlns:r="http://schemas.openxmlformats.org/officeDocument/2006/relationships" ref="G53" r:id="rId85"/>
    <hyperlink xmlns:r="http://schemas.openxmlformats.org/officeDocument/2006/relationships" ref="Y53" r:id="rId86"/>
    <hyperlink xmlns:r="http://schemas.openxmlformats.org/officeDocument/2006/relationships" ref="G54" r:id="rId87"/>
    <hyperlink xmlns:r="http://schemas.openxmlformats.org/officeDocument/2006/relationships" ref="Y54" r:id="rId88"/>
    <hyperlink xmlns:r="http://schemas.openxmlformats.org/officeDocument/2006/relationships" ref="G55" r:id="rId89"/>
    <hyperlink xmlns:r="http://schemas.openxmlformats.org/officeDocument/2006/relationships" ref="Y55" r:id="rId90"/>
    <hyperlink xmlns:r="http://schemas.openxmlformats.org/officeDocument/2006/relationships" ref="G56" r:id="rId91"/>
    <hyperlink xmlns:r="http://schemas.openxmlformats.org/officeDocument/2006/relationships" ref="Y56" r:id="rId92"/>
    <hyperlink xmlns:r="http://schemas.openxmlformats.org/officeDocument/2006/relationships" ref="G57" r:id="rId93"/>
    <hyperlink xmlns:r="http://schemas.openxmlformats.org/officeDocument/2006/relationships" ref="Y57" r:id="rId94"/>
    <hyperlink xmlns:r="http://schemas.openxmlformats.org/officeDocument/2006/relationships" ref="Y58" r:id="rId95"/>
    <hyperlink xmlns:r="http://schemas.openxmlformats.org/officeDocument/2006/relationships" ref="G59" r:id="rId96"/>
    <hyperlink xmlns:r="http://schemas.openxmlformats.org/officeDocument/2006/relationships" ref="Y59" r:id="rId97"/>
    <hyperlink xmlns:r="http://schemas.openxmlformats.org/officeDocument/2006/relationships" ref="G60" r:id="rId98"/>
    <hyperlink xmlns:r="http://schemas.openxmlformats.org/officeDocument/2006/relationships" ref="Y60" r:id="rId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5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18" customWidth="1" min="4" max="4"/>
    <col width="12" customWidth="1" min="5" max="5"/>
    <col width="18" customWidth="1" min="6" max="6"/>
    <col width="30" customWidth="1" min="7" max="7"/>
    <col width="40" customWidth="1" min="8" max="8"/>
    <col width="30" customWidth="1" min="9" max="9"/>
    <col width="14" customWidth="1" min="10" max="10"/>
    <col width="28" customWidth="1" min="11" max="11"/>
    <col width="18" customWidth="1" min="12" max="12"/>
    <col width="16" customWidth="1" min="13" max="13"/>
    <col width="14" customWidth="1" min="14" max="14"/>
    <col width="12" customWidth="1" min="15" max="15"/>
    <col width="26" customWidth="1" min="16" max="16"/>
    <col width="18" customWidth="1" min="17" max="17"/>
    <col width="12" customWidth="1" min="18" max="18"/>
    <col width="18" customWidth="1" min="19" max="19"/>
    <col width="9" customWidth="1" min="20" max="20"/>
    <col width="7" customWidth="1" min="21" max="21"/>
    <col width="60" customWidth="1" min="22" max="22"/>
    <col width="45" customWidth="1" min="23" max="23"/>
    <col width="18" customWidth="1" min="24" max="24"/>
    <col width="55"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14" customWidth="1" min="33" max="33"/>
  </cols>
  <sheetData>
    <row r="1">
      <c r="A1" s="1" t="inlineStr">
        <is>
          <t>Hospital Groups: Tier V5 direct end user leads (cap 50)</t>
        </is>
      </c>
    </row>
    <row r="2" ht="60" customHeight="1">
      <c r="A2" s="2" t="inlineStr">
        <is>
          <t>Companion animal groups and NOSAI livestock clinic networks. NOSAI rows are the large animal (bovine) channel in Hokkaido, Tohoku and Kyushu.</t>
        </is>
      </c>
    </row>
    <row r="4" ht="42" customHeight="1">
      <c r="A4" s="3" t="inlineStr">
        <is>
          <t>No.</t>
        </is>
      </c>
      <c r="B4" s="3" t="inlineStr">
        <is>
          <t>Company (English)</t>
        </is>
      </c>
      <c r="C4" s="3" t="inlineStr">
        <is>
          <t>Company (Japanese)</t>
        </is>
      </c>
      <c r="D4" s="3" t="inlineStr">
        <is>
          <t>法人番号</t>
        </is>
      </c>
      <c r="E4" s="3" t="inlineStr">
        <is>
          <t>HQ prefecture</t>
        </is>
      </c>
      <c r="F4" s="3" t="inlineStr">
        <is>
          <t>Region</t>
        </is>
      </c>
      <c r="G4" s="3" t="inlineStr">
        <is>
          <t>Website</t>
        </is>
      </c>
      <c r="H4" s="3" t="inlineStr">
        <is>
          <t>Licences held</t>
        </is>
      </c>
      <c r="I4" s="3" t="inlineStr">
        <is>
          <t>Brands carried</t>
        </is>
      </c>
      <c r="J4" s="3" t="inlineStr">
        <is>
          <t>Companion / Large animal / Both</t>
        </is>
      </c>
      <c r="K4" s="3" t="inlineStr">
        <is>
          <t>Coverage area</t>
        </is>
      </c>
      <c r="L4" s="3" t="inlineStr">
        <is>
          <t>Est. revenue or headcount</t>
        </is>
      </c>
      <c r="M4" s="3" t="inlineStr">
        <is>
          <t>Number of clinics (Tier V5 only)</t>
        </is>
      </c>
      <c r="N4" s="3" t="inlineStr">
        <is>
          <t>Key contact name</t>
        </is>
      </c>
      <c r="O4" s="3" t="inlineStr">
        <is>
          <t>Title</t>
        </is>
      </c>
      <c r="P4" s="3" t="inlineStr">
        <is>
          <t>Email</t>
        </is>
      </c>
      <c r="Q4" s="3" t="inlineStr">
        <is>
          <t>Phone</t>
        </is>
      </c>
      <c r="R4" s="3" t="inlineStr">
        <is>
          <t>LinkedIn</t>
        </is>
      </c>
      <c r="S4" s="3" t="inlineStr">
        <is>
          <t>Contact confidence</t>
        </is>
      </c>
      <c r="T4" s="3" t="inlineStr">
        <is>
          <t>Fit score /35</t>
        </is>
      </c>
      <c r="U4" s="3" t="inlineStr">
        <is>
          <t>Tier</t>
        </is>
      </c>
      <c r="V4" s="3" t="inlineStr">
        <is>
          <t>Why they fit</t>
        </is>
      </c>
      <c r="W4" s="3" t="inlineStr">
        <is>
          <t>Suggested opening angle</t>
        </is>
      </c>
      <c r="X4" s="3" t="inlineStr">
        <is>
          <t>Also in human list (Y/N)</t>
        </is>
      </c>
      <c r="Y4" s="3" t="inlineStr">
        <is>
          <t>Source links</t>
        </is>
      </c>
      <c r="Z4" s="3" t="inlineStr">
        <is>
          <t>Score: regulatory</t>
        </is>
      </c>
      <c r="AA4" s="3" t="inlineStr">
        <is>
          <t>Score: imaging and US</t>
        </is>
      </c>
      <c r="AB4" s="3" t="inlineStr">
        <is>
          <t>Score: brand conflict</t>
        </is>
      </c>
      <c r="AC4" s="3" t="inlineStr">
        <is>
          <t>Score: companion coverage</t>
        </is>
      </c>
      <c r="AD4" s="3" t="inlineStr">
        <is>
          <t>Score: large animal</t>
        </is>
      </c>
      <c r="AE4" s="3" t="inlineStr">
        <is>
          <t>Score: service engineers</t>
        </is>
      </c>
      <c r="AF4" s="3" t="inlineStr">
        <is>
          <t>Score: openness to CN/KR</t>
        </is>
      </c>
      <c r="AG4" s="3" t="inlineStr">
        <is>
          <t>Evidence status</t>
        </is>
      </c>
    </row>
    <row r="5" ht="75" customHeight="1">
      <c r="A5" s="4" t="n">
        <v>1</v>
      </c>
      <c r="B5" s="4" t="inlineStr">
        <is>
          <t>Homma Veterinary Clinic Group</t>
        </is>
      </c>
      <c r="C5" s="4" t="inlineStr">
        <is>
          <t>本間獣医科医院グループ</t>
        </is>
      </c>
      <c r="D5" s="4" t="inlineStr">
        <is>
          <t>Not found (NTA lookup blocked; dedupe by Japanese name)</t>
        </is>
      </c>
      <c r="E5" s="4" t="inlineStr">
        <is>
          <t>Shizuoka</t>
        </is>
      </c>
      <c r="F5" s="4" t="inlineStr">
        <is>
          <t>Chubu</t>
        </is>
      </c>
      <c r="G5" s="4" t="inlineStr">
        <is>
          <t>Not found</t>
        </is>
      </c>
      <c r="H5" s="4" t="inlineStr">
        <is>
          <t>End user (animal hospital group)</t>
        </is>
      </c>
      <c r="I5" s="4" t="inlineStr">
        <is>
          <t>Not identified</t>
        </is>
      </c>
      <c r="J5" s="4" t="inlineStr">
        <is>
          <t>Companion</t>
        </is>
      </c>
      <c r="K5" s="4" t="inlineStr">
        <is>
          <t>Shizuoka and overseas</t>
        </is>
      </c>
      <c r="L5" s="4" t="inlineStr">
        <is>
          <t>Not found</t>
        </is>
      </c>
      <c r="M5" s="4" t="inlineStr">
        <is>
          <t>40 (AHHD 2021)</t>
        </is>
      </c>
      <c r="N5" s="4" t="inlineStr">
        <is>
          <t>Not identified</t>
        </is>
      </c>
      <c r="O5" s="4" t="inlineStr">
        <is>
          <t>Not identified</t>
        </is>
      </c>
      <c r="P5" s="4" t="inlineStr">
        <is>
          <t>Not published; phone only</t>
        </is>
      </c>
      <c r="Q5" s="4" t="inlineStr">
        <is>
          <t>0538 35 9911 (Iwata main hospital)</t>
        </is>
      </c>
      <c r="R5" s="4" t="inlineStr">
        <is>
          <t>Not identified</t>
        </is>
      </c>
      <c r="S5" s="4" t="inlineStr">
        <is>
          <t>Company inquiry only (phone); FLAG renamed DCC動物病院 in 2024</t>
        </is>
      </c>
      <c r="T5" s="6">
        <f>SUM(Z5:AF5)</f>
        <v>18</v>
      </c>
      <c r="U5" s="12" t="inlineStr">
        <is>
          <t>V5</t>
        </is>
      </c>
      <c r="V5" s="4" t="inlineStr">
        <is>
          <t>Ranked second by hospital count in 2021 with 40 sites. FLAG: Operating entity and current count not confirmed.</t>
        </is>
      </c>
      <c r="W5" s="4" t="inlineStr">
        <is>
          <t>Fleet evaluation: 30 day placement in two sites, then a group standard.</t>
        </is>
      </c>
      <c r="X5" s="4" t="inlineStr">
        <is>
          <t>Not checked (human list not in v17)</t>
        </is>
      </c>
      <c r="Y5" s="4" t="inlineStr">
        <is>
          <t>https://ahhd.jp/I0000003 ; https://dccpets.jp/clinictop/dcc-shimizutorisaka/</t>
        </is>
      </c>
      <c r="Z5" s="4" t="n">
        <v>1</v>
      </c>
      <c r="AA5" s="4" t="n">
        <v>4</v>
      </c>
      <c r="AB5" s="4" t="n">
        <v>3</v>
      </c>
      <c r="AC5" s="4" t="n">
        <v>5</v>
      </c>
      <c r="AD5" s="4" t="n">
        <v>1</v>
      </c>
      <c r="AE5" s="4" t="n">
        <v>1</v>
      </c>
      <c r="AF5" s="4" t="n">
        <v>3</v>
      </c>
      <c r="AG5" s="4" t="inlineStr">
        <is>
          <t>Evidence backed</t>
        </is>
      </c>
    </row>
    <row r="6" ht="75" customHeight="1">
      <c r="A6" s="4" t="n">
        <v>2</v>
      </c>
      <c r="B6" s="4" t="inlineStr">
        <is>
          <t>Okayama Animal Medical Center Group</t>
        </is>
      </c>
      <c r="C6" s="4" t="inlineStr">
        <is>
          <t>岡山動物医療センターグループ</t>
        </is>
      </c>
      <c r="D6" s="4" t="inlineStr">
        <is>
          <t>Not found (NTA lookup blocked; dedupe by Japanese name)</t>
        </is>
      </c>
      <c r="E6" s="4" t="inlineStr">
        <is>
          <t>Okayama</t>
        </is>
      </c>
      <c r="F6" s="4" t="inlineStr">
        <is>
          <t>Chugoku and Shikoku</t>
        </is>
      </c>
      <c r="G6" s="5" t="inlineStr">
        <is>
          <t>https://www.okayama-amc.com/</t>
        </is>
      </c>
      <c r="H6" s="4" t="inlineStr">
        <is>
          <t>End user (animal hospital group)</t>
        </is>
      </c>
      <c r="I6" s="4" t="inlineStr">
        <is>
          <t>Not identified</t>
        </is>
      </c>
      <c r="J6" s="4" t="inlineStr">
        <is>
          <t>Companion</t>
        </is>
      </c>
      <c r="K6" s="4" t="inlineStr">
        <is>
          <t>Okayama, Kurashiki, Takamatsu</t>
        </is>
      </c>
      <c r="L6" s="4" t="inlineStr">
        <is>
          <t>Not found</t>
        </is>
      </c>
      <c r="M6" s="4" t="inlineStr">
        <is>
          <t>5</t>
        </is>
      </c>
      <c r="N6" s="4" t="inlineStr">
        <is>
          <t>Not identified</t>
        </is>
      </c>
      <c r="O6" s="4" t="inlineStr">
        <is>
          <t>Not identified</t>
        </is>
      </c>
      <c r="P6" s="4" t="inlineStr">
        <is>
          <t>Not published; phone only</t>
        </is>
      </c>
      <c r="Q6" s="4" t="inlineStr">
        <is>
          <t>086 246 8100</t>
        </is>
      </c>
      <c r="R6" s="4" t="inlineStr">
        <is>
          <t>Not identified</t>
        </is>
      </c>
      <c r="S6" s="4" t="inlineStr">
        <is>
          <t>Company inquiry only (phone)</t>
        </is>
      </c>
      <c r="T6" s="6">
        <f>SUM(Z6:AF6)</f>
        <v>18</v>
      </c>
      <c r="U6" s="12" t="inlineStr">
        <is>
          <t>V5</t>
        </is>
      </c>
      <c r="V6" s="4" t="inlineStr">
        <is>
          <t>Five hospitals led by an advanced core hospital.</t>
        </is>
      </c>
      <c r="W6" s="4" t="inlineStr">
        <is>
          <t>Fleet evaluation: 30 day placement in two sites, then a group standard.</t>
        </is>
      </c>
      <c r="X6" s="4" t="inlineStr">
        <is>
          <t>Not checked (human list not in v17)</t>
        </is>
      </c>
      <c r="Y6" s="4" t="inlineStr">
        <is>
          <t>https://www.okayama-amc.com/</t>
        </is>
      </c>
      <c r="Z6" s="4" t="n">
        <v>1</v>
      </c>
      <c r="AA6" s="4" t="n">
        <v>4</v>
      </c>
      <c r="AB6" s="4" t="n">
        <v>3</v>
      </c>
      <c r="AC6" s="4" t="n">
        <v>5</v>
      </c>
      <c r="AD6" s="4" t="n">
        <v>1</v>
      </c>
      <c r="AE6" s="4" t="n">
        <v>1</v>
      </c>
      <c r="AF6" s="4" t="n">
        <v>3</v>
      </c>
      <c r="AG6" s="4" t="inlineStr">
        <is>
          <t>Evidence backed</t>
        </is>
      </c>
    </row>
    <row r="7" ht="75" customHeight="1">
      <c r="A7" s="4" t="n">
        <v>3</v>
      </c>
      <c r="B7" s="4" t="inlineStr">
        <is>
          <t>Doubutsu Byoin Kyoto Co., Ltd. (CUaRE)</t>
        </is>
      </c>
      <c r="C7" s="4" t="inlineStr">
        <is>
          <t>どうぶつ病院京都株式会社</t>
        </is>
      </c>
      <c r="D7" s="4" t="inlineStr">
        <is>
          <t>Not found (NTA lookup blocked; dedupe by Japanese name)</t>
        </is>
      </c>
      <c r="E7" s="4" t="inlineStr">
        <is>
          <t>Kyoto</t>
        </is>
      </c>
      <c r="F7" s="4" t="inlineStr">
        <is>
          <t>Kansai</t>
        </is>
      </c>
      <c r="G7" s="5" t="inlineStr">
        <is>
          <t>https://ahk-cuare.com/</t>
        </is>
      </c>
      <c r="H7" s="4" t="inlineStr">
        <is>
          <t>End user (animal hospital group)</t>
        </is>
      </c>
      <c r="I7" s="4" t="inlineStr">
        <is>
          <t>Not identified</t>
        </is>
      </c>
      <c r="J7" s="4" t="inlineStr">
        <is>
          <t>Companion</t>
        </is>
      </c>
      <c r="K7" s="4" t="inlineStr">
        <is>
          <t>Kyoto and Chiba</t>
        </is>
      </c>
      <c r="L7" s="4" t="inlineStr">
        <is>
          <t>Not found</t>
        </is>
      </c>
      <c r="M7" s="4" t="inlineStr">
        <is>
          <t>6</t>
        </is>
      </c>
      <c r="N7" s="4" t="inlineStr">
        <is>
          <t>Not identified</t>
        </is>
      </c>
      <c r="O7" s="4" t="inlineStr">
        <is>
          <t>Not identified</t>
        </is>
      </c>
      <c r="P7" s="4" t="inlineStr">
        <is>
          <t>info@cuareofficial.com</t>
        </is>
      </c>
      <c r="Q7" s="4" t="inlineStr">
        <is>
          <t>075 334 8122</t>
        </is>
      </c>
      <c r="R7" s="4" t="inlineStr">
        <is>
          <t>Not identified</t>
        </is>
      </c>
      <c r="S7" s="4" t="inlineStr">
        <is>
          <t>Verified (published on own site, read via search); product business page</t>
        </is>
      </c>
      <c r="T7" s="6">
        <f>SUM(Z7:AF7)</f>
        <v>18</v>
      </c>
      <c r="U7" s="12" t="inlineStr">
        <is>
          <t>V5</t>
        </is>
      </c>
      <c r="V7" s="4" t="inlineStr">
        <is>
          <t>Six hospitals plus four grooming salons.</t>
        </is>
      </c>
      <c r="W7" s="4" t="inlineStr">
        <is>
          <t>Fleet evaluation: 30 day placement in two sites, then a group standard.</t>
        </is>
      </c>
      <c r="X7" s="4" t="inlineStr">
        <is>
          <t>Not checked (human list not in v17)</t>
        </is>
      </c>
      <c r="Y7" s="4" t="inlineStr">
        <is>
          <t>https://ahk-cuare.com/ ; https://ahk-cuare.com/%E4%BA%8B%E6%A5%AD%E7%B4%B9%E4%BB%8B%E3%83%88%E3%83%83%E3%83%97/%E3%81%A9%E3%81%86%E3%81%B6%E3%81%A4%E7%97%85%E9%99%A2%E4%BA%AC%E9%83%BD%E3%82%B0%E3%83%AB%E3%83%BC%E3%83%97%E4%BA%8B%E6%A5%AD/product%E4%BA%8B%E6%A5%AD/</t>
        </is>
      </c>
      <c r="Z7" s="4" t="n">
        <v>1</v>
      </c>
      <c r="AA7" s="4" t="n">
        <v>4</v>
      </c>
      <c r="AB7" s="4" t="n">
        <v>3</v>
      </c>
      <c r="AC7" s="4" t="n">
        <v>5</v>
      </c>
      <c r="AD7" s="4" t="n">
        <v>1</v>
      </c>
      <c r="AE7" s="4" t="n">
        <v>1</v>
      </c>
      <c r="AF7" s="4" t="n">
        <v>3</v>
      </c>
      <c r="AG7" s="4" t="inlineStr">
        <is>
          <t>Evidence backed</t>
        </is>
      </c>
    </row>
    <row r="8" ht="75" customHeight="1">
      <c r="A8" s="4" t="n">
        <v>4</v>
      </c>
      <c r="B8" s="4" t="inlineStr">
        <is>
          <t>Elsa Animal Hospital Group (Elsa Kreis)</t>
        </is>
      </c>
      <c r="C8" s="4" t="inlineStr">
        <is>
          <t>エルザ動物病院グループ (株式会社エルザクライス)</t>
        </is>
      </c>
      <c r="D8" s="4" t="inlineStr">
        <is>
          <t>Not found (NTA lookup blocked; dedupe by Japanese name)</t>
        </is>
      </c>
      <c r="E8" s="4" t="inlineStr">
        <is>
          <t>Hyogo</t>
        </is>
      </c>
      <c r="F8" s="4" t="inlineStr">
        <is>
          <t>Kansai</t>
        </is>
      </c>
      <c r="G8" s="5" t="inlineStr">
        <is>
          <t>https://www.elsa-hp.com</t>
        </is>
      </c>
      <c r="H8" s="4" t="inlineStr">
        <is>
          <t>End user (animal hospital group)</t>
        </is>
      </c>
      <c r="I8" s="4" t="inlineStr">
        <is>
          <t>Not identified</t>
        </is>
      </c>
      <c r="J8" s="4" t="inlineStr">
        <is>
          <t>Companion</t>
        </is>
      </c>
      <c r="K8" s="4" t="inlineStr">
        <is>
          <t>Hyogo</t>
        </is>
      </c>
      <c r="L8" s="4" t="inlineStr">
        <is>
          <t>Not found</t>
        </is>
      </c>
      <c r="M8" s="4" t="inlineStr">
        <is>
          <t>8</t>
        </is>
      </c>
      <c r="N8" s="4" t="inlineStr">
        <is>
          <t>Not identified</t>
        </is>
      </c>
      <c r="O8" s="4" t="inlineStr">
        <is>
          <t>Not identified</t>
        </is>
      </c>
      <c r="P8" s="4" t="inlineStr">
        <is>
          <t>Not published; inquiry form: https://www.elsa-hp.com/contact/</t>
        </is>
      </c>
      <c r="Q8" s="4" t="inlineStr">
        <is>
          <t>079 297 8181</t>
        </is>
      </c>
      <c r="R8" s="4" t="inlineStr">
        <is>
          <t>Not identified</t>
        </is>
      </c>
      <c r="S8" s="4" t="inlineStr">
        <is>
          <t>Company inquiry only (form)</t>
        </is>
      </c>
      <c r="T8" s="6">
        <f>SUM(Z8:AF8)</f>
        <v>18</v>
      </c>
      <c r="U8" s="12" t="inlineStr">
        <is>
          <t>V5</t>
        </is>
      </c>
      <c r="V8" s="4" t="inlineStr">
        <is>
          <t>Eight hospital Hyogo group inside MiraiVets/JPAC. FLAG: Part of MiraiVets/JPAC.</t>
        </is>
      </c>
      <c r="W8" s="4" t="inlineStr">
        <is>
          <t>Fleet evaluation: 30 day placement in two sites, then a group standard.</t>
        </is>
      </c>
      <c r="X8" s="4" t="inlineStr">
        <is>
          <t>Not checked (human list not in v17)</t>
        </is>
      </c>
      <c r="Y8" s="4" t="inlineStr">
        <is>
          <t>https://www.kobe-np.co.jp/info/prtimes/202602/c170012_r8.shtml ; https://www.ondeck.jp/library/interview/20526 ; https://www.elsa-hp.com/contact/</t>
        </is>
      </c>
      <c r="Z8" s="4" t="n">
        <v>1</v>
      </c>
      <c r="AA8" s="4" t="n">
        <v>4</v>
      </c>
      <c r="AB8" s="4" t="n">
        <v>3</v>
      </c>
      <c r="AC8" s="4" t="n">
        <v>5</v>
      </c>
      <c r="AD8" s="4" t="n">
        <v>1</v>
      </c>
      <c r="AE8" s="4" t="n">
        <v>1</v>
      </c>
      <c r="AF8" s="4" t="n">
        <v>3</v>
      </c>
      <c r="AG8" s="4" t="inlineStr">
        <is>
          <t>Evidence backed</t>
        </is>
      </c>
    </row>
    <row r="9" ht="75" customHeight="1">
      <c r="A9" s="4" t="n">
        <v>5</v>
      </c>
      <c r="B9" s="4" t="inlineStr">
        <is>
          <t>Hazukikai Co., Ltd.</t>
        </is>
      </c>
      <c r="C9" s="4" t="inlineStr">
        <is>
          <t>株式会社葉月会</t>
        </is>
      </c>
      <c r="D9" s="4" t="inlineStr">
        <is>
          <t>Not found (NTA lookup blocked; dedupe by Japanese name)</t>
        </is>
      </c>
      <c r="E9" s="4" t="inlineStr">
        <is>
          <t>Osaka</t>
        </is>
      </c>
      <c r="F9" s="4" t="inlineStr">
        <is>
          <t>Kansai</t>
        </is>
      </c>
      <c r="G9" s="5" t="inlineStr">
        <is>
          <t>https://hadukikai.co.jp/</t>
        </is>
      </c>
      <c r="H9" s="4" t="inlineStr">
        <is>
          <t>End user (animal hospital group)</t>
        </is>
      </c>
      <c r="I9" s="4" t="inlineStr">
        <is>
          <t>Not identified</t>
        </is>
      </c>
      <c r="J9" s="4" t="inlineStr">
        <is>
          <t>Companion</t>
        </is>
      </c>
      <c r="K9" s="4" t="inlineStr">
        <is>
          <t>North Osaka and East Hyogo</t>
        </is>
      </c>
      <c r="L9" s="4" t="inlineStr">
        <is>
          <t>Not found</t>
        </is>
      </c>
      <c r="M9" s="4" t="inlineStr">
        <is>
          <t>100 plus participating hospitals</t>
        </is>
      </c>
      <c r="N9" s="4" t="inlineStr">
        <is>
          <t>Not identified</t>
        </is>
      </c>
      <c r="O9" s="4" t="inlineStr">
        <is>
          <t>Not identified</t>
        </is>
      </c>
      <c r="P9" s="4" t="inlineStr">
        <is>
          <t>Not published; phone only</t>
        </is>
      </c>
      <c r="Q9" s="4" t="inlineStr">
        <is>
          <t>072 730 8200</t>
        </is>
      </c>
      <c r="R9" s="4" t="inlineStr">
        <is>
          <t>Not identified</t>
        </is>
      </c>
      <c r="S9" s="4" t="inlineStr">
        <is>
          <t>Company inquiry only (phone)</t>
        </is>
      </c>
      <c r="T9" s="6">
        <f>SUM(Z9:AF9)</f>
        <v>18</v>
      </c>
      <c r="U9" s="12" t="inlineStr">
        <is>
          <t>V5</t>
        </is>
      </c>
      <c r="V9" s="4" t="inlineStr">
        <is>
          <t>Network of more than 100 animal hospitals in North Osaka and East Hyogo (Nishinomiya, Amagasaki, Takarazuka). FLAG: A cooperative network, not one owner; purchasing may be per hospital. HQ prefecture assumed Osaka.</t>
        </is>
      </c>
      <c r="W9" s="4" t="inlineStr">
        <is>
          <t>Fleet evaluation: 30 day placement in two sites, then a group standard.</t>
        </is>
      </c>
      <c r="X9" s="4" t="inlineStr">
        <is>
          <t>Not checked (human list not in v17)</t>
        </is>
      </c>
      <c r="Y9" s="4" t="inlineStr">
        <is>
          <t>https://hadukikai.co.jp/group_hosp/hyougo/ ; https://hadukikai.co.jp/info/</t>
        </is>
      </c>
      <c r="Z9" s="4" t="n">
        <v>1</v>
      </c>
      <c r="AA9" s="4" t="n">
        <v>4</v>
      </c>
      <c r="AB9" s="4" t="n">
        <v>3</v>
      </c>
      <c r="AC9" s="4" t="n">
        <v>5</v>
      </c>
      <c r="AD9" s="4" t="n">
        <v>1</v>
      </c>
      <c r="AE9" s="4" t="n">
        <v>1</v>
      </c>
      <c r="AF9" s="4" t="n">
        <v>3</v>
      </c>
      <c r="AG9" s="4" t="inlineStr">
        <is>
          <t>Evidence backed</t>
        </is>
      </c>
    </row>
    <row r="10" ht="75" customHeight="1">
      <c r="A10" s="4" t="n">
        <v>6</v>
      </c>
      <c r="B10" s="4" t="inlineStr">
        <is>
          <t>Junishikai Co., Ltd. (Osaka Night Emergency)</t>
        </is>
      </c>
      <c r="C10" s="4" t="inlineStr">
        <is>
          <t>株式会社十二志会</t>
        </is>
      </c>
      <c r="D10" s="4" t="inlineStr">
        <is>
          <t>Not found (NTA lookup blocked; dedupe by Japanese name)</t>
        </is>
      </c>
      <c r="E10" s="4" t="inlineStr">
        <is>
          <t>Osaka</t>
        </is>
      </c>
      <c r="F10" s="4" t="inlineStr">
        <is>
          <t>Kansai</t>
        </is>
      </c>
      <c r="G10" s="5" t="inlineStr">
        <is>
          <t>https://doubutsuyakan.jp</t>
        </is>
      </c>
      <c r="H10" s="4" t="inlineStr">
        <is>
          <t>End user (animal hospital group)</t>
        </is>
      </c>
      <c r="I10" s="4" t="inlineStr">
        <is>
          <t>Not identified</t>
        </is>
      </c>
      <c r="J10" s="4" t="inlineStr">
        <is>
          <t>Companion</t>
        </is>
      </c>
      <c r="K10" s="4" t="inlineStr">
        <is>
          <t>Osaka</t>
        </is>
      </c>
      <c r="L10" s="4" t="inlineStr">
        <is>
          <t>Not found</t>
        </is>
      </c>
      <c r="M10" s="4" t="inlineStr">
        <is>
          <t>Night ER owned by member hospitals</t>
        </is>
      </c>
      <c r="N10" s="4" t="inlineStr">
        <is>
          <t>Not identified</t>
        </is>
      </c>
      <c r="O10" s="4" t="inlineStr">
        <is>
          <t>Not identified</t>
        </is>
      </c>
      <c r="P10" s="4" t="inlineStr">
        <is>
          <t>Not published; phone only</t>
        </is>
      </c>
      <c r="Q10" s="4" t="inlineStr">
        <is>
          <t>06 4259 1212</t>
        </is>
      </c>
      <c r="R10" s="4" t="inlineStr">
        <is>
          <t>Not identified</t>
        </is>
      </c>
      <c r="S10" s="4" t="inlineStr">
        <is>
          <t>Company inquiry only (phone)</t>
        </is>
      </c>
      <c r="T10" s="6">
        <f>SUM(Z10:AF10)</f>
        <v>18</v>
      </c>
      <c r="U10" s="12" t="inlineStr">
        <is>
          <t>V5</t>
        </is>
      </c>
      <c r="V10" s="4" t="inlineStr">
        <is>
          <t>Shareholder hospitals jointly run Osaka's night emergency centre; ER is a point of care ultrasound use case.</t>
        </is>
      </c>
      <c r="W10" s="4" t="inlineStr">
        <is>
          <t>Fleet evaluation: 30 day placement in two sites, then a group standard.</t>
        </is>
      </c>
      <c r="X10" s="4" t="inlineStr">
        <is>
          <t>Not checked (human list not in v17)</t>
        </is>
      </c>
      <c r="Y10" s="4" t="inlineStr">
        <is>
          <t>https://doubutsuyakan.jp/about.html</t>
        </is>
      </c>
      <c r="Z10" s="4" t="n">
        <v>1</v>
      </c>
      <c r="AA10" s="4" t="n">
        <v>4</v>
      </c>
      <c r="AB10" s="4" t="n">
        <v>3</v>
      </c>
      <c r="AC10" s="4" t="n">
        <v>5</v>
      </c>
      <c r="AD10" s="4" t="n">
        <v>1</v>
      </c>
      <c r="AE10" s="4" t="n">
        <v>1</v>
      </c>
      <c r="AF10" s="4" t="n">
        <v>3</v>
      </c>
      <c r="AG10" s="4" t="inlineStr">
        <is>
          <t>Evidence backed</t>
        </is>
      </c>
    </row>
    <row r="11" ht="75" customHeight="1">
      <c r="A11" s="4" t="n">
        <v>7</v>
      </c>
      <c r="B11" s="4" t="inlineStr">
        <is>
          <t>WOLVES HAND Co., Ltd.</t>
        </is>
      </c>
      <c r="C11" s="4" t="inlineStr">
        <is>
          <t>株式会社WOLVES HAND</t>
        </is>
      </c>
      <c r="D11" s="4" t="inlineStr">
        <is>
          <t>Not found (NTA lookup blocked; dedupe by Japanese name)</t>
        </is>
      </c>
      <c r="E11" s="4" t="inlineStr">
        <is>
          <t>Osaka</t>
        </is>
      </c>
      <c r="F11" s="4" t="inlineStr">
        <is>
          <t>Kansai</t>
        </is>
      </c>
      <c r="G11" s="5" t="inlineStr">
        <is>
          <t>https://wolveshand.jp/</t>
        </is>
      </c>
      <c r="H11" s="4" t="inlineStr">
        <is>
          <t>End user (animal hospital group)</t>
        </is>
      </c>
      <c r="I11" s="4" t="inlineStr">
        <is>
          <t>Not identified</t>
        </is>
      </c>
      <c r="J11" s="4" t="inlineStr">
        <is>
          <t>Companion</t>
        </is>
      </c>
      <c r="K11" s="4" t="inlineStr">
        <is>
          <t>Kansai, Kanto, Okinawa</t>
        </is>
      </c>
      <c r="L11" s="4" t="inlineStr">
        <is>
          <t>Not found</t>
        </is>
      </c>
      <c r="M11" s="4" t="inlineStr">
        <is>
          <t>29 (AHHD 2021) incl. 9 in Osaka</t>
        </is>
      </c>
      <c r="N11" s="4" t="inlineStr">
        <is>
          <t>Not identified</t>
        </is>
      </c>
      <c r="O11" s="4" t="inlineStr">
        <is>
          <t>Not identified</t>
        </is>
      </c>
      <c r="P11" s="4" t="inlineStr">
        <is>
          <t>Not published; inquiry form: https://wolveshand.jp/ir/</t>
        </is>
      </c>
      <c r="Q11" s="4" t="inlineStr">
        <is>
          <t>06 6599 9106</t>
        </is>
      </c>
      <c r="R11" s="4" t="inlineStr">
        <is>
          <t>Not identified</t>
        </is>
      </c>
      <c r="S11" s="4" t="inlineStr">
        <is>
          <t>Company inquiry only (form)</t>
        </is>
      </c>
      <c r="T11" s="6">
        <f>SUM(Z11:AF11)</f>
        <v>18</v>
      </c>
      <c r="U11" s="12" t="inlineStr">
        <is>
          <t>V5</t>
        </is>
      </c>
      <c r="V11" s="4" t="inlineStr">
        <is>
          <t>Listed group (EDINET filer) with Osaka as its largest cluster.</t>
        </is>
      </c>
      <c r="W11" s="4" t="inlineStr">
        <is>
          <t>Fleet evaluation: 30 day placement in two sites, then a group standard.</t>
        </is>
      </c>
      <c r="X11" s="4" t="inlineStr">
        <is>
          <t>Not checked (human list not in v17)</t>
        </is>
      </c>
      <c r="Y11" s="4" t="inlineStr">
        <is>
          <t>https://ahhd.jp/I0000003 ; https://edinetdb.jp/company/E39640/text?fy=2024 ; https://wolveshand.jp/ir/</t>
        </is>
      </c>
      <c r="Z11" s="4" t="n">
        <v>1</v>
      </c>
      <c r="AA11" s="4" t="n">
        <v>4</v>
      </c>
      <c r="AB11" s="4" t="n">
        <v>3</v>
      </c>
      <c r="AC11" s="4" t="n">
        <v>5</v>
      </c>
      <c r="AD11" s="4" t="n">
        <v>1</v>
      </c>
      <c r="AE11" s="4" t="n">
        <v>1</v>
      </c>
      <c r="AF11" s="4" t="n">
        <v>3</v>
      </c>
      <c r="AG11" s="4" t="inlineStr">
        <is>
          <t>Evidence backed</t>
        </is>
      </c>
    </row>
    <row r="12" ht="75" customHeight="1">
      <c r="A12" s="4" t="n">
        <v>8</v>
      </c>
      <c r="B12" s="4" t="inlineStr">
        <is>
          <t>ALLONE Animal Hospital Group (FOR Inc.)</t>
        </is>
      </c>
      <c r="C12" s="4" t="inlineStr">
        <is>
          <t>ALLONE動物病院グループ (株式会社FOR)</t>
        </is>
      </c>
      <c r="D12" s="4" t="inlineStr">
        <is>
          <t>Not found (NTA lookup blocked; dedupe by Japanese name)</t>
        </is>
      </c>
      <c r="E12" s="4" t="inlineStr">
        <is>
          <t>Tokyo</t>
        </is>
      </c>
      <c r="F12" s="4" t="inlineStr">
        <is>
          <t>Kanto</t>
        </is>
      </c>
      <c r="G12" s="5" t="inlineStr">
        <is>
          <t>https://allone-ah.co.jp</t>
        </is>
      </c>
      <c r="H12" s="4" t="inlineStr">
        <is>
          <t>End user (animal hospital group)</t>
        </is>
      </c>
      <c r="I12" s="4" t="inlineStr">
        <is>
          <t>Not identified</t>
        </is>
      </c>
      <c r="J12" s="4" t="inlineStr">
        <is>
          <t>Companion</t>
        </is>
      </c>
      <c r="K12" s="4" t="inlineStr">
        <is>
          <t>Tokyo and Kanagawa</t>
        </is>
      </c>
      <c r="L12" s="4" t="inlineStr">
        <is>
          <t>Not found</t>
        </is>
      </c>
      <c r="M12" s="4" t="inlineStr">
        <is>
          <t>6 to 7</t>
        </is>
      </c>
      <c r="N12" s="4" t="inlineStr">
        <is>
          <t>Not identified</t>
        </is>
      </c>
      <c r="O12" s="4" t="inlineStr">
        <is>
          <t>Not identified</t>
        </is>
      </c>
      <c r="P12" s="4" t="inlineStr">
        <is>
          <t>info@allone-ah.co.jp</t>
        </is>
      </c>
      <c r="Q12" s="4" t="inlineStr">
        <is>
          <t>Not found (use site)</t>
        </is>
      </c>
      <c r="R12" s="4" t="inlineStr">
        <is>
          <t>Not identified</t>
        </is>
      </c>
      <c r="S12" s="4" t="inlineStr">
        <is>
          <t>Verified (published on own site, read via search); published in site terms for link requests, ask to forward</t>
        </is>
      </c>
      <c r="T12" s="6">
        <f>SUM(Z12:AF12)</f>
        <v>18</v>
      </c>
      <c r="U12" s="12" t="inlineStr">
        <is>
          <t>V5</t>
        </is>
      </c>
      <c r="V12" s="4" t="inlineStr">
        <is>
          <t>Young group (2017) growing across Tokyo and Kanagawa.</t>
        </is>
      </c>
      <c r="W12" s="4" t="inlineStr">
        <is>
          <t>Fleet evaluation: 30 day placement in two sites, then a group standard.</t>
        </is>
      </c>
      <c r="X12" s="4" t="inlineStr">
        <is>
          <t>Not checked (human list not in v17)</t>
        </is>
      </c>
      <c r="Y12" s="4" t="inlineStr">
        <is>
          <t>https://allone-ah.co.jp/company ; https://allone-ah.co.jp/terms ; https://allone-ah.co.jp/contact</t>
        </is>
      </c>
      <c r="Z12" s="4" t="n">
        <v>1</v>
      </c>
      <c r="AA12" s="4" t="n">
        <v>4</v>
      </c>
      <c r="AB12" s="4" t="n">
        <v>3</v>
      </c>
      <c r="AC12" s="4" t="n">
        <v>5</v>
      </c>
      <c r="AD12" s="4" t="n">
        <v>1</v>
      </c>
      <c r="AE12" s="4" t="n">
        <v>1</v>
      </c>
      <c r="AF12" s="4" t="n">
        <v>3</v>
      </c>
      <c r="AG12" s="4" t="inlineStr">
        <is>
          <t>Evidence backed</t>
        </is>
      </c>
    </row>
    <row r="13" ht="75" customHeight="1">
      <c r="A13" s="4" t="n">
        <v>9</v>
      </c>
      <c r="B13" s="4" t="inlineStr">
        <is>
          <t>Ai Animal Medical Center Group</t>
        </is>
      </c>
      <c r="C13" s="4" t="inlineStr">
        <is>
          <t>アイ動物医療センターグループ</t>
        </is>
      </c>
      <c r="D13" s="4" t="inlineStr">
        <is>
          <t>Not found (NTA lookup blocked; dedupe by Japanese name)</t>
        </is>
      </c>
      <c r="E13" s="4" t="inlineStr">
        <is>
          <t>Ibaraki</t>
        </is>
      </c>
      <c r="F13" s="4" t="inlineStr">
        <is>
          <t>Kanto</t>
        </is>
      </c>
      <c r="G13" s="5" t="inlineStr">
        <is>
          <t>https://www.aitom.jp/</t>
        </is>
      </c>
      <c r="H13" s="4" t="inlineStr">
        <is>
          <t>End user (animal hospital group)</t>
        </is>
      </c>
      <c r="I13" s="4" t="inlineStr">
        <is>
          <t>Not identified</t>
        </is>
      </c>
      <c r="J13" s="4" t="inlineStr">
        <is>
          <t>Companion</t>
        </is>
      </c>
      <c r="K13" s="4" t="inlineStr">
        <is>
          <t>Ibaraki</t>
        </is>
      </c>
      <c r="L13" s="4" t="inlineStr">
        <is>
          <t>Not found</t>
        </is>
      </c>
      <c r="M13" s="4" t="inlineStr">
        <is>
          <t>6</t>
        </is>
      </c>
      <c r="N13" s="4" t="inlineStr">
        <is>
          <t>Not identified</t>
        </is>
      </c>
      <c r="O13" s="4" t="inlineStr">
        <is>
          <t>Not identified</t>
        </is>
      </c>
      <c r="P13" s="4" t="inlineStr">
        <is>
          <t>Not published; phone only</t>
        </is>
      </c>
      <c r="Q13" s="4" t="inlineStr">
        <is>
          <t>0293 24 3535 (Takahagi main)</t>
        </is>
      </c>
      <c r="R13" s="4" t="inlineStr">
        <is>
          <t>Not identified</t>
        </is>
      </c>
      <c r="S13" s="4" t="inlineStr">
        <is>
          <t>Company inquiry only (phone)</t>
        </is>
      </c>
      <c r="T13" s="6">
        <f>SUM(Z13:AF13)</f>
        <v>18</v>
      </c>
      <c r="U13" s="12" t="inlineStr">
        <is>
          <t>V5</t>
        </is>
      </c>
      <c r="V13" s="4" t="inlineStr">
        <is>
          <t>Six hospital Ibaraki group offering advanced care. FLAG: Part of MiraiVets/JPAC.</t>
        </is>
      </c>
      <c r="W13" s="4" t="inlineStr">
        <is>
          <t>Fleet evaluation: 30 day placement in two sites, then a group standard.</t>
        </is>
      </c>
      <c r="X13" s="4" t="inlineStr">
        <is>
          <t>Not checked (human list not in v17)</t>
        </is>
      </c>
      <c r="Y13" s="4" t="inlineStr">
        <is>
          <t>https://www.aitom.jp/about/ ; https://www.ondeck.jp/library/interview/20468</t>
        </is>
      </c>
      <c r="Z13" s="4" t="n">
        <v>1</v>
      </c>
      <c r="AA13" s="4" t="n">
        <v>4</v>
      </c>
      <c r="AB13" s="4" t="n">
        <v>3</v>
      </c>
      <c r="AC13" s="4" t="n">
        <v>5</v>
      </c>
      <c r="AD13" s="4" t="n">
        <v>1</v>
      </c>
      <c r="AE13" s="4" t="n">
        <v>1</v>
      </c>
      <c r="AF13" s="4" t="n">
        <v>3</v>
      </c>
      <c r="AG13" s="4" t="inlineStr">
        <is>
          <t>Evidence backed</t>
        </is>
      </c>
    </row>
    <row r="14" ht="75" customHeight="1">
      <c r="A14" s="4" t="n">
        <v>10</v>
      </c>
      <c r="B14" s="4" t="inlineStr">
        <is>
          <t>Anicom Senshin Iryo Kenkyusho / Anicom Pafe</t>
        </is>
      </c>
      <c r="C14" s="4" t="inlineStr">
        <is>
          <t>アニコム先進医療研究所株式会社 / アニコム パフェ株式会社</t>
        </is>
      </c>
      <c r="D14" s="4" t="inlineStr">
        <is>
          <t>Not found (NTA lookup blocked; dedupe by Japanese name)</t>
        </is>
      </c>
      <c r="E14" s="4" t="inlineStr">
        <is>
          <t>Tokyo</t>
        </is>
      </c>
      <c r="F14" s="4" t="inlineStr">
        <is>
          <t>Kanto</t>
        </is>
      </c>
      <c r="G14" s="5" t="inlineStr">
        <is>
          <t>https://www.anicom-pafe.com</t>
        </is>
      </c>
      <c r="H14" s="4" t="inlineStr">
        <is>
          <t>End user (animal hospital group)</t>
        </is>
      </c>
      <c r="I14" s="4" t="inlineStr">
        <is>
          <t>Not identified</t>
        </is>
      </c>
      <c r="J14" s="4" t="inlineStr">
        <is>
          <t>Companion</t>
        </is>
      </c>
      <c r="K14" s="4" t="inlineStr">
        <is>
          <t>National</t>
        </is>
      </c>
      <c r="L14" s="4" t="inlineStr">
        <is>
          <t>Not found</t>
        </is>
      </c>
      <c r="M14" s="4" t="inlineStr">
        <is>
          <t>17 (2021); Anicom group runs 50 plus</t>
        </is>
      </c>
      <c r="N14" s="4" t="inlineStr">
        <is>
          <t>Not identified</t>
        </is>
      </c>
      <c r="O14" s="4" t="inlineStr">
        <is>
          <t>Not identified</t>
        </is>
      </c>
      <c r="P14" s="4" t="inlineStr">
        <is>
          <t>Not published; inquiry form: https://www.anicom-pafe.com/inquiry.html</t>
        </is>
      </c>
      <c r="Q14" s="4" t="inlineStr">
        <is>
          <t>0570 09 1212 (opening support)</t>
        </is>
      </c>
      <c r="R14" s="4" t="inlineStr">
        <is>
          <t>Not identified</t>
        </is>
      </c>
      <c r="S14" s="4" t="inlineStr">
        <is>
          <t>Company inquiry only (form)</t>
        </is>
      </c>
      <c r="T14" s="6">
        <f>SUM(Z14:AF14)</f>
        <v>18</v>
      </c>
      <c r="U14" s="12" t="inlineStr">
        <is>
          <t>V5</t>
        </is>
      </c>
      <c r="V14" s="4" t="inlineStr">
        <is>
          <t>Insurer owned hospital network plus a clinic opening support arm.</t>
        </is>
      </c>
      <c r="W14" s="4" t="inlineStr">
        <is>
          <t>Fleet evaluation: 30 day placement in two sites, then a group standard.</t>
        </is>
      </c>
      <c r="X14" s="4" t="inlineStr">
        <is>
          <t>Not checked (human list not in v17)</t>
        </is>
      </c>
      <c r="Y14" s="4" t="inlineStr">
        <is>
          <t>https://ahhd.jp/I0000003 ; https://www.anicom-pafe.com/hospital/openingsupport.html ; https://www.anicom-pafe.com/inquiry.html</t>
        </is>
      </c>
      <c r="Z14" s="4" t="n">
        <v>1</v>
      </c>
      <c r="AA14" s="4" t="n">
        <v>4</v>
      </c>
      <c r="AB14" s="4" t="n">
        <v>3</v>
      </c>
      <c r="AC14" s="4" t="n">
        <v>5</v>
      </c>
      <c r="AD14" s="4" t="n">
        <v>1</v>
      </c>
      <c r="AE14" s="4" t="n">
        <v>1</v>
      </c>
      <c r="AF14" s="4" t="n">
        <v>3</v>
      </c>
      <c r="AG14" s="4" t="inlineStr">
        <is>
          <t>Evidence backed</t>
        </is>
      </c>
    </row>
    <row r="15" ht="75" customHeight="1">
      <c r="A15" s="4" t="n">
        <v>11</v>
      </c>
      <c r="B15" s="4" t="inlineStr">
        <is>
          <t>Fanimedic Animal Medical Group</t>
        </is>
      </c>
      <c r="C15" s="4" t="inlineStr">
        <is>
          <t>ファニメディック動物医療グループ</t>
        </is>
      </c>
      <c r="D15" s="4" t="inlineStr">
        <is>
          <t>Not found (NTA lookup blocked; dedupe by Japanese name)</t>
        </is>
      </c>
      <c r="E15" s="4" t="inlineStr">
        <is>
          <t>Chiba</t>
        </is>
      </c>
      <c r="F15" s="4" t="inlineStr">
        <is>
          <t>Kanto</t>
        </is>
      </c>
      <c r="G15" s="5" t="inlineStr">
        <is>
          <t>https://www.fanimedic-ah.com</t>
        </is>
      </c>
      <c r="H15" s="4" t="inlineStr">
        <is>
          <t>End user (animal hospital group)</t>
        </is>
      </c>
      <c r="I15" s="4" t="inlineStr">
        <is>
          <t>Not identified</t>
        </is>
      </c>
      <c r="J15" s="4" t="inlineStr">
        <is>
          <t>Companion</t>
        </is>
      </c>
      <c r="K15" s="4" t="inlineStr">
        <is>
          <t>Chiba, Tokyo, Saitama</t>
        </is>
      </c>
      <c r="L15" s="4" t="inlineStr">
        <is>
          <t>Not found</t>
        </is>
      </c>
      <c r="M15" s="4" t="inlineStr">
        <is>
          <t>About 20</t>
        </is>
      </c>
      <c r="N15" s="4" t="inlineStr">
        <is>
          <t>Not identified</t>
        </is>
      </c>
      <c r="O15" s="4" t="inlineStr">
        <is>
          <t>Not identified</t>
        </is>
      </c>
      <c r="P15" s="4" t="inlineStr">
        <is>
          <t>Not published; inquiry form: https://www.fanimedic.com/about-us.php</t>
        </is>
      </c>
      <c r="Q15" s="4" t="inlineStr">
        <is>
          <t>04 7158 9722 (management office)</t>
        </is>
      </c>
      <c r="R15" s="4" t="inlineStr">
        <is>
          <t>Not identified</t>
        </is>
      </c>
      <c r="S15" s="4" t="inlineStr">
        <is>
          <t>Company inquiry only (form)</t>
        </is>
      </c>
      <c r="T15" s="6">
        <f>SUM(Z15:AF15)</f>
        <v>18</v>
      </c>
      <c r="U15" s="12" t="inlineStr">
        <is>
          <t>V5</t>
        </is>
      </c>
      <c r="V15" s="4" t="inlineStr">
        <is>
          <t>About 20 hospitals incl. three advanced centres.</t>
        </is>
      </c>
      <c r="W15" s="4" t="inlineStr">
        <is>
          <t>Fleet evaluation: 30 day placement in two sites, then a group standard.</t>
        </is>
      </c>
      <c r="X15" s="4" t="inlineStr">
        <is>
          <t>Not checked (human list not in v17)</t>
        </is>
      </c>
      <c r="Y15" s="4" t="inlineStr">
        <is>
          <t>https://www.fanimedic-ah.com/group-hospitals/ ; https://www.fanimedic.com/about-us.php</t>
        </is>
      </c>
      <c r="Z15" s="4" t="n">
        <v>1</v>
      </c>
      <c r="AA15" s="4" t="n">
        <v>4</v>
      </c>
      <c r="AB15" s="4" t="n">
        <v>3</v>
      </c>
      <c r="AC15" s="4" t="n">
        <v>5</v>
      </c>
      <c r="AD15" s="4" t="n">
        <v>1</v>
      </c>
      <c r="AE15" s="4" t="n">
        <v>1</v>
      </c>
      <c r="AF15" s="4" t="n">
        <v>3</v>
      </c>
      <c r="AG15" s="4" t="inlineStr">
        <is>
          <t>Evidence backed</t>
        </is>
      </c>
    </row>
    <row r="16" ht="75" customHeight="1">
      <c r="A16" s="4" t="n">
        <v>12</v>
      </c>
      <c r="B16" s="4" t="inlineStr">
        <is>
          <t>Inagaki Animal Hospital</t>
        </is>
      </c>
      <c r="C16" s="4" t="inlineStr">
        <is>
          <t>いながき動物病院</t>
        </is>
      </c>
      <c r="D16" s="4" t="inlineStr">
        <is>
          <t>Not found (NTA lookup blocked; dedupe by Japanese name)</t>
        </is>
      </c>
      <c r="E16" s="4" t="inlineStr">
        <is>
          <t>Saitama</t>
        </is>
      </c>
      <c r="F16" s="4" t="inlineStr">
        <is>
          <t>Kanto</t>
        </is>
      </c>
      <c r="G16" s="5" t="inlineStr">
        <is>
          <t>https://inagakiah.com/</t>
        </is>
      </c>
      <c r="H16" s="4" t="inlineStr">
        <is>
          <t>End user (animal hospital group)</t>
        </is>
      </c>
      <c r="I16" s="4" t="inlineStr">
        <is>
          <t>Not identified</t>
        </is>
      </c>
      <c r="J16" s="4" t="inlineStr">
        <is>
          <t>Companion</t>
        </is>
      </c>
      <c r="K16" s="4" t="inlineStr">
        <is>
          <t>Saitama, Gunma, Chiba, Ibaraki</t>
        </is>
      </c>
      <c r="L16" s="4" t="inlineStr">
        <is>
          <t>Not found</t>
        </is>
      </c>
      <c r="M16" s="4" t="inlineStr">
        <is>
          <t>6 plus (Koshigaya main and branches)</t>
        </is>
      </c>
      <c r="N16" s="4" t="inlineStr">
        <is>
          <t>Not identified</t>
        </is>
      </c>
      <c r="O16" s="4" t="inlineStr">
        <is>
          <t>Not identified</t>
        </is>
      </c>
      <c r="P16" s="4" t="inlineStr">
        <is>
          <t>Not published; inquiry form: https://inagakiah.com/contact/</t>
        </is>
      </c>
      <c r="Q16" s="4" t="inlineStr">
        <is>
          <t>080 7715 7321</t>
        </is>
      </c>
      <c r="R16" s="4" t="inlineStr">
        <is>
          <t>Not identified</t>
        </is>
      </c>
      <c r="S16" s="4" t="inlineStr">
        <is>
          <t>Company inquiry only (form)</t>
        </is>
      </c>
      <c r="T16" s="6">
        <f>SUM(Z16:AF16)</f>
        <v>18</v>
      </c>
      <c r="U16" s="12" t="inlineStr">
        <is>
          <t>V5</t>
        </is>
      </c>
      <c r="V16" s="4" t="inlineStr">
        <is>
          <t>Multi branch TNR focused group across North Kanto.</t>
        </is>
      </c>
      <c r="W16" s="4" t="inlineStr">
        <is>
          <t>Fleet evaluation: 30 day placement in two sites, then a group standard.</t>
        </is>
      </c>
      <c r="X16" s="4" t="inlineStr">
        <is>
          <t>Not checked (human list not in v17)</t>
        </is>
      </c>
      <c r="Y16" s="4" t="inlineStr">
        <is>
          <t>https://inagakiah.com/ ; https://inagakiah.com/contact/</t>
        </is>
      </c>
      <c r="Z16" s="4" t="n">
        <v>1</v>
      </c>
      <c r="AA16" s="4" t="n">
        <v>4</v>
      </c>
      <c r="AB16" s="4" t="n">
        <v>3</v>
      </c>
      <c r="AC16" s="4" t="n">
        <v>5</v>
      </c>
      <c r="AD16" s="4" t="n">
        <v>1</v>
      </c>
      <c r="AE16" s="4" t="n">
        <v>1</v>
      </c>
      <c r="AF16" s="4" t="n">
        <v>3</v>
      </c>
      <c r="AG16" s="4" t="inlineStr">
        <is>
          <t>Evidence backed</t>
        </is>
      </c>
    </row>
    <row r="17" ht="75" customHeight="1">
      <c r="A17" s="4" t="n">
        <v>13</v>
      </c>
      <c r="B17" s="4" t="inlineStr">
        <is>
          <t>JPR Co., Ltd. (Primo Animal Hospital Group)</t>
        </is>
      </c>
      <c r="C17" s="4" t="inlineStr">
        <is>
          <t>株式会社JPR (プリモ動物病院グループ)</t>
        </is>
      </c>
      <c r="D17" s="4" t="inlineStr">
        <is>
          <t>Not found (NTA lookup blocked; dedupe by Japanese name)</t>
        </is>
      </c>
      <c r="E17" s="4" t="inlineStr">
        <is>
          <t>Tokyo</t>
        </is>
      </c>
      <c r="F17" s="4" t="inlineStr">
        <is>
          <t>Kanto</t>
        </is>
      </c>
      <c r="G17" s="5" t="inlineStr">
        <is>
          <t>https://www.primo-ah.com/</t>
        </is>
      </c>
      <c r="H17" s="4" t="inlineStr">
        <is>
          <t>End user (animal hospital group)</t>
        </is>
      </c>
      <c r="I17" s="4" t="inlineStr">
        <is>
          <t>Not identified</t>
        </is>
      </c>
      <c r="J17" s="4" t="inlineStr">
        <is>
          <t>Companion</t>
        </is>
      </c>
      <c r="K17" s="4" t="inlineStr">
        <is>
          <t>Sagamihara, Machida, Atsugi, Totsuka, Nerima; Miyagi</t>
        </is>
      </c>
      <c r="L17" s="4" t="inlineStr">
        <is>
          <t>Not found</t>
        </is>
      </c>
      <c r="M17" s="4" t="inlineStr">
        <is>
          <t>11 plus Sendai Higashi</t>
        </is>
      </c>
      <c r="N17" s="4" t="inlineStr">
        <is>
          <t>Not identified</t>
        </is>
      </c>
      <c r="O17" s="4" t="inlineStr">
        <is>
          <t>Not identified</t>
        </is>
      </c>
      <c r="P17" s="4" t="inlineStr">
        <is>
          <t>Not published; inquiry form: https://www.primo-ah.com/about/</t>
        </is>
      </c>
      <c r="Q17" s="4" t="inlineStr">
        <is>
          <t>042 860 6980</t>
        </is>
      </c>
      <c r="R17" s="4" t="inlineStr">
        <is>
          <t>Not identified</t>
        </is>
      </c>
      <c r="S17" s="4" t="inlineStr">
        <is>
          <t>Company inquiry only (form); operator confirmed as 株式会社JPR, Machida, Tokyo</t>
        </is>
      </c>
      <c r="T17" s="6">
        <f>SUM(Z17:AF17)</f>
        <v>18</v>
      </c>
      <c r="U17" s="12" t="inlineStr">
        <is>
          <t>V5</t>
        </is>
      </c>
      <c r="V17" s="4" t="inlineStr">
        <is>
          <t>Eleven hospital Kanagawa group that expanded to Sendai by succession in 2026. NOTE: operator confirmed as 株式会社JPR on recheck (one older source shows JPB株式会社); HQ Tokyo.</t>
        </is>
      </c>
      <c r="W17" s="4" t="inlineStr">
        <is>
          <t>Fleet evaluation: 30 day placement in two sites, then a group standard.</t>
        </is>
      </c>
      <c r="X17" s="4" t="inlineStr">
        <is>
          <t>Not checked (human list not in v17)</t>
        </is>
      </c>
      <c r="Y17" s="4" t="inlineStr">
        <is>
          <t>https://www.primo-ah.com/ ; https://sendaihigashi.jpbvet.com/ ; https://www.primo-ah.com/about/</t>
        </is>
      </c>
      <c r="Z17" s="4" t="n">
        <v>1</v>
      </c>
      <c r="AA17" s="4" t="n">
        <v>4</v>
      </c>
      <c r="AB17" s="4" t="n">
        <v>3</v>
      </c>
      <c r="AC17" s="4" t="n">
        <v>5</v>
      </c>
      <c r="AD17" s="4" t="n">
        <v>1</v>
      </c>
      <c r="AE17" s="4" t="n">
        <v>1</v>
      </c>
      <c r="AF17" s="4" t="n">
        <v>3</v>
      </c>
      <c r="AG17" s="4" t="inlineStr">
        <is>
          <t>Evidence backed</t>
        </is>
      </c>
    </row>
    <row r="18" ht="75" customHeight="1">
      <c r="A18" s="4" t="n">
        <v>14</v>
      </c>
      <c r="B18" s="4" t="inlineStr">
        <is>
          <t>Lifemate Animal Hospital Group</t>
        </is>
      </c>
      <c r="C18" s="4" t="inlineStr">
        <is>
          <t>ライフメイト動物病院グループ</t>
        </is>
      </c>
      <c r="D18" s="4" t="inlineStr">
        <is>
          <t>Not found (NTA lookup blocked; dedupe by Japanese name)</t>
        </is>
      </c>
      <c r="E18" s="4" t="inlineStr">
        <is>
          <t>Tokyo</t>
        </is>
      </c>
      <c r="F18" s="4" t="inlineStr">
        <is>
          <t>Kanto</t>
        </is>
      </c>
      <c r="G18" s="5" t="inlineStr">
        <is>
          <t>https://lifemate-vh.com/</t>
        </is>
      </c>
      <c r="H18" s="4" t="inlineStr">
        <is>
          <t>End user (animal hospital group)</t>
        </is>
      </c>
      <c r="I18" s="4" t="inlineStr">
        <is>
          <t>Not identified</t>
        </is>
      </c>
      <c r="J18" s="4" t="inlineStr">
        <is>
          <t>Companion</t>
        </is>
      </c>
      <c r="K18" s="4" t="inlineStr">
        <is>
          <t>Kanto and Hokkaido</t>
        </is>
      </c>
      <c r="L18" s="4" t="inlineStr">
        <is>
          <t>Not found</t>
        </is>
      </c>
      <c r="M18" s="4" t="inlineStr">
        <is>
          <t>9</t>
        </is>
      </c>
      <c r="N18" s="4" t="inlineStr">
        <is>
          <t>Not identified</t>
        </is>
      </c>
      <c r="O18" s="4" t="inlineStr">
        <is>
          <t>Not identified</t>
        </is>
      </c>
      <c r="P18" s="4" t="inlineStr">
        <is>
          <t>Not published; inquiry form: https://lifemate-vh.com/company-info/</t>
        </is>
      </c>
      <c r="Q18" s="4" t="inlineStr">
        <is>
          <t>03 3909 4444 (per job site)</t>
        </is>
      </c>
      <c r="R18" s="4" t="inlineStr">
        <is>
          <t>Not identified</t>
        </is>
      </c>
      <c r="S18" s="4" t="inlineStr">
        <is>
          <t>Company inquiry only (form); operator 株式会社LVG, Minato, Tokyo</t>
        </is>
      </c>
      <c r="T18" s="6">
        <f>SUM(Z18:AF18)</f>
        <v>18</v>
      </c>
      <c r="U18" s="12" t="inlineStr">
        <is>
          <t>V5</t>
        </is>
      </c>
      <c r="V18" s="4" t="inlineStr">
        <is>
          <t>Nine hospitals across Kanto and Hokkaido. FLAG: HQ prefecture assumed Tokyo; confirm.</t>
        </is>
      </c>
      <c r="W18" s="4" t="inlineStr">
        <is>
          <t>Fleet evaluation: 30 day placement in two sites, then a group standard.</t>
        </is>
      </c>
      <c r="X18" s="4" t="inlineStr">
        <is>
          <t>Not checked (human list not in v17)</t>
        </is>
      </c>
      <c r="Y18" s="4" t="inlineStr">
        <is>
          <t>https://lifemate-vh.com/ ; https://lifemate-vh.com/company-info/</t>
        </is>
      </c>
      <c r="Z18" s="4" t="n">
        <v>1</v>
      </c>
      <c r="AA18" s="4" t="n">
        <v>4</v>
      </c>
      <c r="AB18" s="4" t="n">
        <v>3</v>
      </c>
      <c r="AC18" s="4" t="n">
        <v>5</v>
      </c>
      <c r="AD18" s="4" t="n">
        <v>1</v>
      </c>
      <c r="AE18" s="4" t="n">
        <v>1</v>
      </c>
      <c r="AF18" s="4" t="n">
        <v>3</v>
      </c>
      <c r="AG18" s="4" t="inlineStr">
        <is>
          <t>Evidence backed</t>
        </is>
      </c>
    </row>
    <row r="19" ht="75" customHeight="1">
      <c r="A19" s="4" t="n">
        <v>15</v>
      </c>
      <c r="B19" s="4" t="inlineStr">
        <is>
          <t>Minami Animal Hospital Group</t>
        </is>
      </c>
      <c r="C19" s="4" t="inlineStr">
        <is>
          <t>南動物病院グループ (minami ahg)</t>
        </is>
      </c>
      <c r="D19" s="4" t="inlineStr">
        <is>
          <t>Not found (NTA lookup blocked; dedupe by Japanese name)</t>
        </is>
      </c>
      <c r="E19" s="4" t="inlineStr">
        <is>
          <t>Kanagawa</t>
        </is>
      </c>
      <c r="F19" s="4" t="inlineStr">
        <is>
          <t>Kanto</t>
        </is>
      </c>
      <c r="G19" s="5" t="inlineStr">
        <is>
          <t>https://bayside.minami-ahg.jp/</t>
        </is>
      </c>
      <c r="H19" s="4" t="inlineStr">
        <is>
          <t>End user (animal hospital group)</t>
        </is>
      </c>
      <c r="I19" s="4" t="inlineStr">
        <is>
          <t>Not identified</t>
        </is>
      </c>
      <c r="J19" s="4" t="inlineStr">
        <is>
          <t>Companion</t>
        </is>
      </c>
      <c r="K19" s="4" t="inlineStr">
        <is>
          <t>Yokohama</t>
        </is>
      </c>
      <c r="L19" s="4" t="inlineStr">
        <is>
          <t>Not found</t>
        </is>
      </c>
      <c r="M19" s="4" t="inlineStr">
        <is>
          <t>Multiple</t>
        </is>
      </c>
      <c r="N19" s="4" t="inlineStr">
        <is>
          <t>Not identified</t>
        </is>
      </c>
      <c r="O19" s="4" t="inlineStr">
        <is>
          <t>Not identified</t>
        </is>
      </c>
      <c r="P19" s="4" t="inlineStr">
        <is>
          <t>Not published; phone only</t>
        </is>
      </c>
      <c r="Q19" s="4" t="inlineStr">
        <is>
          <t>045 440 0987 (Bayside clinic)</t>
        </is>
      </c>
      <c r="R19" s="4" t="inlineStr">
        <is>
          <t>Not identified</t>
        </is>
      </c>
      <c r="S19" s="4" t="inlineStr">
        <is>
          <t>Company inquiry only (phone)</t>
        </is>
      </c>
      <c r="T19" s="6">
        <f>SUM(Z19:AF19)</f>
        <v>18</v>
      </c>
      <c r="U19" s="12" t="inlineStr">
        <is>
          <t>V5</t>
        </is>
      </c>
      <c r="V19" s="4" t="inlineStr">
        <is>
          <t>Yokohama group incl. Bayside Animal Clinic. FLAG: Hospital count not confirmed.</t>
        </is>
      </c>
      <c r="W19" s="4" t="inlineStr">
        <is>
          <t>Fleet evaluation: 30 day placement in two sites, then a group standard.</t>
        </is>
      </c>
      <c r="X19" s="4" t="inlineStr">
        <is>
          <t>Not checked (human list not in v17)</t>
        </is>
      </c>
      <c r="Y19" s="4" t="inlineStr">
        <is>
          <t>https://bayside.minami-ahg.jp/ ; https://www.minami-ahg.jp/service/index.html</t>
        </is>
      </c>
      <c r="Z19" s="4" t="n">
        <v>1</v>
      </c>
      <c r="AA19" s="4" t="n">
        <v>4</v>
      </c>
      <c r="AB19" s="4" t="n">
        <v>3</v>
      </c>
      <c r="AC19" s="4" t="n">
        <v>5</v>
      </c>
      <c r="AD19" s="4" t="n">
        <v>1</v>
      </c>
      <c r="AE19" s="4" t="n">
        <v>1</v>
      </c>
      <c r="AF19" s="4" t="n">
        <v>3</v>
      </c>
      <c r="AG19" s="4" t="inlineStr">
        <is>
          <t>Evidence backed</t>
        </is>
      </c>
    </row>
    <row r="20" ht="75" customHeight="1">
      <c r="A20" s="4" t="n">
        <v>16</v>
      </c>
      <c r="B20" s="4" t="inlineStr">
        <is>
          <t>MiraiVets Partners / Japan Animal Care Holdings (JPAC)</t>
        </is>
      </c>
      <c r="C20" s="4" t="inlineStr">
        <is>
          <t>MiraiVets Partners株式会社 / 株式会社Japan Animal Care Holdings</t>
        </is>
      </c>
      <c r="D20" s="4" t="inlineStr">
        <is>
          <t>Not found (NTA lookup blocked; dedupe by Japanese name)</t>
        </is>
      </c>
      <c r="E20" s="4" t="inlineStr">
        <is>
          <t>Tokyo</t>
        </is>
      </c>
      <c r="F20" s="4" t="inlineStr">
        <is>
          <t>Kanto</t>
        </is>
      </c>
      <c r="G20" s="5" t="inlineStr">
        <is>
          <t>https://www.jpac.jp/</t>
        </is>
      </c>
      <c r="H20" s="4" t="inlineStr">
        <is>
          <t>End user (animal hospital group)</t>
        </is>
      </c>
      <c r="I20" s="4" t="inlineStr">
        <is>
          <t>Not identified</t>
        </is>
      </c>
      <c r="J20" s="4" t="inlineStr">
        <is>
          <t>Companion</t>
        </is>
      </c>
      <c r="K20" s="4" t="inlineStr">
        <is>
          <t>National</t>
        </is>
      </c>
      <c r="L20" s="4" t="inlineStr">
        <is>
          <t>Not found</t>
        </is>
      </c>
      <c r="M20" s="4" t="inlineStr">
        <is>
          <t>About 50 facilities in 15 prefectures</t>
        </is>
      </c>
      <c r="N20" s="4" t="inlineStr">
        <is>
          <t>Not identified</t>
        </is>
      </c>
      <c r="O20" s="4" t="inlineStr">
        <is>
          <t>Not identified</t>
        </is>
      </c>
      <c r="P20" s="4" t="inlineStr">
        <is>
          <t>info@mail.jpac.jp</t>
        </is>
      </c>
      <c r="Q20" s="4" t="inlineStr">
        <is>
          <t>03 3525 8668</t>
        </is>
      </c>
      <c r="R20" s="4" t="inlineStr">
        <is>
          <t>Not identified</t>
        </is>
      </c>
      <c r="S20" s="4" t="inlineStr">
        <is>
          <t>Verified (published on own site, read via search); PR and marketing dept, from company press release</t>
        </is>
      </c>
      <c r="T20" s="6">
        <f>SUM(Z20:AF20)</f>
        <v>18</v>
      </c>
      <c r="U20" s="12" t="inlineStr">
        <is>
          <t>V5</t>
        </is>
      </c>
      <c r="V20" s="4" t="inlineStr">
        <is>
          <t>Holding formed by JPAC and ANCHORS with about 50 facilities; group purchasing makes a fleet deal possible. FLAG: Group overlap: Elsa, Will and Ai groups below sit inside this holding; agree which entity owns the conversation.</t>
        </is>
      </c>
      <c r="W20" s="4" t="inlineStr">
        <is>
          <t>Fleet evaluation: 30 day placement in two sites, then a group standard.</t>
        </is>
      </c>
      <c r="X20" s="4" t="inlineStr">
        <is>
          <t>Not checked (human list not in v17)</t>
        </is>
      </c>
      <c r="Y20" s="4" t="inlineStr">
        <is>
          <t>https://prtimes.jp/main/html/rd/p/000000001.000183725.html ; https://www.jpac.jp/ ; https://prtimes.jp/main/html/rd/p/000000007.000170012.html</t>
        </is>
      </c>
      <c r="Z20" s="4" t="n">
        <v>1</v>
      </c>
      <c r="AA20" s="4" t="n">
        <v>4</v>
      </c>
      <c r="AB20" s="4" t="n">
        <v>3</v>
      </c>
      <c r="AC20" s="4" t="n">
        <v>5</v>
      </c>
      <c r="AD20" s="4" t="n">
        <v>1</v>
      </c>
      <c r="AE20" s="4" t="n">
        <v>1</v>
      </c>
      <c r="AF20" s="4" t="n">
        <v>3</v>
      </c>
      <c r="AG20" s="4" t="inlineStr">
        <is>
          <t>Evidence backed</t>
        </is>
      </c>
    </row>
    <row r="21" ht="75" customHeight="1">
      <c r="A21" s="4" t="n">
        <v>17</v>
      </c>
      <c r="B21" s="4" t="inlineStr">
        <is>
          <t>Otakibashi Animal Hospital Group</t>
        </is>
      </c>
      <c r="C21" s="4" t="inlineStr">
        <is>
          <t>小滝橋動物病院グループ</t>
        </is>
      </c>
      <c r="D21" s="4" t="inlineStr">
        <is>
          <t>Not found (NTA lookup blocked; dedupe by Japanese name)</t>
        </is>
      </c>
      <c r="E21" s="4" t="inlineStr">
        <is>
          <t>Tokyo</t>
        </is>
      </c>
      <c r="F21" s="4" t="inlineStr">
        <is>
          <t>Kanto</t>
        </is>
      </c>
      <c r="G21" s="5" t="inlineStr">
        <is>
          <t>https://otakibashi.com/</t>
        </is>
      </c>
      <c r="H21" s="4" t="inlineStr">
        <is>
          <t>End user (animal hospital group)</t>
        </is>
      </c>
      <c r="I21" s="4" t="inlineStr">
        <is>
          <t>Not identified</t>
        </is>
      </c>
      <c r="J21" s="4" t="inlineStr">
        <is>
          <t>Companion</t>
        </is>
      </c>
      <c r="K21" s="4" t="inlineStr">
        <is>
          <t>Tokyo and Sapporo</t>
        </is>
      </c>
      <c r="L21" s="4" t="inlineStr">
        <is>
          <t>Not found</t>
        </is>
      </c>
      <c r="M21" s="4" t="inlineStr">
        <is>
          <t>Multiple incl. Sapporo</t>
        </is>
      </c>
      <c r="N21" s="4" t="inlineStr">
        <is>
          <t>Not identified</t>
        </is>
      </c>
      <c r="O21" s="4" t="inlineStr">
        <is>
          <t>Not identified</t>
        </is>
      </c>
      <c r="P21" s="4" t="inlineStr">
        <is>
          <t>Not published; phone only</t>
        </is>
      </c>
      <c r="Q21" s="4" t="inlineStr">
        <is>
          <t>03 5332 6866</t>
        </is>
      </c>
      <c r="R21" s="4" t="inlineStr">
        <is>
          <t>Not identified</t>
        </is>
      </c>
      <c r="S21" s="4" t="inlineStr">
        <is>
          <t>Company inquiry only (phone)</t>
        </is>
      </c>
      <c r="T21" s="6">
        <f>SUM(Z21:AF21)</f>
        <v>18</v>
      </c>
      <c r="U21" s="12" t="inlineStr">
        <is>
          <t>V5</t>
        </is>
      </c>
      <c r="V21" s="4" t="inlineStr">
        <is>
          <t>Tokyo group with a Sapporo hospital.</t>
        </is>
      </c>
      <c r="W21" s="4" t="inlineStr">
        <is>
          <t>Fleet evaluation: 30 day placement in two sites, then a group standard.</t>
        </is>
      </c>
      <c r="X21" s="4" t="inlineStr">
        <is>
          <t>Not checked (human list not in v17)</t>
        </is>
      </c>
      <c r="Y21" s="4" t="inlineStr">
        <is>
          <t>https://medical-space.co.jp/works/area/ ; https://otakibashi.com/information.php</t>
        </is>
      </c>
      <c r="Z21" s="4" t="n">
        <v>1</v>
      </c>
      <c r="AA21" s="4" t="n">
        <v>4</v>
      </c>
      <c r="AB21" s="4" t="n">
        <v>3</v>
      </c>
      <c r="AC21" s="4" t="n">
        <v>5</v>
      </c>
      <c r="AD21" s="4" t="n">
        <v>1</v>
      </c>
      <c r="AE21" s="4" t="n">
        <v>1</v>
      </c>
      <c r="AF21" s="4" t="n">
        <v>3</v>
      </c>
      <c r="AG21" s="4" t="inlineStr">
        <is>
          <t>Evidence backed</t>
        </is>
      </c>
    </row>
    <row r="22" ht="75" customHeight="1">
      <c r="A22" s="4" t="n">
        <v>18</v>
      </c>
      <c r="B22" s="4" t="inlineStr">
        <is>
          <t>VCA Japan</t>
        </is>
      </c>
      <c r="C22" s="4" t="inlineStr">
        <is>
          <t>VCA Japan</t>
        </is>
      </c>
      <c r="D22" s="4" t="inlineStr">
        <is>
          <t>Not found (NTA lookup blocked; dedupe by Japanese name)</t>
        </is>
      </c>
      <c r="E22" s="4" t="inlineStr">
        <is>
          <t>Tokyo</t>
        </is>
      </c>
      <c r="F22" s="4" t="inlineStr">
        <is>
          <t>Kanto</t>
        </is>
      </c>
      <c r="G22" s="5" t="inlineStr">
        <is>
          <t>https://www.vcajapan.com</t>
        </is>
      </c>
      <c r="H22" s="4" t="inlineStr">
        <is>
          <t>End user (animal hospital group)</t>
        </is>
      </c>
      <c r="I22" s="4" t="inlineStr">
        <is>
          <t>Not identified</t>
        </is>
      </c>
      <c r="J22" s="4" t="inlineStr">
        <is>
          <t>Companion</t>
        </is>
      </c>
      <c r="K22" s="4" t="inlineStr">
        <is>
          <t>Kanto, Kansai, Chubu, Hokuriku, Kyushu</t>
        </is>
      </c>
      <c r="L22" s="4" t="inlineStr">
        <is>
          <t>Not found</t>
        </is>
      </c>
      <c r="M22" s="4" t="inlineStr">
        <is>
          <t>45+</t>
        </is>
      </c>
      <c r="N22" s="4" t="inlineStr">
        <is>
          <t>Not identified</t>
        </is>
      </c>
      <c r="O22" s="4" t="inlineStr">
        <is>
          <t>Not identified</t>
        </is>
      </c>
      <c r="P22" s="4" t="inlineStr">
        <is>
          <t>vcaj.dpo@vcajapan.com</t>
        </is>
      </c>
      <c r="Q22" s="4" t="inlineStr">
        <is>
          <t>03 5953 1308</t>
        </is>
      </c>
      <c r="R22" s="4" t="inlineStr">
        <is>
          <t>Not identified</t>
        </is>
      </c>
      <c r="S22" s="4" t="inlineStr">
        <is>
          <t>Verified (published on own site, read via search); data protection contact, ask to forward</t>
        </is>
      </c>
      <c r="T22" s="6">
        <f>SUM(Z22:AF22)</f>
        <v>18</v>
      </c>
      <c r="U22" s="12" t="inlineStr">
        <is>
          <t>V5</t>
        </is>
      </c>
      <c r="V22" s="4" t="inlineStr">
        <is>
          <t>Mars group network of 45 plus hospitals. FLAG: Mars global procurement may limit local choice.</t>
        </is>
      </c>
      <c r="W22" s="4" t="inlineStr">
        <is>
          <t>Fleet evaluation: 30 day placement in two sites, then a group standard.</t>
        </is>
      </c>
      <c r="X22" s="4" t="inlineStr">
        <is>
          <t>Not checked (human list not in v17)</t>
        </is>
      </c>
      <c r="Y22" s="4" t="inlineStr">
        <is>
          <t>https://www.vcajapan.com/ ; https://www.vcajapan.com/privacy/</t>
        </is>
      </c>
      <c r="Z22" s="4" t="n">
        <v>1</v>
      </c>
      <c r="AA22" s="4" t="n">
        <v>4</v>
      </c>
      <c r="AB22" s="4" t="n">
        <v>3</v>
      </c>
      <c r="AC22" s="4" t="n">
        <v>5</v>
      </c>
      <c r="AD22" s="4" t="n">
        <v>1</v>
      </c>
      <c r="AE22" s="4" t="n">
        <v>1</v>
      </c>
      <c r="AF22" s="4" t="n">
        <v>3</v>
      </c>
      <c r="AG22" s="4" t="inlineStr">
        <is>
          <t>Evidence backed</t>
        </is>
      </c>
    </row>
    <row r="23" ht="75" customHeight="1">
      <c r="A23" s="4" t="n">
        <v>19</v>
      </c>
      <c r="B23" s="4" t="inlineStr">
        <is>
          <t>Withmal Inc.</t>
        </is>
      </c>
      <c r="C23" s="4" t="inlineStr">
        <is>
          <t>株式会社Withmal</t>
        </is>
      </c>
      <c r="D23" s="4" t="inlineStr">
        <is>
          <t>Not found (NTA lookup blocked; dedupe by Japanese name)</t>
        </is>
      </c>
      <c r="E23" s="4" t="inlineStr">
        <is>
          <t>Tokyo</t>
        </is>
      </c>
      <c r="F23" s="4" t="inlineStr">
        <is>
          <t>Kanto</t>
        </is>
      </c>
      <c r="G23" s="5" t="inlineStr">
        <is>
          <t>https://withmal-hd.co.jp/</t>
        </is>
      </c>
      <c r="H23" s="4" t="inlineStr">
        <is>
          <t>End user (animal hospital group)</t>
        </is>
      </c>
      <c r="I23" s="4" t="inlineStr">
        <is>
          <t>Not identified</t>
        </is>
      </c>
      <c r="J23" s="4" t="inlineStr">
        <is>
          <t>Companion</t>
        </is>
      </c>
      <c r="K23" s="4" t="inlineStr">
        <is>
          <t>National incl. Hokkaido, Aichi, Mie</t>
        </is>
      </c>
      <c r="L23" s="4" t="inlineStr">
        <is>
          <t>Not found</t>
        </is>
      </c>
      <c r="M23" s="4" t="inlineStr">
        <is>
          <t>51 (AHHD, Jul 2026)</t>
        </is>
      </c>
      <c r="N23" s="4" t="inlineStr">
        <is>
          <t>Not identified</t>
        </is>
      </c>
      <c r="O23" s="4" t="inlineStr">
        <is>
          <t>Not identified</t>
        </is>
      </c>
      <c r="P23" s="4" t="inlineStr">
        <is>
          <t>Not published; inquiry form: https://withmal.co.jp/contact/</t>
        </is>
      </c>
      <c r="Q23" s="4" t="inlineStr">
        <is>
          <t>Not found (use site)</t>
        </is>
      </c>
      <c r="R23" s="4" t="inlineStr">
        <is>
          <t>Not identified</t>
        </is>
      </c>
      <c r="S23" s="4" t="inlineStr">
        <is>
          <t>Company inquiry only (form)</t>
        </is>
      </c>
      <c r="T23" s="6">
        <f>SUM(Z23:AF23)</f>
        <v>18</v>
      </c>
      <c r="U23" s="12" t="inlineStr">
        <is>
          <t>V5</t>
        </is>
      </c>
      <c r="V23" s="4" t="inlineStr">
        <is>
          <t>Second largest hospital group (51 sites) after rapid M&amp;A growth; L Catterton backed.</t>
        </is>
      </c>
      <c r="W23" s="4" t="inlineStr">
        <is>
          <t>Fleet evaluation: 30 day placement in two sites, then a group standard.</t>
        </is>
      </c>
      <c r="X23" s="4" t="inlineStr">
        <is>
          <t>Not checked (human list not in v17)</t>
        </is>
      </c>
      <c r="Y23" s="4" t="inlineStr">
        <is>
          <t>https://ahhd.jp/I0000019 ; https://globalpetindustry.com/news/l-catterton-invests-japanese-vet-sector/ ; https://withmal.co.jp/contact/</t>
        </is>
      </c>
      <c r="Z23" s="4" t="n">
        <v>1</v>
      </c>
      <c r="AA23" s="4" t="n">
        <v>4</v>
      </c>
      <c r="AB23" s="4" t="n">
        <v>3</v>
      </c>
      <c r="AC23" s="4" t="n">
        <v>5</v>
      </c>
      <c r="AD23" s="4" t="n">
        <v>1</v>
      </c>
      <c r="AE23" s="4" t="n">
        <v>1</v>
      </c>
      <c r="AF23" s="4" t="n">
        <v>3</v>
      </c>
      <c r="AG23" s="4" t="inlineStr">
        <is>
          <t>Evidence backed</t>
        </is>
      </c>
    </row>
    <row r="24" ht="75" customHeight="1">
      <c r="A24" s="4" t="n">
        <v>20</v>
      </c>
      <c r="B24" s="4" t="inlineStr">
        <is>
          <t>and Vet Co., Ltd. (and Vet Animal Hospital Group)</t>
        </is>
      </c>
      <c r="C24" s="4" t="inlineStr">
        <is>
          <t>株式会社and Vet</t>
        </is>
      </c>
      <c r="D24" s="4" t="inlineStr">
        <is>
          <t>1011501027422</t>
        </is>
      </c>
      <c r="E24" s="4" t="inlineStr">
        <is>
          <t>Tokyo</t>
        </is>
      </c>
      <c r="F24" s="4" t="inlineStr">
        <is>
          <t>Kanto</t>
        </is>
      </c>
      <c r="G24" s="5" t="inlineStr">
        <is>
          <t>https://and-vet-ah.com/</t>
        </is>
      </c>
      <c r="H24" s="4" t="inlineStr">
        <is>
          <t>End user (animal hospital group)</t>
        </is>
      </c>
      <c r="I24" s="4" t="inlineStr">
        <is>
          <t>Not identified</t>
        </is>
      </c>
      <c r="J24" s="4" t="inlineStr">
        <is>
          <t>Companion</t>
        </is>
      </c>
      <c r="K24" s="4" t="inlineStr">
        <is>
          <t>Tokyo and Chiba</t>
        </is>
      </c>
      <c r="L24" s="4" t="inlineStr">
        <is>
          <t>Not found</t>
        </is>
      </c>
      <c r="M24" s="4" t="inlineStr">
        <is>
          <t>5 (incl. affiliates)</t>
        </is>
      </c>
      <c r="N24" s="4" t="inlineStr">
        <is>
          <t>Not identified</t>
        </is>
      </c>
      <c r="O24" s="4" t="inlineStr">
        <is>
          <t>Not identified</t>
        </is>
      </c>
      <c r="P24" s="4" t="inlineStr">
        <is>
          <t>info@and-vet.com</t>
        </is>
      </c>
      <c r="Q24" s="4" t="inlineStr">
        <is>
          <t>Not found (use site)</t>
        </is>
      </c>
      <c r="R24" s="4" t="inlineStr">
        <is>
          <t>Not identified</t>
        </is>
      </c>
      <c r="S24" s="4" t="inlineStr">
        <is>
          <t>Verified (published on own site, read via search); PR contact</t>
        </is>
      </c>
      <c r="T24" s="6">
        <f>SUM(Z24:AF24)</f>
        <v>18</v>
      </c>
      <c r="U24" s="12" t="inlineStr">
        <is>
          <t>V5</t>
        </is>
      </c>
      <c r="V24" s="4" t="inlineStr">
        <is>
          <t>Group formed 2022 running five hospitals in Tokyo and Chiba, with an M&amp;A plan to add regional hospitals.</t>
        </is>
      </c>
      <c r="W24" s="4" t="inlineStr">
        <is>
          <t>Fleet evaluation: 30 day placement in two sites, then a group standard.</t>
        </is>
      </c>
      <c r="X24" s="4" t="inlineStr">
        <is>
          <t>Not checked (human list not in v17)</t>
        </is>
      </c>
      <c r="Y24" s="4" t="inlineStr">
        <is>
          <t>https://and-vet-ah.com/ ; https://compalyze.co.jp/company/1011501027422 ; https://and-vet.com/blog/%E6%A0%AA%E5%BC%8F%E4%BC%9A%E7%A4%BE%E3%82%B8%E3%83%A5%E3%82%A6%E3%83%81%E3%82%AF%E3%81%AE%E4%B8%80%E9%83%A8%E6%A0%AA%E5%BC%8F%E5%8F%96%E5%BE%97%E3%81%8A%E3%82%88%E3%81%B3%E8%A3%BD%E8%96%AC%E5%8D%B8/</t>
        </is>
      </c>
      <c r="Z24" s="4" t="n">
        <v>1</v>
      </c>
      <c r="AA24" s="4" t="n">
        <v>4</v>
      </c>
      <c r="AB24" s="4" t="n">
        <v>3</v>
      </c>
      <c r="AC24" s="4" t="n">
        <v>5</v>
      </c>
      <c r="AD24" s="4" t="n">
        <v>1</v>
      </c>
      <c r="AE24" s="4" t="n">
        <v>1</v>
      </c>
      <c r="AF24" s="4" t="n">
        <v>3</v>
      </c>
      <c r="AG24" s="4" t="inlineStr">
        <is>
          <t>Evidence backed</t>
        </is>
      </c>
    </row>
    <row r="25" ht="75" customHeight="1">
      <c r="A25" s="4" t="n">
        <v>21</v>
      </c>
      <c r="B25" s="4" t="inlineStr">
        <is>
          <t>Fukuoka Animal Medical Center Group</t>
        </is>
      </c>
      <c r="C25" s="4" t="inlineStr">
        <is>
          <t>株式会社福岡動物医療センター</t>
        </is>
      </c>
      <c r="D25" s="4" t="inlineStr">
        <is>
          <t>Not found (NTA lookup blocked; dedupe by Japanese name)</t>
        </is>
      </c>
      <c r="E25" s="4" t="inlineStr">
        <is>
          <t>Fukuoka</t>
        </is>
      </c>
      <c r="F25" s="4" t="inlineStr">
        <is>
          <t>Kyushu and Okinawa</t>
        </is>
      </c>
      <c r="G25" s="5" t="inlineStr">
        <is>
          <t>https://f-dic.com/</t>
        </is>
      </c>
      <c r="H25" s="4" t="inlineStr">
        <is>
          <t>End user (animal hospital group)</t>
        </is>
      </c>
      <c r="I25" s="4" t="inlineStr">
        <is>
          <t>Not identified</t>
        </is>
      </c>
      <c r="J25" s="4" t="inlineStr">
        <is>
          <t>Companion</t>
        </is>
      </c>
      <c r="K25" s="4" t="inlineStr">
        <is>
          <t>Fukuoka (Hakata, Kasuga)</t>
        </is>
      </c>
      <c r="L25" s="4" t="inlineStr">
        <is>
          <t>Not found</t>
        </is>
      </c>
      <c r="M25" s="4" t="inlineStr">
        <is>
          <t>3</t>
        </is>
      </c>
      <c r="N25" s="4" t="inlineStr">
        <is>
          <t>Not identified</t>
        </is>
      </c>
      <c r="O25" s="4" t="inlineStr">
        <is>
          <t>Not identified</t>
        </is>
      </c>
      <c r="P25" s="4" t="inlineStr">
        <is>
          <t>Not published; phone only</t>
        </is>
      </c>
      <c r="Q25" s="4" t="inlineStr">
        <is>
          <t>092 471 7748</t>
        </is>
      </c>
      <c r="R25" s="4" t="inlineStr">
        <is>
          <t>Not identified</t>
        </is>
      </c>
      <c r="S25" s="4" t="inlineStr">
        <is>
          <t>Company inquiry only (phone)</t>
        </is>
      </c>
      <c r="T25" s="6">
        <f>SUM(Z25:AF25)</f>
        <v>18</v>
      </c>
      <c r="U25" s="12" t="inlineStr">
        <is>
          <t>V5</t>
        </is>
      </c>
      <c r="V25" s="4" t="inlineStr">
        <is>
          <t>Three hospital Fukuoka group.</t>
        </is>
      </c>
      <c r="W25" s="4" t="inlineStr">
        <is>
          <t>Fleet evaluation: 30 day placement in two sites, then a group standard.</t>
        </is>
      </c>
      <c r="X25" s="4" t="inlineStr">
        <is>
          <t>Not checked (human list not in v17)</t>
        </is>
      </c>
      <c r="Y25" s="4" t="inlineStr">
        <is>
          <t>https://fukuoka-ahg.jp/group/ ; https://f-dic.com/</t>
        </is>
      </c>
      <c r="Z25" s="4" t="n">
        <v>1</v>
      </c>
      <c r="AA25" s="4" t="n">
        <v>4</v>
      </c>
      <c r="AB25" s="4" t="n">
        <v>3</v>
      </c>
      <c r="AC25" s="4" t="n">
        <v>5</v>
      </c>
      <c r="AD25" s="4" t="n">
        <v>1</v>
      </c>
      <c r="AE25" s="4" t="n">
        <v>1</v>
      </c>
      <c r="AF25" s="4" t="n">
        <v>3</v>
      </c>
      <c r="AG25" s="4" t="inlineStr">
        <is>
          <t>Evidence backed</t>
        </is>
      </c>
    </row>
    <row r="26" ht="75" customHeight="1">
      <c r="A26" s="4" t="n">
        <v>22</v>
      </c>
      <c r="B26" s="4" t="inlineStr">
        <is>
          <t>Pet Clinic Halleluya Group</t>
        </is>
      </c>
      <c r="C26" s="4" t="inlineStr">
        <is>
          <t>ペットクリニックハレルヤ</t>
        </is>
      </c>
      <c r="D26" s="4" t="inlineStr">
        <is>
          <t>Not found (NTA lookup blocked; dedupe by Japanese name)</t>
        </is>
      </c>
      <c r="E26" s="4" t="inlineStr">
        <is>
          <t>Fukuoka</t>
        </is>
      </c>
      <c r="F26" s="4" t="inlineStr">
        <is>
          <t>Kyushu and Okinawa</t>
        </is>
      </c>
      <c r="G26" s="5" t="inlineStr">
        <is>
          <t>https://halleluya-vet.com/</t>
        </is>
      </c>
      <c r="H26" s="4" t="inlineStr">
        <is>
          <t>End user (animal hospital group)</t>
        </is>
      </c>
      <c r="I26" s="4" t="inlineStr">
        <is>
          <t>Not identified</t>
        </is>
      </c>
      <c r="J26" s="4" t="inlineStr">
        <is>
          <t>Companion</t>
        </is>
      </c>
      <c r="K26" s="4" t="inlineStr">
        <is>
          <t>Fukuoka city and Kasuya</t>
        </is>
      </c>
      <c r="L26" s="4" t="inlineStr">
        <is>
          <t>Not found</t>
        </is>
      </c>
      <c r="M26" s="4" t="inlineStr">
        <is>
          <t>4</t>
        </is>
      </c>
      <c r="N26" s="4" t="inlineStr">
        <is>
          <t>Not identified</t>
        </is>
      </c>
      <c r="O26" s="4" t="inlineStr">
        <is>
          <t>Not identified</t>
        </is>
      </c>
      <c r="P26" s="4" t="inlineStr">
        <is>
          <t>hall@helen.ocn.ne.jp</t>
        </is>
      </c>
      <c r="Q26" s="4" t="inlineStr">
        <is>
          <t>092 521 3267</t>
        </is>
      </c>
      <c r="R26" s="4" t="inlineStr">
        <is>
          <t>Not identified</t>
        </is>
      </c>
      <c r="S26" s="4" t="inlineStr">
        <is>
          <t>Verified (published on own site, read via search)</t>
        </is>
      </c>
      <c r="T26" s="6">
        <f>SUM(Z26:AF26)</f>
        <v>18</v>
      </c>
      <c r="U26" s="12" t="inlineStr">
        <is>
          <t>V5</t>
        </is>
      </c>
      <c r="V26" s="4" t="inlineStr">
        <is>
          <t>Four hospital Fukuoka group.</t>
        </is>
      </c>
      <c r="W26" s="4" t="inlineStr">
        <is>
          <t>Fleet evaluation: 30 day placement in two sites, then a group standard.</t>
        </is>
      </c>
      <c r="X26" s="4" t="inlineStr">
        <is>
          <t>Not checked (human list not in v17)</t>
        </is>
      </c>
      <c r="Y26" s="4" t="inlineStr">
        <is>
          <t>https://www.halleluya-vet.net/aboutus</t>
        </is>
      </c>
      <c r="Z26" s="4" t="n">
        <v>1</v>
      </c>
      <c r="AA26" s="4" t="n">
        <v>4</v>
      </c>
      <c r="AB26" s="4" t="n">
        <v>3</v>
      </c>
      <c r="AC26" s="4" t="n">
        <v>5</v>
      </c>
      <c r="AD26" s="4" t="n">
        <v>1</v>
      </c>
      <c r="AE26" s="4" t="n">
        <v>1</v>
      </c>
      <c r="AF26" s="4" t="n">
        <v>3</v>
      </c>
      <c r="AG26" s="4" t="inlineStr">
        <is>
          <t>Evidence backed</t>
        </is>
      </c>
    </row>
    <row r="27" ht="75" customHeight="1">
      <c r="A27" s="4" t="n">
        <v>23</v>
      </c>
      <c r="B27" s="4" t="inlineStr">
        <is>
          <t>Hokkaido Animal Medical Center (Kushiro)</t>
        </is>
      </c>
      <c r="C27" s="4" t="inlineStr">
        <is>
          <t>北海道アニマルメディカルセンター 釧路動物病院</t>
        </is>
      </c>
      <c r="D27" s="4" t="inlineStr">
        <is>
          <t>Not found (NTA lookup blocked; dedupe by Japanese name)</t>
        </is>
      </c>
      <c r="E27" s="4" t="inlineStr">
        <is>
          <t>Hokkaido</t>
        </is>
      </c>
      <c r="F27" s="4" t="inlineStr">
        <is>
          <t>Tohoku and Hokkaido</t>
        </is>
      </c>
      <c r="G27" s="5" t="inlineStr">
        <is>
          <t>https://www.hamc-kah.com/</t>
        </is>
      </c>
      <c r="H27" s="4" t="inlineStr">
        <is>
          <t>End user (animal hospital group)</t>
        </is>
      </c>
      <c r="I27" s="4" t="inlineStr">
        <is>
          <t>Not identified</t>
        </is>
      </c>
      <c r="J27" s="4" t="inlineStr">
        <is>
          <t>Both</t>
        </is>
      </c>
      <c r="K27" s="4" t="inlineStr">
        <is>
          <t>East Hokkaido</t>
        </is>
      </c>
      <c r="L27" s="4" t="inlineStr">
        <is>
          <t>Not found</t>
        </is>
      </c>
      <c r="M27" s="4" t="inlineStr">
        <is>
          <t>Centre plus research unit</t>
        </is>
      </c>
      <c r="N27" s="4" t="inlineStr">
        <is>
          <t>Not identified</t>
        </is>
      </c>
      <c r="O27" s="4" t="inlineStr">
        <is>
          <t>Not identified</t>
        </is>
      </c>
      <c r="P27" s="4" t="inlineStr">
        <is>
          <t>Not published; phone only</t>
        </is>
      </c>
      <c r="Q27" s="4" t="inlineStr">
        <is>
          <t>0154 23 1122</t>
        </is>
      </c>
      <c r="R27" s="4" t="inlineStr">
        <is>
          <t>Not identified</t>
        </is>
      </c>
      <c r="S27" s="4" t="inlineStr">
        <is>
          <t>Company inquiry only (phone)</t>
        </is>
      </c>
      <c r="T27" s="6">
        <f>SUM(Z27:AF27)</f>
        <v>20</v>
      </c>
      <c r="U27" s="12" t="inlineStr">
        <is>
          <t>V5</t>
        </is>
      </c>
      <c r="V27" s="4" t="inlineStr">
        <is>
          <t>Kushiro referral centre with research arm; East Hokkaido has mixed practice demand.</t>
        </is>
      </c>
      <c r="W27" s="4" t="inlineStr">
        <is>
          <t>Fleet evaluation: 30 day placement in two sites, then a group standard.</t>
        </is>
      </c>
      <c r="X27" s="4" t="inlineStr">
        <is>
          <t>Not checked (human list not in v17)</t>
        </is>
      </c>
      <c r="Y27" s="4" t="inlineStr">
        <is>
          <t>https://www.hamc-kah.com/ ; https://www.hamc-kah.com/info_sc/time.cgi</t>
        </is>
      </c>
      <c r="Z27" s="4" t="n">
        <v>1</v>
      </c>
      <c r="AA27" s="4" t="n">
        <v>4</v>
      </c>
      <c r="AB27" s="4" t="n">
        <v>3</v>
      </c>
      <c r="AC27" s="4" t="n">
        <v>5</v>
      </c>
      <c r="AD27" s="4" t="n">
        <v>3</v>
      </c>
      <c r="AE27" s="4" t="n">
        <v>1</v>
      </c>
      <c r="AF27" s="4" t="n">
        <v>3</v>
      </c>
      <c r="AG27" s="4" t="inlineStr">
        <is>
          <t>Evidence backed</t>
        </is>
      </c>
    </row>
    <row r="28" ht="75" customHeight="1">
      <c r="A28" s="4" t="n">
        <v>24</v>
      </c>
      <c r="B28" s="4" t="inlineStr">
        <is>
          <t>Midori no Mori Animal Hospital Group</t>
        </is>
      </c>
      <c r="C28" s="4" t="inlineStr">
        <is>
          <t>緑の森どうぶつ病院</t>
        </is>
      </c>
      <c r="D28" s="4" t="inlineStr">
        <is>
          <t>Not found (NTA lookup blocked; dedupe by Japanese name)</t>
        </is>
      </c>
      <c r="E28" s="4" t="inlineStr">
        <is>
          <t>Hokkaido</t>
        </is>
      </c>
      <c r="F28" s="4" t="inlineStr">
        <is>
          <t>Tohoku and Hokkaido</t>
        </is>
      </c>
      <c r="G28" s="5" t="inlineStr">
        <is>
          <t>https://midori-no-mori.jp/</t>
        </is>
      </c>
      <c r="H28" s="4" t="inlineStr">
        <is>
          <t>End user (animal hospital group)</t>
        </is>
      </c>
      <c r="I28" s="4" t="inlineStr">
        <is>
          <t>Not identified</t>
        </is>
      </c>
      <c r="J28" s="4" t="inlineStr">
        <is>
          <t>Companion</t>
        </is>
      </c>
      <c r="K28" s="4" t="inlineStr">
        <is>
          <t>Asahikawa, Sapporo, Niigata</t>
        </is>
      </c>
      <c r="L28" s="4" t="inlineStr">
        <is>
          <t>Not found</t>
        </is>
      </c>
      <c r="M28" s="4" t="inlineStr">
        <is>
          <t>6</t>
        </is>
      </c>
      <c r="N28" s="4" t="inlineStr">
        <is>
          <t>Not identified</t>
        </is>
      </c>
      <c r="O28" s="4" t="inlineStr">
        <is>
          <t>Not identified</t>
        </is>
      </c>
      <c r="P28" s="4" t="inlineStr">
        <is>
          <t>Not published; phone only</t>
        </is>
      </c>
      <c r="Q28" s="4" t="inlineStr">
        <is>
          <t>050 5445 0840 (Kyokushin centre)</t>
        </is>
      </c>
      <c r="R28" s="4" t="inlineStr">
        <is>
          <t>Not identified</t>
        </is>
      </c>
      <c r="S28" s="4" t="inlineStr">
        <is>
          <t>Company inquiry only (phone)</t>
        </is>
      </c>
      <c r="T28" s="6">
        <f>SUM(Z28:AF28)</f>
        <v>18</v>
      </c>
      <c r="U28" s="12" t="inlineStr">
        <is>
          <t>V5</t>
        </is>
      </c>
      <c r="V28" s="4" t="inlineStr">
        <is>
          <t>Says it is Hokkaido's largest hospital group.</t>
        </is>
      </c>
      <c r="W28" s="4" t="inlineStr">
        <is>
          <t>Fleet evaluation: 30 day placement in two sites, then a group standard.</t>
        </is>
      </c>
      <c r="X28" s="4" t="inlineStr">
        <is>
          <t>Not checked (human list not in v17)</t>
        </is>
      </c>
      <c r="Y28" s="4" t="inlineStr">
        <is>
          <t>https://midori-no-mori.jp/ ; https://midori-no-mori.jp/kyokushin</t>
        </is>
      </c>
      <c r="Z28" s="4" t="n">
        <v>1</v>
      </c>
      <c r="AA28" s="4" t="n">
        <v>4</v>
      </c>
      <c r="AB28" s="4" t="n">
        <v>3</v>
      </c>
      <c r="AC28" s="4" t="n">
        <v>5</v>
      </c>
      <c r="AD28" s="4" t="n">
        <v>1</v>
      </c>
      <c r="AE28" s="4" t="n">
        <v>1</v>
      </c>
      <c r="AF28" s="4" t="n">
        <v>3</v>
      </c>
      <c r="AG28" s="4" t="inlineStr">
        <is>
          <t>Evidence backed</t>
        </is>
      </c>
    </row>
    <row r="29" ht="75" customHeight="1">
      <c r="A29" s="4" t="n">
        <v>25</v>
      </c>
      <c r="B29" s="4" t="inlineStr">
        <is>
          <t>Will Animal Hospital Group</t>
        </is>
      </c>
      <c r="C29" s="4" t="inlineStr">
        <is>
          <t>株式会社ウイル動物病院グループ</t>
        </is>
      </c>
      <c r="D29" s="4" t="inlineStr">
        <is>
          <t>Not found (NTA lookup blocked; dedupe by Japanese name)</t>
        </is>
      </c>
      <c r="E29" s="4" t="inlineStr">
        <is>
          <t>Miyagi</t>
        </is>
      </c>
      <c r="F29" s="4" t="inlineStr">
        <is>
          <t>Tohoku and Hokkaido</t>
        </is>
      </c>
      <c r="G29" s="5" t="inlineStr">
        <is>
          <t>https://animal-99.com/</t>
        </is>
      </c>
      <c r="H29" s="4" t="inlineStr">
        <is>
          <t>End user (animal hospital group)</t>
        </is>
      </c>
      <c r="I29" s="4" t="inlineStr">
        <is>
          <t>Not identified</t>
        </is>
      </c>
      <c r="J29" s="4" t="inlineStr">
        <is>
          <t>Companion</t>
        </is>
      </c>
      <c r="K29" s="4" t="inlineStr">
        <is>
          <t>Miyagi (Sendai, Shiogama, Kakuda, Watari)</t>
        </is>
      </c>
      <c r="L29" s="4" t="inlineStr">
        <is>
          <t>Not found</t>
        </is>
      </c>
      <c r="M29" s="4" t="inlineStr">
        <is>
          <t>9</t>
        </is>
      </c>
      <c r="N29" s="4" t="inlineStr">
        <is>
          <t>Not identified</t>
        </is>
      </c>
      <c r="O29" s="4" t="inlineStr">
        <is>
          <t>Not identified</t>
        </is>
      </c>
      <c r="P29" s="4" t="inlineStr">
        <is>
          <t>Not published; inquiry form: https://animal-99.com/contact_form.html</t>
        </is>
      </c>
      <c r="Q29" s="4" t="inlineStr">
        <is>
          <t>022 355 8492</t>
        </is>
      </c>
      <c r="R29" s="4" t="inlineStr">
        <is>
          <t>Not identified</t>
        </is>
      </c>
      <c r="S29" s="4" t="inlineStr">
        <is>
          <t>Company inquiry only (form)</t>
        </is>
      </c>
      <c r="T29" s="6">
        <f>SUM(Z29:AF29)</f>
        <v>18</v>
      </c>
      <c r="U29" s="12" t="inlineStr">
        <is>
          <t>V5</t>
        </is>
      </c>
      <c r="V29" s="4" t="inlineStr">
        <is>
          <t>Nine hospital Sendai group incl. Sendai Animal Medical Center. FLAG: Part of MiraiVets/JPAC.</t>
        </is>
      </c>
      <c r="W29" s="4" t="inlineStr">
        <is>
          <t>Fleet evaluation: 30 day placement in two sites, then a group standard.</t>
        </is>
      </c>
      <c r="X29" s="4" t="inlineStr">
        <is>
          <t>Not checked (human list not in v17)</t>
        </is>
      </c>
      <c r="Y29" s="4" t="inlineStr">
        <is>
          <t>https://animal-99.com/ ; https://forbesjapan.com/articles/detail/82089 ; https://animal-99.com/contact_form.html</t>
        </is>
      </c>
      <c r="Z29" s="4" t="n">
        <v>1</v>
      </c>
      <c r="AA29" s="4" t="n">
        <v>4</v>
      </c>
      <c r="AB29" s="4" t="n">
        <v>3</v>
      </c>
      <c r="AC29" s="4" t="n">
        <v>5</v>
      </c>
      <c r="AD29" s="4" t="n">
        <v>1</v>
      </c>
      <c r="AE29" s="4" t="n">
        <v>1</v>
      </c>
      <c r="AF29" s="4" t="n">
        <v>3</v>
      </c>
      <c r="AG29" s="4" t="inlineStr">
        <is>
          <t>Evidence backed</t>
        </is>
      </c>
    </row>
    <row r="30" ht="75" customHeight="1">
      <c r="A30" s="4" t="n">
        <v>26</v>
      </c>
      <c r="B30" s="4" t="inlineStr">
        <is>
          <t>NOSAI Niigata</t>
        </is>
      </c>
      <c r="C30" s="4" t="inlineStr">
        <is>
          <t>新潟県農業共済組合</t>
        </is>
      </c>
      <c r="D30" s="4" t="inlineStr">
        <is>
          <t>Not found (NTA lookup blocked; dedupe by Japanese name)</t>
        </is>
      </c>
      <c r="E30" s="4" t="inlineStr">
        <is>
          <t>Niigata</t>
        </is>
      </c>
      <c r="F30" s="4" t="inlineStr">
        <is>
          <t>Chubu</t>
        </is>
      </c>
      <c r="G30" s="5" t="inlineStr">
        <is>
          <t>https://www.nosai-niigata.or.jp/</t>
        </is>
      </c>
      <c r="H30" s="4" t="inlineStr">
        <is>
          <t>End user (livestock clinic network)</t>
        </is>
      </c>
      <c r="I30" s="4" t="inlineStr">
        <is>
          <t>Not identified</t>
        </is>
      </c>
      <c r="J30" s="4" t="inlineStr">
        <is>
          <t>Large animal</t>
        </is>
      </c>
      <c r="K30" s="4" t="inlineStr">
        <is>
          <t>Niigata livestock clinics</t>
        </is>
      </c>
      <c r="L30" s="4" t="inlineStr">
        <is>
          <t>Not found</t>
        </is>
      </c>
      <c r="M30" s="4" t="inlineStr">
        <is>
          <t>Livestock clinics (count not confirmed)</t>
        </is>
      </c>
      <c r="N30" s="4" t="inlineStr">
        <is>
          <t>Not identified</t>
        </is>
      </c>
      <c r="O30" s="4" t="inlineStr">
        <is>
          <t>Not identified</t>
        </is>
      </c>
      <c r="P30" s="4" t="inlineStr">
        <is>
          <t>honsho@nosai-nc.or.jp</t>
        </is>
      </c>
      <c r="Q30" s="4" t="inlineStr">
        <is>
          <t>025 288 6888</t>
        </is>
      </c>
      <c r="R30" s="4" t="inlineStr">
        <is>
          <t>Not identified</t>
        </is>
      </c>
      <c r="S30" s="4" t="inlineStr">
        <is>
          <t>Likely (third party listing); legacy pre merger domain, may be inactive</t>
        </is>
      </c>
      <c r="T30" s="6">
        <f>SUM(Z30:AF30)</f>
        <v>18</v>
      </c>
      <c r="U30" s="12" t="inlineStr">
        <is>
          <t>V5</t>
        </is>
      </c>
      <c r="V30" s="4" t="inlineStr">
        <is>
          <t>Niigata dairy and beef.</t>
        </is>
      </c>
      <c r="W30" s="4" t="inlineStr">
        <is>
          <t>Field trial of a rugged livestock portable (EBit 50) with clinic vets during pregnancy checks.</t>
        </is>
      </c>
      <c r="X30" s="4" t="inlineStr">
        <is>
          <t>Not checked (human list not in v17)</t>
        </is>
      </c>
      <c r="Y30" s="4" t="inlineStr">
        <is>
          <t>https://www.nosai.or.jp/nosai_kasou/nosai_kakuchi01.html ; http://www.nosai-nc.or.jp/gaiyou.html</t>
        </is>
      </c>
      <c r="Z30" s="4" t="n">
        <v>1</v>
      </c>
      <c r="AA30" s="4" t="n">
        <v>4</v>
      </c>
      <c r="AB30" s="4" t="n">
        <v>3</v>
      </c>
      <c r="AC30" s="4" t="n">
        <v>1</v>
      </c>
      <c r="AD30" s="4" t="n">
        <v>5</v>
      </c>
      <c r="AE30" s="4" t="n">
        <v>1</v>
      </c>
      <c r="AF30" s="4" t="n">
        <v>3</v>
      </c>
      <c r="AG30" s="4" t="inlineStr">
        <is>
          <t>Evidence backed</t>
        </is>
      </c>
    </row>
    <row r="31" ht="75" customHeight="1">
      <c r="A31" s="4" t="n">
        <v>27</v>
      </c>
      <c r="B31" s="4" t="inlineStr">
        <is>
          <t>NOSAI Hiroshima</t>
        </is>
      </c>
      <c r="C31" s="4" t="inlineStr">
        <is>
          <t>広島県農業共済組合</t>
        </is>
      </c>
      <c r="D31" s="4" t="inlineStr">
        <is>
          <t>Not found (NTA lookup blocked; dedupe by Japanese name)</t>
        </is>
      </c>
      <c r="E31" s="4" t="inlineStr">
        <is>
          <t>Hiroshima</t>
        </is>
      </c>
      <c r="F31" s="4" t="inlineStr">
        <is>
          <t>Chugoku and Shikoku</t>
        </is>
      </c>
      <c r="G31" s="5" t="inlineStr">
        <is>
          <t>https://nosai-hiroshima.or.jp</t>
        </is>
      </c>
      <c r="H31" s="4" t="inlineStr">
        <is>
          <t>End user (livestock clinic network)</t>
        </is>
      </c>
      <c r="I31" s="4" t="inlineStr">
        <is>
          <t>Not identified</t>
        </is>
      </c>
      <c r="J31" s="4" t="inlineStr">
        <is>
          <t>Large animal</t>
        </is>
      </c>
      <c r="K31" s="4" t="inlineStr">
        <is>
          <t>Hiroshima livestock clinics</t>
        </is>
      </c>
      <c r="L31" s="4" t="inlineStr">
        <is>
          <t>Not found</t>
        </is>
      </c>
      <c r="M31" s="4" t="inlineStr">
        <is>
          <t>5 livestock clinics plus clinical training centre</t>
        </is>
      </c>
      <c r="N31" s="4" t="inlineStr">
        <is>
          <t>Not identified</t>
        </is>
      </c>
      <c r="O31" s="4" t="inlineStr">
        <is>
          <t>Not identified</t>
        </is>
      </c>
      <c r="P31" s="4" t="inlineStr">
        <is>
          <t>Not published; phone only</t>
        </is>
      </c>
      <c r="Q31" s="4" t="inlineStr">
        <is>
          <t>082 262 4711</t>
        </is>
      </c>
      <c r="R31" s="4" t="inlineStr">
        <is>
          <t>Not identified</t>
        </is>
      </c>
      <c r="S31" s="4" t="inlineStr">
        <is>
          <t>Company inquiry only (phone)</t>
        </is>
      </c>
      <c r="T31" s="6">
        <f>SUM(Z31:AF31)</f>
        <v>18</v>
      </c>
      <c r="U31" s="12" t="inlineStr">
        <is>
          <t>V5</t>
        </is>
      </c>
      <c r="V31" s="4" t="inlineStr">
        <is>
          <t>Clinical training centre in Higashi Hiroshima.</t>
        </is>
      </c>
      <c r="W31" s="4" t="inlineStr">
        <is>
          <t>Field trial of a rugged livestock portable (EBit 50) with clinic vets during pregnancy checks.</t>
        </is>
      </c>
      <c r="X31" s="4" t="inlineStr">
        <is>
          <t>Not checked (human list not in v17)</t>
        </is>
      </c>
      <c r="Y31" s="4" t="inlineStr">
        <is>
          <t>https://nosai-hiroshima.or.jp/access-kachiku/ ; https://www.maff.go.jp/j/keiei/nogyohoken/contact.html</t>
        </is>
      </c>
      <c r="Z31" s="4" t="n">
        <v>1</v>
      </c>
      <c r="AA31" s="4" t="n">
        <v>4</v>
      </c>
      <c r="AB31" s="4" t="n">
        <v>3</v>
      </c>
      <c r="AC31" s="4" t="n">
        <v>1</v>
      </c>
      <c r="AD31" s="4" t="n">
        <v>5</v>
      </c>
      <c r="AE31" s="4" t="n">
        <v>1</v>
      </c>
      <c r="AF31" s="4" t="n">
        <v>3</v>
      </c>
      <c r="AG31" s="4" t="inlineStr">
        <is>
          <t>Evidence backed</t>
        </is>
      </c>
    </row>
    <row r="32" ht="75" customHeight="1">
      <c r="A32" s="4" t="n">
        <v>28</v>
      </c>
      <c r="B32" s="4" t="inlineStr">
        <is>
          <t>NOSAI Kagawa</t>
        </is>
      </c>
      <c r="C32" s="4" t="inlineStr">
        <is>
          <t>香川県農業共済組合</t>
        </is>
      </c>
      <c r="D32" s="4" t="inlineStr">
        <is>
          <t>Not found (NTA lookup blocked; dedupe by Japanese name)</t>
        </is>
      </c>
      <c r="E32" s="4" t="inlineStr">
        <is>
          <t>Kagawa</t>
        </is>
      </c>
      <c r="F32" s="4" t="inlineStr">
        <is>
          <t>Chugoku and Shikoku</t>
        </is>
      </c>
      <c r="G32" s="4" t="inlineStr">
        <is>
          <t>Not found</t>
        </is>
      </c>
      <c r="H32" s="4" t="inlineStr">
        <is>
          <t>End user (livestock clinic network)</t>
        </is>
      </c>
      <c r="I32" s="4" t="inlineStr">
        <is>
          <t>Not identified</t>
        </is>
      </c>
      <c r="J32" s="4" t="inlineStr">
        <is>
          <t>Large animal</t>
        </is>
      </c>
      <c r="K32" s="4" t="inlineStr">
        <is>
          <t>Kagawa livestock clinics</t>
        </is>
      </c>
      <c r="L32" s="4" t="inlineStr">
        <is>
          <t>Not found</t>
        </is>
      </c>
      <c r="M32" s="4" t="inlineStr">
        <is>
          <t>Livestock clinics (count not confirmed)</t>
        </is>
      </c>
      <c r="N32" s="4" t="inlineStr">
        <is>
          <t>Not identified</t>
        </is>
      </c>
      <c r="O32" s="4" t="inlineStr">
        <is>
          <t>Not identified</t>
        </is>
      </c>
      <c r="P32" s="4" t="inlineStr">
        <is>
          <t>Not published; phone only</t>
        </is>
      </c>
      <c r="Q32" s="4" t="inlineStr">
        <is>
          <t>087 888 2121</t>
        </is>
      </c>
      <c r="R32" s="4" t="inlineStr">
        <is>
          <t>Not identified</t>
        </is>
      </c>
      <c r="S32" s="4" t="inlineStr">
        <is>
          <t>Company inquiry only (phone)</t>
        </is>
      </c>
      <c r="T32" s="6">
        <f>SUM(Z32:AF32)</f>
        <v>18</v>
      </c>
      <c r="U32" s="12" t="inlineStr">
        <is>
          <t>V5</t>
        </is>
      </c>
      <c r="V32" s="4" t="inlineStr">
        <is>
          <t>Kagawa dairy and beef (Olive beef) area.</t>
        </is>
      </c>
      <c r="W32" s="4" t="inlineStr">
        <is>
          <t>Field trial of a rugged livestock portable (EBit 50) with clinic vets during pregnancy checks.</t>
        </is>
      </c>
      <c r="X32" s="4" t="inlineStr">
        <is>
          <t>Not checked (human list not in v17)</t>
        </is>
      </c>
      <c r="Y32" s="4" t="inlineStr">
        <is>
          <t>https://www.nosai.or.jp/nosai_kasou/nosai_kakuchi01.html ; https://www.maff.go.jp/j/keiei/nogyohoken/contact.html</t>
        </is>
      </c>
      <c r="Z32" s="4" t="n">
        <v>1</v>
      </c>
      <c r="AA32" s="4" t="n">
        <v>4</v>
      </c>
      <c r="AB32" s="4" t="n">
        <v>3</v>
      </c>
      <c r="AC32" s="4" t="n">
        <v>1</v>
      </c>
      <c r="AD32" s="4" t="n">
        <v>5</v>
      </c>
      <c r="AE32" s="4" t="n">
        <v>1</v>
      </c>
      <c r="AF32" s="4" t="n">
        <v>3</v>
      </c>
      <c r="AG32" s="4" t="inlineStr">
        <is>
          <t>Evidence backed</t>
        </is>
      </c>
    </row>
    <row r="33" ht="75" customHeight="1">
      <c r="A33" s="4" t="n">
        <v>29</v>
      </c>
      <c r="B33" s="4" t="inlineStr">
        <is>
          <t>NOSAI Okayama</t>
        </is>
      </c>
      <c r="C33" s="4" t="inlineStr">
        <is>
          <t>岡山県農業共済組合</t>
        </is>
      </c>
      <c r="D33" s="4" t="inlineStr">
        <is>
          <t>Not found (NTA lookup blocked; dedupe by Japanese name)</t>
        </is>
      </c>
      <c r="E33" s="4" t="inlineStr">
        <is>
          <t>Okayama</t>
        </is>
      </c>
      <c r="F33" s="4" t="inlineStr">
        <is>
          <t>Chugoku and Shikoku</t>
        </is>
      </c>
      <c r="G33" s="5" t="inlineStr">
        <is>
          <t>https://www.ok-nosai.or.jp</t>
        </is>
      </c>
      <c r="H33" s="4" t="inlineStr">
        <is>
          <t>End user (livestock clinic network)</t>
        </is>
      </c>
      <c r="I33" s="4" t="inlineStr">
        <is>
          <t>Not identified</t>
        </is>
      </c>
      <c r="J33" s="4" t="inlineStr">
        <is>
          <t>Large animal</t>
        </is>
      </c>
      <c r="K33" s="4" t="inlineStr">
        <is>
          <t>Okayama livestock clinics</t>
        </is>
      </c>
      <c r="L33" s="4" t="inlineStr">
        <is>
          <t>Not found</t>
        </is>
      </c>
      <c r="M33" s="4" t="inlineStr">
        <is>
          <t>2 clinics, 2 satellites, production support centre</t>
        </is>
      </c>
      <c r="N33" s="4" t="inlineStr">
        <is>
          <t>Not identified</t>
        </is>
      </c>
      <c r="O33" s="4" t="inlineStr">
        <is>
          <t>Not identified</t>
        </is>
      </c>
      <c r="P33" s="4" t="inlineStr">
        <is>
          <t>nosai@ok-nosai.or.jp</t>
        </is>
      </c>
      <c r="Q33" s="4" t="inlineStr">
        <is>
          <t>086 224 5588</t>
        </is>
      </c>
      <c r="R33" s="4" t="inlineStr">
        <is>
          <t>Not identified</t>
        </is>
      </c>
      <c r="S33" s="4" t="inlineStr">
        <is>
          <t>Verified (published on own site, read via search)</t>
        </is>
      </c>
      <c r="T33" s="6">
        <f>SUM(Z33:AF33)</f>
        <v>18</v>
      </c>
      <c r="U33" s="12" t="inlineStr">
        <is>
          <t>V5</t>
        </is>
      </c>
      <c r="V33" s="4" t="inlineStr">
        <is>
          <t>Includes the Hiruzen dairy area.</t>
        </is>
      </c>
      <c r="W33" s="4" t="inlineStr">
        <is>
          <t>Field trial of a rugged livestock portable (EBit 50) with clinic vets during pregnancy checks.</t>
        </is>
      </c>
      <c r="X33" s="4" t="inlineStr">
        <is>
          <t>Not checked (human list not in v17)</t>
        </is>
      </c>
      <c r="Y33" s="4" t="inlineStr">
        <is>
          <t>https://www.ok-nosai.or.jp/office/livestock.html ; https://www.ok-nosai.or.jp/</t>
        </is>
      </c>
      <c r="Z33" s="4" t="n">
        <v>1</v>
      </c>
      <c r="AA33" s="4" t="n">
        <v>4</v>
      </c>
      <c r="AB33" s="4" t="n">
        <v>3</v>
      </c>
      <c r="AC33" s="4" t="n">
        <v>1</v>
      </c>
      <c r="AD33" s="4" t="n">
        <v>5</v>
      </c>
      <c r="AE33" s="4" t="n">
        <v>1</v>
      </c>
      <c r="AF33" s="4" t="n">
        <v>3</v>
      </c>
      <c r="AG33" s="4" t="inlineStr">
        <is>
          <t>Evidence backed</t>
        </is>
      </c>
    </row>
    <row r="34" ht="75" customHeight="1">
      <c r="A34" s="4" t="n">
        <v>30</v>
      </c>
      <c r="B34" s="4" t="inlineStr">
        <is>
          <t>NOSAI Shimane</t>
        </is>
      </c>
      <c r="C34" s="4" t="inlineStr">
        <is>
          <t>島根県農業共済組合</t>
        </is>
      </c>
      <c r="D34" s="4" t="inlineStr">
        <is>
          <t>Not found (NTA lookup blocked; dedupe by Japanese name)</t>
        </is>
      </c>
      <c r="E34" s="4" t="inlineStr">
        <is>
          <t>Shimane</t>
        </is>
      </c>
      <c r="F34" s="4" t="inlineStr">
        <is>
          <t>Chugoku and Shikoku</t>
        </is>
      </c>
      <c r="G34" s="4" t="inlineStr">
        <is>
          <t>Not found</t>
        </is>
      </c>
      <c r="H34" s="4" t="inlineStr">
        <is>
          <t>End user (livestock clinic network)</t>
        </is>
      </c>
      <c r="I34" s="4" t="inlineStr">
        <is>
          <t>Not identified</t>
        </is>
      </c>
      <c r="J34" s="4" t="inlineStr">
        <is>
          <t>Large animal</t>
        </is>
      </c>
      <c r="K34" s="4" t="inlineStr">
        <is>
          <t>Shimane livestock clinics</t>
        </is>
      </c>
      <c r="L34" s="4" t="inlineStr">
        <is>
          <t>Not found</t>
        </is>
      </c>
      <c r="M34" s="4" t="inlineStr">
        <is>
          <t>Livestock clinics (count not confirmed)</t>
        </is>
      </c>
      <c r="N34" s="4" t="inlineStr">
        <is>
          <t>Not identified</t>
        </is>
      </c>
      <c r="O34" s="4" t="inlineStr">
        <is>
          <t>Not identified</t>
        </is>
      </c>
      <c r="P34" s="4" t="inlineStr">
        <is>
          <t>Not published; phone only</t>
        </is>
      </c>
      <c r="Q34" s="4" t="inlineStr">
        <is>
          <t>0853 22 1478</t>
        </is>
      </c>
      <c r="R34" s="4" t="inlineStr">
        <is>
          <t>Not identified</t>
        </is>
      </c>
      <c r="S34" s="4" t="inlineStr">
        <is>
          <t>Company inquiry only (phone)</t>
        </is>
      </c>
      <c r="T34" s="6">
        <f>SUM(Z34:AF34)</f>
        <v>18</v>
      </c>
      <c r="U34" s="12" t="inlineStr">
        <is>
          <t>V5</t>
        </is>
      </c>
      <c r="V34" s="4" t="inlineStr">
        <is>
          <t>Shimane beef area (Oki, Unnan).</t>
        </is>
      </c>
      <c r="W34" s="4" t="inlineStr">
        <is>
          <t>Field trial of a rugged livestock portable (EBit 50) with clinic vets during pregnancy checks.</t>
        </is>
      </c>
      <c r="X34" s="4" t="inlineStr">
        <is>
          <t>Not checked (human list not in v17)</t>
        </is>
      </c>
      <c r="Y34" s="4" t="inlineStr">
        <is>
          <t>https://www.nosai.or.jp/nosai_kasou/nosai_kakuchi01.html ; https://www.maff.go.jp/j/keiei/nogyohoken/contact.html</t>
        </is>
      </c>
      <c r="Z34" s="4" t="n">
        <v>1</v>
      </c>
      <c r="AA34" s="4" t="n">
        <v>4</v>
      </c>
      <c r="AB34" s="4" t="n">
        <v>3</v>
      </c>
      <c r="AC34" s="4" t="n">
        <v>1</v>
      </c>
      <c r="AD34" s="4" t="n">
        <v>5</v>
      </c>
      <c r="AE34" s="4" t="n">
        <v>1</v>
      </c>
      <c r="AF34" s="4" t="n">
        <v>3</v>
      </c>
      <c r="AG34" s="4" t="inlineStr">
        <is>
          <t>Evidence backed</t>
        </is>
      </c>
    </row>
    <row r="35" ht="75" customHeight="1">
      <c r="A35" s="4" t="n">
        <v>31</v>
      </c>
      <c r="B35" s="4" t="inlineStr">
        <is>
          <t>NOSAI Tottori</t>
        </is>
      </c>
      <c r="C35" s="4" t="inlineStr">
        <is>
          <t>鳥取県農業共済組合</t>
        </is>
      </c>
      <c r="D35" s="4" t="inlineStr">
        <is>
          <t>Not found (NTA lookup blocked; dedupe by Japanese name)</t>
        </is>
      </c>
      <c r="E35" s="4" t="inlineStr">
        <is>
          <t>Tottori</t>
        </is>
      </c>
      <c r="F35" s="4" t="inlineStr">
        <is>
          <t>Chugoku and Shikoku</t>
        </is>
      </c>
      <c r="G35" s="4" t="inlineStr">
        <is>
          <t>Not found</t>
        </is>
      </c>
      <c r="H35" s="4" t="inlineStr">
        <is>
          <t>End user (livestock clinic network)</t>
        </is>
      </c>
      <c r="I35" s="4" t="inlineStr">
        <is>
          <t>Not identified</t>
        </is>
      </c>
      <c r="J35" s="4" t="inlineStr">
        <is>
          <t>Large animal</t>
        </is>
      </c>
      <c r="K35" s="4" t="inlineStr">
        <is>
          <t>Tottori livestock clinics</t>
        </is>
      </c>
      <c r="L35" s="4" t="inlineStr">
        <is>
          <t>Not found</t>
        </is>
      </c>
      <c r="M35" s="4" t="inlineStr">
        <is>
          <t>Livestock clinics (count not confirmed)</t>
        </is>
      </c>
      <c r="N35" s="4" t="inlineStr">
        <is>
          <t>Not identified</t>
        </is>
      </c>
      <c r="O35" s="4" t="inlineStr">
        <is>
          <t>Not identified</t>
        </is>
      </c>
      <c r="P35" s="4" t="inlineStr">
        <is>
          <t>Not published; phone only</t>
        </is>
      </c>
      <c r="Q35" s="4" t="inlineStr">
        <is>
          <t>0120 031 559</t>
        </is>
      </c>
      <c r="R35" s="4" t="inlineStr">
        <is>
          <t>Not identified</t>
        </is>
      </c>
      <c r="S35" s="4" t="inlineStr">
        <is>
          <t>Company inquiry only (phone)</t>
        </is>
      </c>
      <c r="T35" s="6">
        <f>SUM(Z35:AF35)</f>
        <v>18</v>
      </c>
      <c r="U35" s="12" t="inlineStr">
        <is>
          <t>V5</t>
        </is>
      </c>
      <c r="V35" s="4" t="inlineStr">
        <is>
          <t>Daisen dairy and beef area.</t>
        </is>
      </c>
      <c r="W35" s="4" t="inlineStr">
        <is>
          <t>Field trial of a rugged livestock portable (EBit 50) with clinic vets during pregnancy checks.</t>
        </is>
      </c>
      <c r="X35" s="4" t="inlineStr">
        <is>
          <t>Not checked (human list not in v17)</t>
        </is>
      </c>
      <c r="Y35" s="4" t="inlineStr">
        <is>
          <t>https://www.nosai.or.jp/nosai_kasou/nosai_kakuchi01.html ; https://www.maff.go.jp/j/keiei/nogyohoken/contact.html</t>
        </is>
      </c>
      <c r="Z35" s="4" t="n">
        <v>1</v>
      </c>
      <c r="AA35" s="4" t="n">
        <v>4</v>
      </c>
      <c r="AB35" s="4" t="n">
        <v>3</v>
      </c>
      <c r="AC35" s="4" t="n">
        <v>1</v>
      </c>
      <c r="AD35" s="4" t="n">
        <v>5</v>
      </c>
      <c r="AE35" s="4" t="n">
        <v>1</v>
      </c>
      <c r="AF35" s="4" t="n">
        <v>3</v>
      </c>
      <c r="AG35" s="4" t="inlineStr">
        <is>
          <t>Evidence backed</t>
        </is>
      </c>
    </row>
    <row r="36" ht="75" customHeight="1">
      <c r="A36" s="4" t="n">
        <v>32</v>
      </c>
      <c r="B36" s="4" t="inlineStr">
        <is>
          <t>NOSAI Yamaguchi</t>
        </is>
      </c>
      <c r="C36" s="4" t="inlineStr">
        <is>
          <t>山口県農業共済組合</t>
        </is>
      </c>
      <c r="D36" s="4" t="inlineStr">
        <is>
          <t>Not found (NTA lookup blocked; dedupe by Japanese name)</t>
        </is>
      </c>
      <c r="E36" s="4" t="inlineStr">
        <is>
          <t>Yamaguchi</t>
        </is>
      </c>
      <c r="F36" s="4" t="inlineStr">
        <is>
          <t>Chugoku and Shikoku</t>
        </is>
      </c>
      <c r="G36" s="5" t="inlineStr">
        <is>
          <t>https://ymgc-nosai.org</t>
        </is>
      </c>
      <c r="H36" s="4" t="inlineStr">
        <is>
          <t>End user (livestock clinic network)</t>
        </is>
      </c>
      <c r="I36" s="4" t="inlineStr">
        <is>
          <t>Not identified</t>
        </is>
      </c>
      <c r="J36" s="4" t="inlineStr">
        <is>
          <t>Large animal</t>
        </is>
      </c>
      <c r="K36" s="4" t="inlineStr">
        <is>
          <t>Yamaguchi livestock clinics</t>
        </is>
      </c>
      <c r="L36" s="4" t="inlineStr">
        <is>
          <t>Not found</t>
        </is>
      </c>
      <c r="M36" s="4" t="inlineStr">
        <is>
          <t>Multiple livestock clinics</t>
        </is>
      </c>
      <c r="N36" s="4" t="inlineStr">
        <is>
          <t>Not identified</t>
        </is>
      </c>
      <c r="O36" s="4" t="inlineStr">
        <is>
          <t>Not identified</t>
        </is>
      </c>
      <c r="P36" s="4" t="inlineStr">
        <is>
          <t>Not published; phone only</t>
        </is>
      </c>
      <c r="Q36" s="4" t="inlineStr">
        <is>
          <t>083 972 7500</t>
        </is>
      </c>
      <c r="R36" s="4" t="inlineStr">
        <is>
          <t>Not identified</t>
        </is>
      </c>
      <c r="S36" s="4" t="inlineStr">
        <is>
          <t>Company inquiry only (phone)</t>
        </is>
      </c>
      <c r="T36" s="6">
        <f>SUM(Z36:AF36)</f>
        <v>18</v>
      </c>
      <c r="U36" s="12" t="inlineStr">
        <is>
          <t>V5</t>
        </is>
      </c>
      <c r="V36" s="4" t="inlineStr">
        <is>
          <t>Published clinic network.</t>
        </is>
      </c>
      <c r="W36" s="4" t="inlineStr">
        <is>
          <t>Field trial of a rugged livestock portable (EBit 50) with clinic vets during pregnancy checks.</t>
        </is>
      </c>
      <c r="X36" s="4" t="inlineStr">
        <is>
          <t>Not checked (human list not in v17)</t>
        </is>
      </c>
      <c r="Y36" s="4" t="inlineStr">
        <is>
          <t>https://ymgc-nosai.org/cms/page106.html ; https://www.maff.go.jp/j/keiei/nogyohoken/contact.html</t>
        </is>
      </c>
      <c r="Z36" s="4" t="n">
        <v>1</v>
      </c>
      <c r="AA36" s="4" t="n">
        <v>4</v>
      </c>
      <c r="AB36" s="4" t="n">
        <v>3</v>
      </c>
      <c r="AC36" s="4" t="n">
        <v>1</v>
      </c>
      <c r="AD36" s="4" t="n">
        <v>5</v>
      </c>
      <c r="AE36" s="4" t="n">
        <v>1</v>
      </c>
      <c r="AF36" s="4" t="n">
        <v>3</v>
      </c>
      <c r="AG36" s="4" t="inlineStr">
        <is>
          <t>Evidence backed</t>
        </is>
      </c>
    </row>
    <row r="37" ht="75" customHeight="1">
      <c r="A37" s="4" t="n">
        <v>33</v>
      </c>
      <c r="B37" s="4" t="inlineStr">
        <is>
          <t>NOSAI Chiba</t>
        </is>
      </c>
      <c r="C37" s="4" t="inlineStr">
        <is>
          <t>千葉県農業共済組合</t>
        </is>
      </c>
      <c r="D37" s="4" t="inlineStr">
        <is>
          <t>Not found (NTA lookup blocked; dedupe by Japanese name)</t>
        </is>
      </c>
      <c r="E37" s="4" t="inlineStr">
        <is>
          <t>Chiba</t>
        </is>
      </c>
      <c r="F37" s="4" t="inlineStr">
        <is>
          <t>Kanto</t>
        </is>
      </c>
      <c r="G37" s="5" t="inlineStr">
        <is>
          <t>https://nosai-chiba.or.jp</t>
        </is>
      </c>
      <c r="H37" s="4" t="inlineStr">
        <is>
          <t>End user (livestock clinic network)</t>
        </is>
      </c>
      <c r="I37" s="4" t="inlineStr">
        <is>
          <t>Not identified</t>
        </is>
      </c>
      <c r="J37" s="4" t="inlineStr">
        <is>
          <t>Large animal</t>
        </is>
      </c>
      <c r="K37" s="4" t="inlineStr">
        <is>
          <t>Chiba livestock clinics</t>
        </is>
      </c>
      <c r="L37" s="4" t="inlineStr">
        <is>
          <t>Not found</t>
        </is>
      </c>
      <c r="M37" s="4" t="inlineStr">
        <is>
          <t>7 livestock clinics</t>
        </is>
      </c>
      <c r="N37" s="4" t="inlineStr">
        <is>
          <t>Not identified</t>
        </is>
      </c>
      <c r="O37" s="4" t="inlineStr">
        <is>
          <t>Not identified</t>
        </is>
      </c>
      <c r="P37" s="4" t="inlineStr">
        <is>
          <t>Not published; phone only</t>
        </is>
      </c>
      <c r="Q37" s="4" t="inlineStr">
        <is>
          <t>043 245 7449</t>
        </is>
      </c>
      <c r="R37" s="4" t="inlineStr">
        <is>
          <t>Not identified</t>
        </is>
      </c>
      <c r="S37" s="4" t="inlineStr">
        <is>
          <t>Company inquiry only (phone)</t>
        </is>
      </c>
      <c r="T37" s="6">
        <f>SUM(Z37:AF37)</f>
        <v>18</v>
      </c>
      <c r="U37" s="12" t="inlineStr">
        <is>
          <t>V5</t>
        </is>
      </c>
      <c r="V37" s="4" t="inlineStr">
        <is>
          <t>Chiba is a top dairy prefecture near Tokyo.</t>
        </is>
      </c>
      <c r="W37" s="4" t="inlineStr">
        <is>
          <t>Field trial of a rugged livestock portable (EBit 50) with clinic vets during pregnancy checks.</t>
        </is>
      </c>
      <c r="X37" s="4" t="inlineStr">
        <is>
          <t>Not checked (human list not in v17)</t>
        </is>
      </c>
      <c r="Y37" s="4" t="inlineStr">
        <is>
          <t>https://nosai-chiba.or.jp/soshiki/shinryo/ ; https://nosai-chiba.or.jp/</t>
        </is>
      </c>
      <c r="Z37" s="4" t="n">
        <v>1</v>
      </c>
      <c r="AA37" s="4" t="n">
        <v>4</v>
      </c>
      <c r="AB37" s="4" t="n">
        <v>3</v>
      </c>
      <c r="AC37" s="4" t="n">
        <v>1</v>
      </c>
      <c r="AD37" s="4" t="n">
        <v>5</v>
      </c>
      <c r="AE37" s="4" t="n">
        <v>1</v>
      </c>
      <c r="AF37" s="4" t="n">
        <v>3</v>
      </c>
      <c r="AG37" s="4" t="inlineStr">
        <is>
          <t>Evidence backed</t>
        </is>
      </c>
    </row>
    <row r="38" ht="75" customHeight="1">
      <c r="A38" s="4" t="n">
        <v>34</v>
      </c>
      <c r="B38" s="4" t="inlineStr">
        <is>
          <t>NOSAI Gunma</t>
        </is>
      </c>
      <c r="C38" s="4" t="inlineStr">
        <is>
          <t>群馬県農業共済組合</t>
        </is>
      </c>
      <c r="D38" s="4" t="inlineStr">
        <is>
          <t>Not found (NTA lookup blocked; dedupe by Japanese name)</t>
        </is>
      </c>
      <c r="E38" s="4" t="inlineStr">
        <is>
          <t>Gunma</t>
        </is>
      </c>
      <c r="F38" s="4" t="inlineStr">
        <is>
          <t>Kanto</t>
        </is>
      </c>
      <c r="G38" s="4" t="inlineStr">
        <is>
          <t>Not found</t>
        </is>
      </c>
      <c r="H38" s="4" t="inlineStr">
        <is>
          <t>End user (livestock clinic network)</t>
        </is>
      </c>
      <c r="I38" s="4" t="inlineStr">
        <is>
          <t>Not identified</t>
        </is>
      </c>
      <c r="J38" s="4" t="inlineStr">
        <is>
          <t>Large animal</t>
        </is>
      </c>
      <c r="K38" s="4" t="inlineStr">
        <is>
          <t>Gunma livestock clinics</t>
        </is>
      </c>
      <c r="L38" s="4" t="inlineStr">
        <is>
          <t>Not found</t>
        </is>
      </c>
      <c r="M38" s="4" t="inlineStr">
        <is>
          <t>Livestock clinics (count not confirmed)</t>
        </is>
      </c>
      <c r="N38" s="4" t="inlineStr">
        <is>
          <t>Not identified</t>
        </is>
      </c>
      <c r="O38" s="4" t="inlineStr">
        <is>
          <t>Not identified</t>
        </is>
      </c>
      <c r="P38" s="4" t="inlineStr">
        <is>
          <t>Not published; phone only</t>
        </is>
      </c>
      <c r="Q38" s="4" t="inlineStr">
        <is>
          <t>027 251 5631</t>
        </is>
      </c>
      <c r="R38" s="4" t="inlineStr">
        <is>
          <t>Not identified</t>
        </is>
      </c>
      <c r="S38" s="4" t="inlineStr">
        <is>
          <t>Company inquiry only (phone)</t>
        </is>
      </c>
      <c r="T38" s="6">
        <f>SUM(Z38:AF38)</f>
        <v>18</v>
      </c>
      <c r="U38" s="12" t="inlineStr">
        <is>
          <t>V5</t>
        </is>
      </c>
      <c r="V38" s="4" t="inlineStr">
        <is>
          <t>Gunma is a major dairy and pig prefecture north of Tokyo.</t>
        </is>
      </c>
      <c r="W38" s="4" t="inlineStr">
        <is>
          <t>Field trial of a rugged livestock portable (EBit 50) with clinic vets during pregnancy checks.</t>
        </is>
      </c>
      <c r="X38" s="4" t="inlineStr">
        <is>
          <t>Not checked (human list not in v17)</t>
        </is>
      </c>
      <c r="Y38" s="4" t="inlineStr">
        <is>
          <t>https://www.maff.go.jp/j/keiei/nogyohoken/contact.html ; https://www.nosai.or.jp/nosai_kasou/nosai_kakuchi01.html</t>
        </is>
      </c>
      <c r="Z38" s="4" t="n">
        <v>1</v>
      </c>
      <c r="AA38" s="4" t="n">
        <v>4</v>
      </c>
      <c r="AB38" s="4" t="n">
        <v>3</v>
      </c>
      <c r="AC38" s="4" t="n">
        <v>1</v>
      </c>
      <c r="AD38" s="4" t="n">
        <v>5</v>
      </c>
      <c r="AE38" s="4" t="n">
        <v>1</v>
      </c>
      <c r="AF38" s="4" t="n">
        <v>3</v>
      </c>
      <c r="AG38" s="4" t="inlineStr">
        <is>
          <t>Evidence backed</t>
        </is>
      </c>
    </row>
    <row r="39" ht="75" customHeight="1">
      <c r="A39" s="4" t="n">
        <v>35</v>
      </c>
      <c r="B39" s="4" t="inlineStr">
        <is>
          <t>NOSAI Ibaraki</t>
        </is>
      </c>
      <c r="C39" s="4" t="inlineStr">
        <is>
          <t>茨城県農業共済組合</t>
        </is>
      </c>
      <c r="D39" s="4" t="inlineStr">
        <is>
          <t>Not found (NTA lookup blocked; dedupe by Japanese name)</t>
        </is>
      </c>
      <c r="E39" s="4" t="inlineStr">
        <is>
          <t>Ibaraki</t>
        </is>
      </c>
      <c r="F39" s="4" t="inlineStr">
        <is>
          <t>Kanto</t>
        </is>
      </c>
      <c r="G39" s="5" t="inlineStr">
        <is>
          <t>https://www.ibaraki-nosai.or.jp</t>
        </is>
      </c>
      <c r="H39" s="4" t="inlineStr">
        <is>
          <t>End user (livestock clinic network)</t>
        </is>
      </c>
      <c r="I39" s="4" t="inlineStr">
        <is>
          <t>Not identified</t>
        </is>
      </c>
      <c r="J39" s="4" t="inlineStr">
        <is>
          <t>Large animal</t>
        </is>
      </c>
      <c r="K39" s="4" t="inlineStr">
        <is>
          <t>Ibaraki livestock clinics</t>
        </is>
      </c>
      <c r="L39" s="4" t="inlineStr">
        <is>
          <t>Not found</t>
        </is>
      </c>
      <c r="M39" s="4" t="inlineStr">
        <is>
          <t>Livestock clinic centre (Mito) plus Omitama clinic</t>
        </is>
      </c>
      <c r="N39" s="4" t="inlineStr">
        <is>
          <t>Not identified</t>
        </is>
      </c>
      <c r="O39" s="4" t="inlineStr">
        <is>
          <t>Not identified</t>
        </is>
      </c>
      <c r="P39" s="4" t="inlineStr">
        <is>
          <t>Not published; phone only</t>
        </is>
      </c>
      <c r="Q39" s="4" t="inlineStr">
        <is>
          <t>029 215 8881</t>
        </is>
      </c>
      <c r="R39" s="4" t="inlineStr">
        <is>
          <t>Not identified</t>
        </is>
      </c>
      <c r="S39" s="4" t="inlineStr">
        <is>
          <t>Company inquiry only (phone)</t>
        </is>
      </c>
      <c r="T39" s="6">
        <f>SUM(Z39:AF39)</f>
        <v>18</v>
      </c>
      <c r="U39" s="12" t="inlineStr">
        <is>
          <t>V5</t>
        </is>
      </c>
      <c r="V39" s="4" t="inlineStr">
        <is>
          <t>Consolidated centre model in Ibaraki.</t>
        </is>
      </c>
      <c r="W39" s="4" t="inlineStr">
        <is>
          <t>Field trial of a rugged livestock portable (EBit 50) with clinic vets during pregnancy checks.</t>
        </is>
      </c>
      <c r="X39" s="4" t="inlineStr">
        <is>
          <t>Not checked (human list not in v17)</t>
        </is>
      </c>
      <c r="Y39" s="4" t="inlineStr">
        <is>
          <t>https://ibaraki.lin.gr.jp/chikusan-ibaraki/24-11/11.html ; https://www.maff.go.jp/j/keiei/nogyohoken/contact.html</t>
        </is>
      </c>
      <c r="Z39" s="4" t="n">
        <v>1</v>
      </c>
      <c r="AA39" s="4" t="n">
        <v>4</v>
      </c>
      <c r="AB39" s="4" t="n">
        <v>3</v>
      </c>
      <c r="AC39" s="4" t="n">
        <v>1</v>
      </c>
      <c r="AD39" s="4" t="n">
        <v>5</v>
      </c>
      <c r="AE39" s="4" t="n">
        <v>1</v>
      </c>
      <c r="AF39" s="4" t="n">
        <v>3</v>
      </c>
      <c r="AG39" s="4" t="inlineStr">
        <is>
          <t>Evidence backed</t>
        </is>
      </c>
    </row>
    <row r="40" ht="75" customHeight="1">
      <c r="A40" s="4" t="n">
        <v>36</v>
      </c>
      <c r="B40" s="4" t="inlineStr">
        <is>
          <t>NOSAI Tochigi</t>
        </is>
      </c>
      <c r="C40" s="4" t="inlineStr">
        <is>
          <t>栃木県農業共済組合</t>
        </is>
      </c>
      <c r="D40" s="4" t="inlineStr">
        <is>
          <t>Not found (NTA lookup blocked; dedupe by Japanese name)</t>
        </is>
      </c>
      <c r="E40" s="4" t="inlineStr">
        <is>
          <t>Tochigi</t>
        </is>
      </c>
      <c r="F40" s="4" t="inlineStr">
        <is>
          <t>Kanto</t>
        </is>
      </c>
      <c r="G40" s="4" t="inlineStr">
        <is>
          <t>Not found</t>
        </is>
      </c>
      <c r="H40" s="4" t="inlineStr">
        <is>
          <t>End user (livestock clinic network)</t>
        </is>
      </c>
      <c r="I40" s="4" t="inlineStr">
        <is>
          <t>Not identified</t>
        </is>
      </c>
      <c r="J40" s="4" t="inlineStr">
        <is>
          <t>Large animal</t>
        </is>
      </c>
      <c r="K40" s="4" t="inlineStr">
        <is>
          <t>Tochigi livestock clinics</t>
        </is>
      </c>
      <c r="L40" s="4" t="inlineStr">
        <is>
          <t>Not found</t>
        </is>
      </c>
      <c r="M40" s="4" t="inlineStr">
        <is>
          <t>Livestock clinics (count not confirmed)</t>
        </is>
      </c>
      <c r="N40" s="4" t="inlineStr">
        <is>
          <t>Not identified</t>
        </is>
      </c>
      <c r="O40" s="4" t="inlineStr">
        <is>
          <t>Not identified</t>
        </is>
      </c>
      <c r="P40" s="4" t="inlineStr">
        <is>
          <t>Not published; phone only</t>
        </is>
      </c>
      <c r="Q40" s="4" t="inlineStr">
        <is>
          <t>028 683 5531</t>
        </is>
      </c>
      <c r="R40" s="4" t="inlineStr">
        <is>
          <t>Not identified</t>
        </is>
      </c>
      <c r="S40" s="4" t="inlineStr">
        <is>
          <t>Company inquiry only (phone)</t>
        </is>
      </c>
      <c r="T40" s="6">
        <f>SUM(Z40:AF40)</f>
        <v>18</v>
      </c>
      <c r="U40" s="12" t="inlineStr">
        <is>
          <t>V5</t>
        </is>
      </c>
      <c r="V40" s="4" t="inlineStr">
        <is>
          <t>Tochigi is Japan's second largest dairy prefecture.</t>
        </is>
      </c>
      <c r="W40" s="4" t="inlineStr">
        <is>
          <t>Field trial of a rugged livestock portable (EBit 50) with clinic vets during pregnancy checks.</t>
        </is>
      </c>
      <c r="X40" s="4" t="inlineStr">
        <is>
          <t>Not checked (human list not in v17)</t>
        </is>
      </c>
      <c r="Y40" s="4" t="inlineStr">
        <is>
          <t>https://www.maff.go.jp/j/keiei/nogyohoken/contact.html ; https://www.nosai.or.jp/nosai_kasou/nosai_kakuchi01.html</t>
        </is>
      </c>
      <c r="Z40" s="4" t="n">
        <v>1</v>
      </c>
      <c r="AA40" s="4" t="n">
        <v>4</v>
      </c>
      <c r="AB40" s="4" t="n">
        <v>3</v>
      </c>
      <c r="AC40" s="4" t="n">
        <v>1</v>
      </c>
      <c r="AD40" s="4" t="n">
        <v>5</v>
      </c>
      <c r="AE40" s="4" t="n">
        <v>1</v>
      </c>
      <c r="AF40" s="4" t="n">
        <v>3</v>
      </c>
      <c r="AG40" s="4" t="inlineStr">
        <is>
          <t>Evidence backed</t>
        </is>
      </c>
    </row>
    <row r="41" ht="75" customHeight="1">
      <c r="A41" s="4" t="n">
        <v>37</v>
      </c>
      <c r="B41" s="4" t="inlineStr">
        <is>
          <t>NOSAI Kagoshima</t>
        </is>
      </c>
      <c r="C41" s="4" t="inlineStr">
        <is>
          <t>鹿児島県農業共済組合</t>
        </is>
      </c>
      <c r="D41" s="4" t="inlineStr">
        <is>
          <t>Not found (NTA lookup blocked; dedupe by Japanese name)</t>
        </is>
      </c>
      <c r="E41" s="4" t="inlineStr">
        <is>
          <t>Kagoshima</t>
        </is>
      </c>
      <c r="F41" s="4" t="inlineStr">
        <is>
          <t>Kyushu and Okinawa</t>
        </is>
      </c>
      <c r="G41" s="5" t="inlineStr">
        <is>
          <t>https://www.nosai46.jp/kagoshima/</t>
        </is>
      </c>
      <c r="H41" s="4" t="inlineStr">
        <is>
          <t>End user (livestock clinic network)</t>
        </is>
      </c>
      <c r="I41" s="4" t="inlineStr">
        <is>
          <t>Not identified</t>
        </is>
      </c>
      <c r="J41" s="4" t="inlineStr">
        <is>
          <t>Large animal</t>
        </is>
      </c>
      <c r="K41" s="4" t="inlineStr">
        <is>
          <t>Kagoshima livestock clinics</t>
        </is>
      </c>
      <c r="L41" s="4" t="inlineStr">
        <is>
          <t>Not found</t>
        </is>
      </c>
      <c r="M41" s="4" t="inlineStr">
        <is>
          <t>8 livestock clinic centres</t>
        </is>
      </c>
      <c r="N41" s="4" t="inlineStr">
        <is>
          <t>Not identified</t>
        </is>
      </c>
      <c r="O41" s="4" t="inlineStr">
        <is>
          <t>Not identified</t>
        </is>
      </c>
      <c r="P41" s="4" t="inlineStr">
        <is>
          <t>Not published; phone only</t>
        </is>
      </c>
      <c r="Q41" s="4" t="inlineStr">
        <is>
          <t>099 255 6161</t>
        </is>
      </c>
      <c r="R41" s="4" t="inlineStr">
        <is>
          <t>Not identified</t>
        </is>
      </c>
      <c r="S41" s="4" t="inlineStr">
        <is>
          <t>Company inquiry only (phone)</t>
        </is>
      </c>
      <c r="T41" s="6">
        <f>SUM(Z41:AF41)</f>
        <v>18</v>
      </c>
      <c r="U41" s="12" t="inlineStr">
        <is>
          <t>V5</t>
        </is>
      </c>
      <c r="V41" s="4" t="inlineStr">
        <is>
          <t>Covers Japan's biggest beef cattle prefecture.</t>
        </is>
      </c>
      <c r="W41" s="4" t="inlineStr">
        <is>
          <t>Field trial of a rugged livestock portable (EBit 50) with clinic vets during pregnancy checks.</t>
        </is>
      </c>
      <c r="X41" s="4" t="inlineStr">
        <is>
          <t>Not checked (human list not in v17)</t>
        </is>
      </c>
      <c r="Y41" s="4" t="inlineStr">
        <is>
          <t>https://www.nosai46.jp/kagoshima/ ; http://www.nosai.or.jp/mt6/2022/01/post-6662.html ; https://www.nosai46.jp/kagoshima/honsho/</t>
        </is>
      </c>
      <c r="Z41" s="4" t="n">
        <v>1</v>
      </c>
      <c r="AA41" s="4" t="n">
        <v>4</v>
      </c>
      <c r="AB41" s="4" t="n">
        <v>3</v>
      </c>
      <c r="AC41" s="4" t="n">
        <v>1</v>
      </c>
      <c r="AD41" s="4" t="n">
        <v>5</v>
      </c>
      <c r="AE41" s="4" t="n">
        <v>1</v>
      </c>
      <c r="AF41" s="4" t="n">
        <v>3</v>
      </c>
      <c r="AG41" s="4" t="inlineStr">
        <is>
          <t>Evidence backed</t>
        </is>
      </c>
    </row>
    <row r="42" ht="75" customHeight="1">
      <c r="A42" s="4" t="n">
        <v>38</v>
      </c>
      <c r="B42" s="4" t="inlineStr">
        <is>
          <t>NOSAI Kumamoto</t>
        </is>
      </c>
      <c r="C42" s="4" t="inlineStr">
        <is>
          <t>熊本県農業共済組合</t>
        </is>
      </c>
      <c r="D42" s="4" t="inlineStr">
        <is>
          <t>Not found (NTA lookup blocked; dedupe by Japanese name)</t>
        </is>
      </c>
      <c r="E42" s="4" t="inlineStr">
        <is>
          <t>Kumamoto</t>
        </is>
      </c>
      <c r="F42" s="4" t="inlineStr">
        <is>
          <t>Kyushu and Okinawa</t>
        </is>
      </c>
      <c r="G42" s="5" t="inlineStr">
        <is>
          <t>https://nosai-kumamoto.or.jp/</t>
        </is>
      </c>
      <c r="H42" s="4" t="inlineStr">
        <is>
          <t>End user (livestock clinic network)</t>
        </is>
      </c>
      <c r="I42" s="4" t="inlineStr">
        <is>
          <t>Not identified</t>
        </is>
      </c>
      <c r="J42" s="4" t="inlineStr">
        <is>
          <t>Large animal</t>
        </is>
      </c>
      <c r="K42" s="4" t="inlineStr">
        <is>
          <t>Kumamoto livestock clinics</t>
        </is>
      </c>
      <c r="L42" s="4" t="inlineStr">
        <is>
          <t>Not found</t>
        </is>
      </c>
      <c r="M42" s="4" t="inlineStr">
        <is>
          <t>Livestock clinics in Kumamoto and Kikuchi</t>
        </is>
      </c>
      <c r="N42" s="4" t="inlineStr">
        <is>
          <t>Not identified</t>
        </is>
      </c>
      <c r="O42" s="4" t="inlineStr">
        <is>
          <t>Not identified</t>
        </is>
      </c>
      <c r="P42" s="4" t="inlineStr">
        <is>
          <t>Not published; phone only</t>
        </is>
      </c>
      <c r="Q42" s="4" t="inlineStr">
        <is>
          <t>0964 25 3200</t>
        </is>
      </c>
      <c r="R42" s="4" t="inlineStr">
        <is>
          <t>Not identified</t>
        </is>
      </c>
      <c r="S42" s="4" t="inlineStr">
        <is>
          <t>Company inquiry only (phone)</t>
        </is>
      </c>
      <c r="T42" s="6">
        <f>SUM(Z42:AF42)</f>
        <v>18</v>
      </c>
      <c r="U42" s="12" t="inlineStr">
        <is>
          <t>V5</t>
        </is>
      </c>
      <c r="V42" s="4" t="inlineStr">
        <is>
          <t>Dairy and beef area around Kikuchi.</t>
        </is>
      </c>
      <c r="W42" s="4" t="inlineStr">
        <is>
          <t>Field trial of a rugged livestock portable (EBit 50) with clinic vets during pregnancy checks.</t>
        </is>
      </c>
      <c r="X42" s="4" t="inlineStr">
        <is>
          <t>Not checked (human list not in v17)</t>
        </is>
      </c>
      <c r="Y42" s="4" t="inlineStr">
        <is>
          <t>https://www.nosai.or.jp/nosai_kasou/juuishi/kyusyu_okinawa.html ; https://nosai-kumamoto.or.jp/nosai/access/</t>
        </is>
      </c>
      <c r="Z42" s="4" t="n">
        <v>1</v>
      </c>
      <c r="AA42" s="4" t="n">
        <v>4</v>
      </c>
      <c r="AB42" s="4" t="n">
        <v>3</v>
      </c>
      <c r="AC42" s="4" t="n">
        <v>1</v>
      </c>
      <c r="AD42" s="4" t="n">
        <v>5</v>
      </c>
      <c r="AE42" s="4" t="n">
        <v>1</v>
      </c>
      <c r="AF42" s="4" t="n">
        <v>3</v>
      </c>
      <c r="AG42" s="4" t="inlineStr">
        <is>
          <t>Evidence backed</t>
        </is>
      </c>
    </row>
    <row r="43" ht="75" customHeight="1">
      <c r="A43" s="4" t="n">
        <v>39</v>
      </c>
      <c r="B43" s="4" t="inlineStr">
        <is>
          <t>NOSAI Miyazaki</t>
        </is>
      </c>
      <c r="C43" s="4" t="inlineStr">
        <is>
          <t>宮崎県農業共済組合</t>
        </is>
      </c>
      <c r="D43" s="4" t="inlineStr">
        <is>
          <t>Not found (NTA lookup blocked; dedupe by Japanese name)</t>
        </is>
      </c>
      <c r="E43" s="4" t="inlineStr">
        <is>
          <t>Miyazaki</t>
        </is>
      </c>
      <c r="F43" s="4" t="inlineStr">
        <is>
          <t>Kyushu and Okinawa</t>
        </is>
      </c>
      <c r="G43" s="5" t="inlineStr">
        <is>
          <t>https://nosai-miyazakiken.jp</t>
        </is>
      </c>
      <c r="H43" s="4" t="inlineStr">
        <is>
          <t>End user (livestock clinic network)</t>
        </is>
      </c>
      <c r="I43" s="4" t="inlineStr">
        <is>
          <t>Not identified</t>
        </is>
      </c>
      <c r="J43" s="4" t="inlineStr">
        <is>
          <t>Large animal</t>
        </is>
      </c>
      <c r="K43" s="4" t="inlineStr">
        <is>
          <t>Miyazaki livestock clinics</t>
        </is>
      </c>
      <c r="L43" s="4" t="inlineStr">
        <is>
          <t>Not found</t>
        </is>
      </c>
      <c r="M43" s="4" t="inlineStr">
        <is>
          <t>Multiple livestock clinics</t>
        </is>
      </c>
      <c r="N43" s="4" t="inlineStr">
        <is>
          <t>Not identified</t>
        </is>
      </c>
      <c r="O43" s="4" t="inlineStr">
        <is>
          <t>Not identified</t>
        </is>
      </c>
      <c r="P43" s="4" t="inlineStr">
        <is>
          <t>Not published; phone only</t>
        </is>
      </c>
      <c r="Q43" s="4" t="inlineStr">
        <is>
          <t>0985 27 4288</t>
        </is>
      </c>
      <c r="R43" s="4" t="inlineStr">
        <is>
          <t>Not identified</t>
        </is>
      </c>
      <c r="S43" s="4" t="inlineStr">
        <is>
          <t>Company inquiry only (phone)</t>
        </is>
      </c>
      <c r="T43" s="6">
        <f>SUM(Z43:AF43)</f>
        <v>18</v>
      </c>
      <c r="U43" s="12" t="inlineStr">
        <is>
          <t>V5</t>
        </is>
      </c>
      <c r="V43" s="4" t="inlineStr">
        <is>
          <t>Major beef and pig prefecture; recruiting clinic vets.</t>
        </is>
      </c>
      <c r="W43" s="4" t="inlineStr">
        <is>
          <t>Field trial of a rugged livestock portable (EBit 50) with clinic vets during pregnancy checks.</t>
        </is>
      </c>
      <c r="X43" s="4" t="inlineStr">
        <is>
          <t>Not checked (human list not in v17)</t>
        </is>
      </c>
      <c r="Y43" s="4" t="inlineStr">
        <is>
          <t>https://nosai-miyazakiken.jp/veterinarian/ ; https://www.maff.go.jp/j/keiei/nogyohoken/contact.html</t>
        </is>
      </c>
      <c r="Z43" s="4" t="n">
        <v>1</v>
      </c>
      <c r="AA43" s="4" t="n">
        <v>4</v>
      </c>
      <c r="AB43" s="4" t="n">
        <v>3</v>
      </c>
      <c r="AC43" s="4" t="n">
        <v>1</v>
      </c>
      <c r="AD43" s="4" t="n">
        <v>5</v>
      </c>
      <c r="AE43" s="4" t="n">
        <v>1</v>
      </c>
      <c r="AF43" s="4" t="n">
        <v>3</v>
      </c>
      <c r="AG43" s="4" t="inlineStr">
        <is>
          <t>Evidence backed</t>
        </is>
      </c>
    </row>
    <row r="44" ht="75" customHeight="1">
      <c r="A44" s="4" t="n">
        <v>40</v>
      </c>
      <c r="B44" s="4" t="inlineStr">
        <is>
          <t>NOSAI Nagasaki</t>
        </is>
      </c>
      <c r="C44" s="4" t="inlineStr">
        <is>
          <t>長崎県農業共済組合</t>
        </is>
      </c>
      <c r="D44" s="4" t="inlineStr">
        <is>
          <t>Not found (NTA lookup blocked; dedupe by Japanese name)</t>
        </is>
      </c>
      <c r="E44" s="4" t="inlineStr">
        <is>
          <t>Nagasaki</t>
        </is>
      </c>
      <c r="F44" s="4" t="inlineStr">
        <is>
          <t>Kyushu and Okinawa</t>
        </is>
      </c>
      <c r="G44" s="5" t="inlineStr">
        <is>
          <t>https://www.nosai-ngs.jp</t>
        </is>
      </c>
      <c r="H44" s="4" t="inlineStr">
        <is>
          <t>End user (livestock clinic network)</t>
        </is>
      </c>
      <c r="I44" s="4" t="inlineStr">
        <is>
          <t>Not identified</t>
        </is>
      </c>
      <c r="J44" s="4" t="inlineStr">
        <is>
          <t>Large animal</t>
        </is>
      </c>
      <c r="K44" s="4" t="inlineStr">
        <is>
          <t>Nagasaki livestock clinics</t>
        </is>
      </c>
      <c r="L44" s="4" t="inlineStr">
        <is>
          <t>Not found</t>
        </is>
      </c>
      <c r="M44" s="4" t="inlineStr">
        <is>
          <t>7 livestock clinics</t>
        </is>
      </c>
      <c r="N44" s="4" t="inlineStr">
        <is>
          <t>Not identified</t>
        </is>
      </c>
      <c r="O44" s="4" t="inlineStr">
        <is>
          <t>Not identified</t>
        </is>
      </c>
      <c r="P44" s="4" t="inlineStr">
        <is>
          <t>Not published; phone only</t>
        </is>
      </c>
      <c r="Q44" s="4" t="inlineStr">
        <is>
          <t>0957 23 6161</t>
        </is>
      </c>
      <c r="R44" s="4" t="inlineStr">
        <is>
          <t>Not identified</t>
        </is>
      </c>
      <c r="S44" s="4" t="inlineStr">
        <is>
          <t>Company inquiry only (phone)</t>
        </is>
      </c>
      <c r="T44" s="6">
        <f>SUM(Z44:AF44)</f>
        <v>18</v>
      </c>
      <c r="U44" s="12" t="inlineStr">
        <is>
          <t>V5</t>
        </is>
      </c>
      <c r="V44" s="4" t="inlineStr">
        <is>
          <t>Seven clinics incl. island sites (Goto, Tsushima).</t>
        </is>
      </c>
      <c r="W44" s="4" t="inlineStr">
        <is>
          <t>Field trial of a rugged livestock portable (EBit 50) with clinic vets during pregnancy checks.</t>
        </is>
      </c>
      <c r="X44" s="4" t="inlineStr">
        <is>
          <t>Not checked (human list not in v17)</t>
        </is>
      </c>
      <c r="Y44" s="4" t="inlineStr">
        <is>
          <t>https://www.nosai-ngs.jp/list.html ; https://www.nosai-ngs.jp/</t>
        </is>
      </c>
      <c r="Z44" s="4" t="n">
        <v>1</v>
      </c>
      <c r="AA44" s="4" t="n">
        <v>4</v>
      </c>
      <c r="AB44" s="4" t="n">
        <v>3</v>
      </c>
      <c r="AC44" s="4" t="n">
        <v>1</v>
      </c>
      <c r="AD44" s="4" t="n">
        <v>5</v>
      </c>
      <c r="AE44" s="4" t="n">
        <v>1</v>
      </c>
      <c r="AF44" s="4" t="n">
        <v>3</v>
      </c>
      <c r="AG44" s="4" t="inlineStr">
        <is>
          <t>Evidence backed</t>
        </is>
      </c>
    </row>
    <row r="45" ht="75" customHeight="1">
      <c r="A45" s="4" t="n">
        <v>41</v>
      </c>
      <c r="B45" s="4" t="inlineStr">
        <is>
          <t>NOSAI Oita</t>
        </is>
      </c>
      <c r="C45" s="4" t="inlineStr">
        <is>
          <t>大分県農業共済組合</t>
        </is>
      </c>
      <c r="D45" s="4" t="inlineStr">
        <is>
          <t>Not found (NTA lookup blocked; dedupe by Japanese name)</t>
        </is>
      </c>
      <c r="E45" s="4" t="inlineStr">
        <is>
          <t>Oita</t>
        </is>
      </c>
      <c r="F45" s="4" t="inlineStr">
        <is>
          <t>Kyushu and Okinawa</t>
        </is>
      </c>
      <c r="G45" s="5" t="inlineStr">
        <is>
          <t>https://www.nosai-oita.jp</t>
        </is>
      </c>
      <c r="H45" s="4" t="inlineStr">
        <is>
          <t>End user (livestock clinic network)</t>
        </is>
      </c>
      <c r="I45" s="4" t="inlineStr">
        <is>
          <t>Not identified</t>
        </is>
      </c>
      <c r="J45" s="4" t="inlineStr">
        <is>
          <t>Large animal</t>
        </is>
      </c>
      <c r="K45" s="4" t="inlineStr">
        <is>
          <t>Oita livestock clinics</t>
        </is>
      </c>
      <c r="L45" s="4" t="inlineStr">
        <is>
          <t>Not found</t>
        </is>
      </c>
      <c r="M45" s="4" t="inlineStr">
        <is>
          <t>Multiple livestock clinics</t>
        </is>
      </c>
      <c r="N45" s="4" t="inlineStr">
        <is>
          <t>Not identified</t>
        </is>
      </c>
      <c r="O45" s="4" t="inlineStr">
        <is>
          <t>Not identified</t>
        </is>
      </c>
      <c r="P45" s="4" t="inlineStr">
        <is>
          <t>hp@nosai-oita.jp</t>
        </is>
      </c>
      <c r="Q45" s="4" t="inlineStr">
        <is>
          <t>097 544 8110</t>
        </is>
      </c>
      <c r="R45" s="4" t="inlineStr">
        <is>
          <t>Not identified</t>
        </is>
      </c>
      <c r="S45" s="4" t="inlineStr">
        <is>
          <t>Verified (published on own site, read via search)</t>
        </is>
      </c>
      <c r="T45" s="6">
        <f>SUM(Z45:AF45)</f>
        <v>18</v>
      </c>
      <c r="U45" s="12" t="inlineStr">
        <is>
          <t>V5</t>
        </is>
      </c>
      <c r="V45" s="4" t="inlineStr">
        <is>
          <t>Published livestock clinic network.</t>
        </is>
      </c>
      <c r="W45" s="4" t="inlineStr">
        <is>
          <t>Field trial of a rugged livestock portable (EBit 50) with clinic vets during pregnancy checks.</t>
        </is>
      </c>
      <c r="X45" s="4" t="inlineStr">
        <is>
          <t>Not checked (human list not in v17)</t>
        </is>
      </c>
      <c r="Y45" s="4" t="inlineStr">
        <is>
          <t>https://www.nosai-oita.jp/kachikushinryojo ; https://www.nosai-oita.jp/</t>
        </is>
      </c>
      <c r="Z45" s="4" t="n">
        <v>1</v>
      </c>
      <c r="AA45" s="4" t="n">
        <v>4</v>
      </c>
      <c r="AB45" s="4" t="n">
        <v>3</v>
      </c>
      <c r="AC45" s="4" t="n">
        <v>1</v>
      </c>
      <c r="AD45" s="4" t="n">
        <v>5</v>
      </c>
      <c r="AE45" s="4" t="n">
        <v>1</v>
      </c>
      <c r="AF45" s="4" t="n">
        <v>3</v>
      </c>
      <c r="AG45" s="4" t="inlineStr">
        <is>
          <t>Evidence backed</t>
        </is>
      </c>
    </row>
    <row r="46" ht="75" customHeight="1">
      <c r="A46" s="4" t="n">
        <v>42</v>
      </c>
      <c r="B46" s="4" t="inlineStr">
        <is>
          <t>NOSAI Okinawa</t>
        </is>
      </c>
      <c r="C46" s="4" t="inlineStr">
        <is>
          <t>沖縄県農業共済組合</t>
        </is>
      </c>
      <c r="D46" s="4" t="inlineStr">
        <is>
          <t>Not found (NTA lookup blocked; dedupe by Japanese name)</t>
        </is>
      </c>
      <c r="E46" s="4" t="inlineStr">
        <is>
          <t>Okinawa</t>
        </is>
      </c>
      <c r="F46" s="4" t="inlineStr">
        <is>
          <t>Kyushu and Okinawa</t>
        </is>
      </c>
      <c r="G46" s="5" t="inlineStr">
        <is>
          <t>https://nosai-okinawa.jp</t>
        </is>
      </c>
      <c r="H46" s="4" t="inlineStr">
        <is>
          <t>End user (livestock clinic network)</t>
        </is>
      </c>
      <c r="I46" s="4" t="inlineStr">
        <is>
          <t>Not identified</t>
        </is>
      </c>
      <c r="J46" s="4" t="inlineStr">
        <is>
          <t>Large animal</t>
        </is>
      </c>
      <c r="K46" s="4" t="inlineStr">
        <is>
          <t>Okinawa livestock clinics</t>
        </is>
      </c>
      <c r="L46" s="4" t="inlineStr">
        <is>
          <t>Not found</t>
        </is>
      </c>
      <c r="M46" s="4" t="inlineStr">
        <is>
          <t>9 livestock clinics</t>
        </is>
      </c>
      <c r="N46" s="4" t="inlineStr">
        <is>
          <t>Not identified</t>
        </is>
      </c>
      <c r="O46" s="4" t="inlineStr">
        <is>
          <t>Not identified</t>
        </is>
      </c>
      <c r="P46" s="4" t="inlineStr">
        <is>
          <t>Not published; phone only</t>
        </is>
      </c>
      <c r="Q46" s="4" t="inlineStr">
        <is>
          <t>098 833 8188</t>
        </is>
      </c>
      <c r="R46" s="4" t="inlineStr">
        <is>
          <t>Not identified</t>
        </is>
      </c>
      <c r="S46" s="4" t="inlineStr">
        <is>
          <t>Company inquiry only (phone)</t>
        </is>
      </c>
      <c r="T46" s="6">
        <f>SUM(Z46:AF46)</f>
        <v>18</v>
      </c>
      <c r="U46" s="12" t="inlineStr">
        <is>
          <t>V5</t>
        </is>
      </c>
      <c r="V46" s="4" t="inlineStr">
        <is>
          <t>Nine clinics across Okinawa main island and outer islands; strong beef calf production.</t>
        </is>
      </c>
      <c r="W46" s="4" t="inlineStr">
        <is>
          <t>Field trial of a rugged livestock portable (EBit 50) with clinic vets during pregnancy checks.</t>
        </is>
      </c>
      <c r="X46" s="4" t="inlineStr">
        <is>
          <t>Not checked (human list not in v17)</t>
        </is>
      </c>
      <c r="Y46" s="4" t="inlineStr">
        <is>
          <t>https://nosai-okinawa.jp/clinic/ ; https://www.maff.go.jp/j/keiei/nogyohoken/contact.html</t>
        </is>
      </c>
      <c r="Z46" s="4" t="n">
        <v>1</v>
      </c>
      <c r="AA46" s="4" t="n">
        <v>4</v>
      </c>
      <c r="AB46" s="4" t="n">
        <v>3</v>
      </c>
      <c r="AC46" s="4" t="n">
        <v>1</v>
      </c>
      <c r="AD46" s="4" t="n">
        <v>5</v>
      </c>
      <c r="AE46" s="4" t="n">
        <v>1</v>
      </c>
      <c r="AF46" s="4" t="n">
        <v>3</v>
      </c>
      <c r="AG46" s="4" t="inlineStr">
        <is>
          <t>Evidence backed</t>
        </is>
      </c>
    </row>
    <row r="47" ht="75" customHeight="1">
      <c r="A47" s="4" t="n">
        <v>43</v>
      </c>
      <c r="B47" s="4" t="inlineStr">
        <is>
          <t>NOSAI Saga</t>
        </is>
      </c>
      <c r="C47" s="4" t="inlineStr">
        <is>
          <t>佐賀県農業共済組合</t>
        </is>
      </c>
      <c r="D47" s="4" t="inlineStr">
        <is>
          <t>Not found (NTA lookup blocked; dedupe by Japanese name)</t>
        </is>
      </c>
      <c r="E47" s="4" t="inlineStr">
        <is>
          <t>Saga</t>
        </is>
      </c>
      <c r="F47" s="4" t="inlineStr">
        <is>
          <t>Kyushu and Okinawa</t>
        </is>
      </c>
      <c r="G47" s="4" t="inlineStr">
        <is>
          <t>Not found</t>
        </is>
      </c>
      <c r="H47" s="4" t="inlineStr">
        <is>
          <t>End user (livestock clinic network)</t>
        </is>
      </c>
      <c r="I47" s="4" t="inlineStr">
        <is>
          <t>Not identified</t>
        </is>
      </c>
      <c r="J47" s="4" t="inlineStr">
        <is>
          <t>Large animal</t>
        </is>
      </c>
      <c r="K47" s="4" t="inlineStr">
        <is>
          <t>Saga livestock clinics</t>
        </is>
      </c>
      <c r="L47" s="4" t="inlineStr">
        <is>
          <t>Not found</t>
        </is>
      </c>
      <c r="M47" s="4" t="inlineStr">
        <is>
          <t>Livestock clinics (count not confirmed)</t>
        </is>
      </c>
      <c r="N47" s="4" t="inlineStr">
        <is>
          <t>Not identified</t>
        </is>
      </c>
      <c r="O47" s="4" t="inlineStr">
        <is>
          <t>Not identified</t>
        </is>
      </c>
      <c r="P47" s="4" t="inlineStr">
        <is>
          <t>Not published; phone only</t>
        </is>
      </c>
      <c r="Q47" s="4" t="inlineStr">
        <is>
          <t>0952 31 4171</t>
        </is>
      </c>
      <c r="R47" s="4" t="inlineStr">
        <is>
          <t>Not identified</t>
        </is>
      </c>
      <c r="S47" s="4" t="inlineStr">
        <is>
          <t>Company inquiry only (phone)</t>
        </is>
      </c>
      <c r="T47" s="6">
        <f>SUM(Z47:AF47)</f>
        <v>18</v>
      </c>
      <c r="U47" s="12" t="inlineStr">
        <is>
          <t>V5</t>
        </is>
      </c>
      <c r="V47" s="4" t="inlineStr">
        <is>
          <t>Saga beef (Sagagyu) producing area.</t>
        </is>
      </c>
      <c r="W47" s="4" t="inlineStr">
        <is>
          <t>Field trial of a rugged livestock portable (EBit 50) with clinic vets during pregnancy checks.</t>
        </is>
      </c>
      <c r="X47" s="4" t="inlineStr">
        <is>
          <t>Not checked (human list not in v17)</t>
        </is>
      </c>
      <c r="Y47" s="4" t="inlineStr">
        <is>
          <t>https://www.nosai.or.jp/nosai_kasou/nosai_kakuchi01.html ; https://www.maff.go.jp/j/keiei/nogyohoken/contact.html</t>
        </is>
      </c>
      <c r="Z47" s="4" t="n">
        <v>1</v>
      </c>
      <c r="AA47" s="4" t="n">
        <v>4</v>
      </c>
      <c r="AB47" s="4" t="n">
        <v>3</v>
      </c>
      <c r="AC47" s="4" t="n">
        <v>1</v>
      </c>
      <c r="AD47" s="4" t="n">
        <v>5</v>
      </c>
      <c r="AE47" s="4" t="n">
        <v>1</v>
      </c>
      <c r="AF47" s="4" t="n">
        <v>3</v>
      </c>
      <c r="AG47" s="4" t="inlineStr">
        <is>
          <t>Evidence backed</t>
        </is>
      </c>
    </row>
    <row r="48" ht="75" customHeight="1">
      <c r="A48" s="4" t="n">
        <v>44</v>
      </c>
      <c r="B48" s="4" t="inlineStr">
        <is>
          <t>NOSAI Aomori</t>
        </is>
      </c>
      <c r="C48" s="4" t="inlineStr">
        <is>
          <t>青森県農業共済組合</t>
        </is>
      </c>
      <c r="D48" s="4" t="inlineStr">
        <is>
          <t>Not found (NTA lookup blocked; dedupe by Japanese name)</t>
        </is>
      </c>
      <c r="E48" s="4" t="inlineStr">
        <is>
          <t>Aomori</t>
        </is>
      </c>
      <c r="F48" s="4" t="inlineStr">
        <is>
          <t>Tohoku and Hokkaido</t>
        </is>
      </c>
      <c r="G48" s="5" t="inlineStr">
        <is>
          <t>http://www.nosai-aomori.or.jp</t>
        </is>
      </c>
      <c r="H48" s="4" t="inlineStr">
        <is>
          <t>End user (livestock clinic network)</t>
        </is>
      </c>
      <c r="I48" s="4" t="inlineStr">
        <is>
          <t>Not identified</t>
        </is>
      </c>
      <c r="J48" s="4" t="inlineStr">
        <is>
          <t>Large animal</t>
        </is>
      </c>
      <c r="K48" s="4" t="inlineStr">
        <is>
          <t>Aomori livestock clinics</t>
        </is>
      </c>
      <c r="L48" s="4" t="inlineStr">
        <is>
          <t>Not found</t>
        </is>
      </c>
      <c r="M48" s="4" t="inlineStr">
        <is>
          <t>Multiple livestock clinics</t>
        </is>
      </c>
      <c r="N48" s="4" t="inlineStr">
        <is>
          <t>Not identified</t>
        </is>
      </c>
      <c r="O48" s="4" t="inlineStr">
        <is>
          <t>Not identified</t>
        </is>
      </c>
      <c r="P48" s="4" t="inlineStr">
        <is>
          <t>Not published; phone only</t>
        </is>
      </c>
      <c r="Q48" s="4" t="inlineStr">
        <is>
          <t>017 775 1161</t>
        </is>
      </c>
      <c r="R48" s="4" t="inlineStr">
        <is>
          <t>Not identified</t>
        </is>
      </c>
      <c r="S48" s="4" t="inlineStr">
        <is>
          <t>Company inquiry only (phone)</t>
        </is>
      </c>
      <c r="T48" s="6">
        <f>SUM(Z48:AF48)</f>
        <v>18</v>
      </c>
      <c r="U48" s="12" t="inlineStr">
        <is>
          <t>V5</t>
        </is>
      </c>
      <c r="V48" s="4" t="inlineStr">
        <is>
          <t>Published livestock clinic network across Tsugaru and Nanbu.</t>
        </is>
      </c>
      <c r="W48" s="4" t="inlineStr">
        <is>
          <t>Field trial of a rugged livestock portable (EBit 50) with clinic vets during pregnancy checks.</t>
        </is>
      </c>
      <c r="X48" s="4" t="inlineStr">
        <is>
          <t>Not checked (human list not in v17)</t>
        </is>
      </c>
      <c r="Y48" s="4" t="inlineStr">
        <is>
          <t>http://www.nosai-aomori.or.jp/wp-content/uploads/2025/08/4e705eaea4a622fbfd5c63b338189b7d.pdf ; http://www.nosai-aomori.or.jp/access/</t>
        </is>
      </c>
      <c r="Z48" s="4" t="n">
        <v>1</v>
      </c>
      <c r="AA48" s="4" t="n">
        <v>4</v>
      </c>
      <c r="AB48" s="4" t="n">
        <v>3</v>
      </c>
      <c r="AC48" s="4" t="n">
        <v>1</v>
      </c>
      <c r="AD48" s="4" t="n">
        <v>5</v>
      </c>
      <c r="AE48" s="4" t="n">
        <v>1</v>
      </c>
      <c r="AF48" s="4" t="n">
        <v>3</v>
      </c>
      <c r="AG48" s="4" t="inlineStr">
        <is>
          <t>Evidence backed</t>
        </is>
      </c>
    </row>
    <row r="49" ht="75" customHeight="1">
      <c r="A49" s="4" t="n">
        <v>45</v>
      </c>
      <c r="B49" s="4" t="inlineStr">
        <is>
          <t>NOSAI Fukushima</t>
        </is>
      </c>
      <c r="C49" s="4" t="inlineStr">
        <is>
          <t>福島県農業共済組合</t>
        </is>
      </c>
      <c r="D49" s="4" t="inlineStr">
        <is>
          <t>Not found (NTA lookup blocked; dedupe by Japanese name)</t>
        </is>
      </c>
      <c r="E49" s="4" t="inlineStr">
        <is>
          <t>Fukushima</t>
        </is>
      </c>
      <c r="F49" s="4" t="inlineStr">
        <is>
          <t>Tohoku and Hokkaido</t>
        </is>
      </c>
      <c r="G49" s="5" t="inlineStr">
        <is>
          <t>https://fukushima-nosainet.jp</t>
        </is>
      </c>
      <c r="H49" s="4" t="inlineStr">
        <is>
          <t>End user (livestock clinic network)</t>
        </is>
      </c>
      <c r="I49" s="4" t="inlineStr">
        <is>
          <t>Not identified</t>
        </is>
      </c>
      <c r="J49" s="4" t="inlineStr">
        <is>
          <t>Large animal</t>
        </is>
      </c>
      <c r="K49" s="4" t="inlineStr">
        <is>
          <t>Fukushima livestock clinics</t>
        </is>
      </c>
      <c r="L49" s="4" t="inlineStr">
        <is>
          <t>Not found</t>
        </is>
      </c>
      <c r="M49" s="4" t="inlineStr">
        <is>
          <t>6 livestock clinic centres</t>
        </is>
      </c>
      <c r="N49" s="4" t="inlineStr">
        <is>
          <t>Not identified</t>
        </is>
      </c>
      <c r="O49" s="4" t="inlineStr">
        <is>
          <t>Not identified</t>
        </is>
      </c>
      <c r="P49" s="4" t="inlineStr">
        <is>
          <t>Not published; phone only</t>
        </is>
      </c>
      <c r="Q49" s="4" t="inlineStr">
        <is>
          <t>024 521 2715</t>
        </is>
      </c>
      <c r="R49" s="4" t="inlineStr">
        <is>
          <t>Not identified</t>
        </is>
      </c>
      <c r="S49" s="4" t="inlineStr">
        <is>
          <t>Company inquiry only (phone)</t>
        </is>
      </c>
      <c r="T49" s="6">
        <f>SUM(Z49:AF49)</f>
        <v>18</v>
      </c>
      <c r="U49" s="12" t="inlineStr">
        <is>
          <t>V5</t>
        </is>
      </c>
      <c r="V49" s="4" t="inlineStr">
        <is>
          <t>Six centres across Fukushima.</t>
        </is>
      </c>
      <c r="W49" s="4" t="inlineStr">
        <is>
          <t>Field trial of a rugged livestock portable (EBit 50) with clinic vets during pregnancy checks.</t>
        </is>
      </c>
      <c r="X49" s="4" t="inlineStr">
        <is>
          <t>Not checked (human list not in v17)</t>
        </is>
      </c>
      <c r="Y49" s="4" t="inlineStr">
        <is>
          <t>https://fukushima-nosainet.jp/outline/out-c/out-c-c ; http://www.nosai.or.jp/nosai_kasou/nosai_page11.html</t>
        </is>
      </c>
      <c r="Z49" s="4" t="n">
        <v>1</v>
      </c>
      <c r="AA49" s="4" t="n">
        <v>4</v>
      </c>
      <c r="AB49" s="4" t="n">
        <v>3</v>
      </c>
      <c r="AC49" s="4" t="n">
        <v>1</v>
      </c>
      <c r="AD49" s="4" t="n">
        <v>5</v>
      </c>
      <c r="AE49" s="4" t="n">
        <v>1</v>
      </c>
      <c r="AF49" s="4" t="n">
        <v>3</v>
      </c>
      <c r="AG49" s="4" t="inlineStr">
        <is>
          <t>Evidence backed</t>
        </is>
      </c>
    </row>
    <row r="50" ht="75" customHeight="1">
      <c r="A50" s="4" t="n">
        <v>46</v>
      </c>
      <c r="B50" s="4" t="inlineStr">
        <is>
          <t>NOSAI Hokkaido</t>
        </is>
      </c>
      <c r="C50" s="4" t="inlineStr">
        <is>
          <t>北海道農業共済組合</t>
        </is>
      </c>
      <c r="D50" s="4" t="inlineStr">
        <is>
          <t>Not found (NTA lookup blocked; dedupe by Japanese name)</t>
        </is>
      </c>
      <c r="E50" s="4" t="inlineStr">
        <is>
          <t>Hokkaido</t>
        </is>
      </c>
      <c r="F50" s="4" t="inlineStr">
        <is>
          <t>Tohoku and Hokkaido</t>
        </is>
      </c>
      <c r="G50" s="5" t="inlineStr">
        <is>
          <t>https://www.nosai-do.or.jp</t>
        </is>
      </c>
      <c r="H50" s="4" t="inlineStr">
        <is>
          <t>End user (livestock clinic network)</t>
        </is>
      </c>
      <c r="I50" s="4" t="inlineStr">
        <is>
          <t>Not identified</t>
        </is>
      </c>
      <c r="J50" s="4" t="inlineStr">
        <is>
          <t>Large animal</t>
        </is>
      </c>
      <c r="K50" s="4" t="inlineStr">
        <is>
          <t>Hokkaido livestock clinics</t>
        </is>
      </c>
      <c r="L50" s="4" t="inlineStr">
        <is>
          <t>Not found</t>
        </is>
      </c>
      <c r="M50" s="4" t="inlineStr">
        <is>
          <t>62 clinics (excl. branches); about 800 vets</t>
        </is>
      </c>
      <c r="N50" s="4" t="inlineStr">
        <is>
          <t>Not identified</t>
        </is>
      </c>
      <c r="O50" s="4" t="inlineStr">
        <is>
          <t>Not identified</t>
        </is>
      </c>
      <c r="P50" s="4" t="inlineStr">
        <is>
          <t>Not published; inquiry form: https://www.nosai-do.or.jp/contact/</t>
        </is>
      </c>
      <c r="Q50" s="4" t="inlineStr">
        <is>
          <t>011 271 7212</t>
        </is>
      </c>
      <c r="R50" s="4" t="inlineStr">
        <is>
          <t>Not identified</t>
        </is>
      </c>
      <c r="S50" s="4" t="inlineStr">
        <is>
          <t>Company inquiry only (form)</t>
        </is>
      </c>
      <c r="T50" s="6">
        <f>SUM(Z50:AF50)</f>
        <v>18</v>
      </c>
      <c r="U50" s="12" t="inlineStr">
        <is>
          <t>V5</t>
        </is>
      </c>
      <c r="V50" s="4" t="inlineStr">
        <is>
          <t>Japan's largest livestock clinic network; bovine repro scanning is daily work.</t>
        </is>
      </c>
      <c r="W50" s="4" t="inlineStr">
        <is>
          <t>Field trial of a rugged livestock portable (EBit 50) with clinic vets during pregnancy checks.</t>
        </is>
      </c>
      <c r="X50" s="4" t="inlineStr">
        <is>
          <t>Not checked (human list not in v17)</t>
        </is>
      </c>
      <c r="Y50" s="4" t="inlineStr">
        <is>
          <t>https://www.nosai-do.or.jp/about/overview/ ; https://www.nosai-do.or.jp/contact/</t>
        </is>
      </c>
      <c r="Z50" s="4" t="n">
        <v>1</v>
      </c>
      <c r="AA50" s="4" t="n">
        <v>4</v>
      </c>
      <c r="AB50" s="4" t="n">
        <v>3</v>
      </c>
      <c r="AC50" s="4" t="n">
        <v>1</v>
      </c>
      <c r="AD50" s="4" t="n">
        <v>5</v>
      </c>
      <c r="AE50" s="4" t="n">
        <v>1</v>
      </c>
      <c r="AF50" s="4" t="n">
        <v>3</v>
      </c>
      <c r="AG50" s="4" t="inlineStr">
        <is>
          <t>Evidence backed</t>
        </is>
      </c>
    </row>
    <row r="51" ht="75" customHeight="1">
      <c r="A51" s="4" t="n">
        <v>47</v>
      </c>
      <c r="B51" s="4" t="inlineStr">
        <is>
          <t>NOSAI Iwate</t>
        </is>
      </c>
      <c r="C51" s="4" t="inlineStr">
        <is>
          <t>岩手県農業共済組合</t>
        </is>
      </c>
      <c r="D51" s="4" t="inlineStr">
        <is>
          <t>Not found (NTA lookup blocked; dedupe by Japanese name)</t>
        </is>
      </c>
      <c r="E51" s="4" t="inlineStr">
        <is>
          <t>Iwate</t>
        </is>
      </c>
      <c r="F51" s="4" t="inlineStr">
        <is>
          <t>Tohoku and Hokkaido</t>
        </is>
      </c>
      <c r="G51" s="4" t="inlineStr">
        <is>
          <t>Not found</t>
        </is>
      </c>
      <c r="H51" s="4" t="inlineStr">
        <is>
          <t>End user (livestock clinic network)</t>
        </is>
      </c>
      <c r="I51" s="4" t="inlineStr">
        <is>
          <t>Not identified</t>
        </is>
      </c>
      <c r="J51" s="4" t="inlineStr">
        <is>
          <t>Large animal</t>
        </is>
      </c>
      <c r="K51" s="4" t="inlineStr">
        <is>
          <t>Iwate livestock clinics</t>
        </is>
      </c>
      <c r="L51" s="4" t="inlineStr">
        <is>
          <t>Not found</t>
        </is>
      </c>
      <c r="M51" s="4" t="inlineStr">
        <is>
          <t>Multiple livestock clinics</t>
        </is>
      </c>
      <c r="N51" s="4" t="inlineStr">
        <is>
          <t>Not identified</t>
        </is>
      </c>
      <c r="O51" s="4" t="inlineStr">
        <is>
          <t>Not identified</t>
        </is>
      </c>
      <c r="P51" s="4" t="inlineStr">
        <is>
          <t>Not published; phone only</t>
        </is>
      </c>
      <c r="Q51" s="4" t="inlineStr">
        <is>
          <t>0198 29 5939 (MAFF list; 019 601 7491 per NOSAI list)</t>
        </is>
      </c>
      <c r="R51" s="4" t="inlineStr">
        <is>
          <t>Not identified</t>
        </is>
      </c>
      <c r="S51" s="4" t="inlineStr">
        <is>
          <t>Company inquiry only (phone)</t>
        </is>
      </c>
      <c r="T51" s="6">
        <f>SUM(Z51:AF51)</f>
        <v>18</v>
      </c>
      <c r="U51" s="12" t="inlineStr">
        <is>
          <t>V5</t>
        </is>
      </c>
      <c r="V51" s="4" t="inlineStr">
        <is>
          <t>Major Tohoku dairy and beef prefecture.</t>
        </is>
      </c>
      <c r="W51" s="4" t="inlineStr">
        <is>
          <t>Field trial of a rugged livestock portable (EBit 50) with clinic vets during pregnancy checks.</t>
        </is>
      </c>
      <c r="X51" s="4" t="inlineStr">
        <is>
          <t>Not checked (human list not in v17)</t>
        </is>
      </c>
      <c r="Y51" s="4" t="inlineStr">
        <is>
          <t>https://www.maff.go.jp/j/keiei/nogyohoken/contact.html</t>
        </is>
      </c>
      <c r="Z51" s="4" t="n">
        <v>1</v>
      </c>
      <c r="AA51" s="4" t="n">
        <v>4</v>
      </c>
      <c r="AB51" s="4" t="n">
        <v>3</v>
      </c>
      <c r="AC51" s="4" t="n">
        <v>1</v>
      </c>
      <c r="AD51" s="4" t="n">
        <v>5</v>
      </c>
      <c r="AE51" s="4" t="n">
        <v>1</v>
      </c>
      <c r="AF51" s="4" t="n">
        <v>3</v>
      </c>
      <c r="AG51" s="4" t="inlineStr">
        <is>
          <t>Evidence backed</t>
        </is>
      </c>
    </row>
    <row r="52" ht="75" customHeight="1">
      <c r="A52" s="4" t="n">
        <v>48</v>
      </c>
      <c r="B52" s="4" t="inlineStr">
        <is>
          <t>NOSAI Miyagi</t>
        </is>
      </c>
      <c r="C52" s="4" t="inlineStr">
        <is>
          <t>宮城県農業共済組合</t>
        </is>
      </c>
      <c r="D52" s="4" t="inlineStr">
        <is>
          <t>Not found (NTA lookup blocked; dedupe by Japanese name)</t>
        </is>
      </c>
      <c r="E52" s="4" t="inlineStr">
        <is>
          <t>Miyagi</t>
        </is>
      </c>
      <c r="F52" s="4" t="inlineStr">
        <is>
          <t>Tohoku and Hokkaido</t>
        </is>
      </c>
      <c r="G52" s="5" t="inlineStr">
        <is>
          <t>https://www.nosaimiyagi.or.jp</t>
        </is>
      </c>
      <c r="H52" s="4" t="inlineStr">
        <is>
          <t>End user (livestock clinic network)</t>
        </is>
      </c>
      <c r="I52" s="4" t="inlineStr">
        <is>
          <t>Not identified</t>
        </is>
      </c>
      <c r="J52" s="4" t="inlineStr">
        <is>
          <t>Large animal</t>
        </is>
      </c>
      <c r="K52" s="4" t="inlineStr">
        <is>
          <t>Miyagi livestock clinics</t>
        </is>
      </c>
      <c r="L52" s="4" t="inlineStr">
        <is>
          <t>Not found</t>
        </is>
      </c>
      <c r="M52" s="4" t="inlineStr">
        <is>
          <t>4 livestock clinic centres incl. training centre</t>
        </is>
      </c>
      <c r="N52" s="4" t="inlineStr">
        <is>
          <t>Not identified</t>
        </is>
      </c>
      <c r="O52" s="4" t="inlineStr">
        <is>
          <t>Not identified</t>
        </is>
      </c>
      <c r="P52" s="4" t="inlineStr">
        <is>
          <t>Not published; inquiry form: https://www.nosaimiyagi.or.jp/contact/</t>
        </is>
      </c>
      <c r="Q52" s="4" t="inlineStr">
        <is>
          <t>0229 87 8281</t>
        </is>
      </c>
      <c r="R52" s="4" t="inlineStr">
        <is>
          <t>Not identified</t>
        </is>
      </c>
      <c r="S52" s="4" t="inlineStr">
        <is>
          <t>Company inquiry only (form)</t>
        </is>
      </c>
      <c r="T52" s="6">
        <f>SUM(Z52:AF52)</f>
        <v>18</v>
      </c>
      <c r="U52" s="12" t="inlineStr">
        <is>
          <t>V5</t>
        </is>
      </c>
      <c r="V52" s="4" t="inlineStr">
        <is>
          <t>Central centre doubles as a livestock clinical training site.</t>
        </is>
      </c>
      <c r="W52" s="4" t="inlineStr">
        <is>
          <t>Field trial of a rugged livestock portable (EBit 50) with clinic vets during pregnancy checks.</t>
        </is>
      </c>
      <c r="X52" s="4" t="inlineStr">
        <is>
          <t>Not checked (human list not in v17)</t>
        </is>
      </c>
      <c r="Y52" s="4" t="inlineStr">
        <is>
          <t>https://www.nosaimiyagi.or.jp/outline/ ; https://www.nosaimiyagi.or.jp/contact/</t>
        </is>
      </c>
      <c r="Z52" s="4" t="n">
        <v>1</v>
      </c>
      <c r="AA52" s="4" t="n">
        <v>4</v>
      </c>
      <c r="AB52" s="4" t="n">
        <v>3</v>
      </c>
      <c r="AC52" s="4" t="n">
        <v>1</v>
      </c>
      <c r="AD52" s="4" t="n">
        <v>5</v>
      </c>
      <c r="AE52" s="4" t="n">
        <v>1</v>
      </c>
      <c r="AF52" s="4" t="n">
        <v>3</v>
      </c>
      <c r="AG52" s="4" t="inlineStr">
        <is>
          <t>Evidence backed</t>
        </is>
      </c>
    </row>
    <row r="53" ht="75" customHeight="1">
      <c r="A53" s="4" t="n">
        <v>49</v>
      </c>
      <c r="B53" s="4" t="inlineStr">
        <is>
          <t>NOSAI Yamagata</t>
        </is>
      </c>
      <c r="C53" s="4" t="inlineStr">
        <is>
          <t>山形県農業共済組合</t>
        </is>
      </c>
      <c r="D53" s="4" t="inlineStr">
        <is>
          <t>Not found (NTA lookup blocked; dedupe by Japanese name)</t>
        </is>
      </c>
      <c r="E53" s="4" t="inlineStr">
        <is>
          <t>Yamagata</t>
        </is>
      </c>
      <c r="F53" s="4" t="inlineStr">
        <is>
          <t>Tohoku and Hokkaido</t>
        </is>
      </c>
      <c r="G53" s="5" t="inlineStr">
        <is>
          <t>https://www.yynosai.or.jp</t>
        </is>
      </c>
      <c r="H53" s="4" t="inlineStr">
        <is>
          <t>End user (livestock clinic network)</t>
        </is>
      </c>
      <c r="I53" s="4" t="inlineStr">
        <is>
          <t>Not identified</t>
        </is>
      </c>
      <c r="J53" s="4" t="inlineStr">
        <is>
          <t>Large animal</t>
        </is>
      </c>
      <c r="K53" s="4" t="inlineStr">
        <is>
          <t>Yamagata livestock clinics</t>
        </is>
      </c>
      <c r="L53" s="4" t="inlineStr">
        <is>
          <t>Not found</t>
        </is>
      </c>
      <c r="M53" s="4" t="inlineStr">
        <is>
          <t>3 centres plus satellite offices</t>
        </is>
      </c>
      <c r="N53" s="4" t="inlineStr">
        <is>
          <t>Not identified</t>
        </is>
      </c>
      <c r="O53" s="4" t="inlineStr">
        <is>
          <t>Not identified</t>
        </is>
      </c>
      <c r="P53" s="4" t="inlineStr">
        <is>
          <t>Not published; inquiry form: https://www.yynosai.or.jp/contact</t>
        </is>
      </c>
      <c r="Q53" s="4" t="inlineStr">
        <is>
          <t>023 656 8988</t>
        </is>
      </c>
      <c r="R53" s="4" t="inlineStr">
        <is>
          <t>Not identified</t>
        </is>
      </c>
      <c r="S53" s="4" t="inlineStr">
        <is>
          <t>Company inquiry only (form)</t>
        </is>
      </c>
      <c r="T53" s="6">
        <f>SUM(Z53:AF53)</f>
        <v>18</v>
      </c>
      <c r="U53" s="12" t="inlineStr">
        <is>
          <t>V5</t>
        </is>
      </c>
      <c r="V53" s="4" t="inlineStr">
        <is>
          <t>Central, northern and southern centres.</t>
        </is>
      </c>
      <c r="W53" s="4" t="inlineStr">
        <is>
          <t>Field trial of a rugged livestock portable (EBit 50) with clinic vets during pregnancy checks.</t>
        </is>
      </c>
      <c r="X53" s="4" t="inlineStr">
        <is>
          <t>Not checked (human list not in v17)</t>
        </is>
      </c>
      <c r="Y53" s="4" t="inlineStr">
        <is>
          <t>https://www.yynosai.or.jp/yamagata/branch ; https://www.yynosai.or.jp/contact</t>
        </is>
      </c>
      <c r="Z53" s="4" t="n">
        <v>1</v>
      </c>
      <c r="AA53" s="4" t="n">
        <v>4</v>
      </c>
      <c r="AB53" s="4" t="n">
        <v>3</v>
      </c>
      <c r="AC53" s="4" t="n">
        <v>1</v>
      </c>
      <c r="AD53" s="4" t="n">
        <v>5</v>
      </c>
      <c r="AE53" s="4" t="n">
        <v>1</v>
      </c>
      <c r="AF53" s="4" t="n">
        <v>3</v>
      </c>
      <c r="AG53" s="4" t="inlineStr">
        <is>
          <t>Evidence backed</t>
        </is>
      </c>
    </row>
    <row r="54" ht="75" customHeight="1">
      <c r="A54" s="4" t="n">
        <v>50</v>
      </c>
      <c r="B54" s="4" t="inlineStr">
        <is>
          <t>Total Herd Management Service Co., Ltd.</t>
        </is>
      </c>
      <c r="C54" s="4" t="inlineStr">
        <is>
          <t>株式会社トータルハードマネージメントサービス</t>
        </is>
      </c>
      <c r="D54" s="4" t="inlineStr">
        <is>
          <t>Not found (NTA lookup blocked; dedupe by Japanese name)</t>
        </is>
      </c>
      <c r="E54" s="4" t="inlineStr">
        <is>
          <t>Hokkaido</t>
        </is>
      </c>
      <c r="F54" s="4" t="inlineStr">
        <is>
          <t>Tohoku and Hokkaido</t>
        </is>
      </c>
      <c r="G54" s="5" t="inlineStr">
        <is>
          <t>https://www.thms.jp</t>
        </is>
      </c>
      <c r="H54" s="4" t="inlineStr">
        <is>
          <t>End user (livestock clinic network)</t>
        </is>
      </c>
      <c r="I54" s="4" t="inlineStr">
        <is>
          <t>Not identified</t>
        </is>
      </c>
      <c r="J54" s="4" t="inlineStr">
        <is>
          <t>Large animal</t>
        </is>
      </c>
      <c r="K54" s="4" t="inlineStr">
        <is>
          <t>Dairy farms</t>
        </is>
      </c>
      <c r="L54" s="4" t="inlineStr">
        <is>
          <t>Not found</t>
        </is>
      </c>
      <c r="M54" s="4" t="inlineStr">
        <is>
          <t>Herd health team</t>
        </is>
      </c>
      <c r="N54" s="4" t="inlineStr">
        <is>
          <t>Not identified</t>
        </is>
      </c>
      <c r="O54" s="4" t="inlineStr">
        <is>
          <t>Not identified</t>
        </is>
      </c>
      <c r="P54" s="4" t="inlineStr">
        <is>
          <t>Not published; inquiry form: https://www.thms.jp/contact/</t>
        </is>
      </c>
      <c r="Q54" s="4" t="inlineStr">
        <is>
          <t>0153 75 6589</t>
        </is>
      </c>
      <c r="R54" s="4" t="inlineStr">
        <is>
          <t>Not identified</t>
        </is>
      </c>
      <c r="S54" s="4" t="inlineStr">
        <is>
          <t>Company inquiry only (form); HQ Betsukai, Hokkaido</t>
        </is>
      </c>
      <c r="T54" s="6">
        <f>SUM(Z54:AF54)</f>
        <v>18</v>
      </c>
      <c r="U54" s="12" t="inlineStr">
        <is>
          <t>V5</t>
        </is>
      </c>
      <c r="V54" s="4" t="inlineStr">
        <is>
          <t>Dairy herd health service whose vets run routine repro (pregnancy) checks. FLAG: HQ not confirmed.</t>
        </is>
      </c>
      <c r="W54" s="4" t="inlineStr">
        <is>
          <t>Field trial of a rugged livestock portable (EBit 50) with clinic vets during pregnancy checks.</t>
        </is>
      </c>
      <c r="X54" s="4" t="inlineStr">
        <is>
          <t>Not checked (human list not in v17)</t>
        </is>
      </c>
      <c r="Y54" s="4" t="inlineStr">
        <is>
          <t>https://www.thms.jp/service/juuika/breeding/hanshokukenshin/ ; https://www.thms.jp/contact/</t>
        </is>
      </c>
      <c r="Z54" s="4" t="n">
        <v>1</v>
      </c>
      <c r="AA54" s="4" t="n">
        <v>4</v>
      </c>
      <c r="AB54" s="4" t="n">
        <v>3</v>
      </c>
      <c r="AC54" s="4" t="n">
        <v>1</v>
      </c>
      <c r="AD54" s="4" t="n">
        <v>5</v>
      </c>
      <c r="AE54" s="4" t="n">
        <v>1</v>
      </c>
      <c r="AF54" s="4" t="n">
        <v>3</v>
      </c>
      <c r="AG54" s="4" t="inlineStr">
        <is>
          <t>Evidence backed</t>
        </is>
      </c>
    </row>
  </sheetData>
  <autoFilter ref="A4:AG54"/>
  <mergeCells count="1">
    <mergeCell ref="A2:L2"/>
  </mergeCells>
  <hyperlinks>
    <hyperlink xmlns:r="http://schemas.openxmlformats.org/officeDocument/2006/relationships" ref="Y5" r:id="rId1"/>
    <hyperlink xmlns:r="http://schemas.openxmlformats.org/officeDocument/2006/relationships" ref="G6" r:id="rId2"/>
    <hyperlink xmlns:r="http://schemas.openxmlformats.org/officeDocument/2006/relationships" ref="Y6" r:id="rId3"/>
    <hyperlink xmlns:r="http://schemas.openxmlformats.org/officeDocument/2006/relationships" ref="G7" r:id="rId4"/>
    <hyperlink xmlns:r="http://schemas.openxmlformats.org/officeDocument/2006/relationships" ref="Y7" r:id="rId5"/>
    <hyperlink xmlns:r="http://schemas.openxmlformats.org/officeDocument/2006/relationships" ref="G8" r:id="rId6"/>
    <hyperlink xmlns:r="http://schemas.openxmlformats.org/officeDocument/2006/relationships" ref="Y8" r:id="rId7"/>
    <hyperlink xmlns:r="http://schemas.openxmlformats.org/officeDocument/2006/relationships" ref="G9" r:id="rId8"/>
    <hyperlink xmlns:r="http://schemas.openxmlformats.org/officeDocument/2006/relationships" ref="Y9" r:id="rId9"/>
    <hyperlink xmlns:r="http://schemas.openxmlformats.org/officeDocument/2006/relationships" ref="G10" r:id="rId10"/>
    <hyperlink xmlns:r="http://schemas.openxmlformats.org/officeDocument/2006/relationships" ref="Y10" r:id="rId11"/>
    <hyperlink xmlns:r="http://schemas.openxmlformats.org/officeDocument/2006/relationships" ref="G11" r:id="rId12"/>
    <hyperlink xmlns:r="http://schemas.openxmlformats.org/officeDocument/2006/relationships" ref="Y11" r:id="rId13"/>
    <hyperlink xmlns:r="http://schemas.openxmlformats.org/officeDocument/2006/relationships" ref="G12" r:id="rId14"/>
    <hyperlink xmlns:r="http://schemas.openxmlformats.org/officeDocument/2006/relationships" ref="Y12" r:id="rId15"/>
    <hyperlink xmlns:r="http://schemas.openxmlformats.org/officeDocument/2006/relationships" ref="G13" r:id="rId16"/>
    <hyperlink xmlns:r="http://schemas.openxmlformats.org/officeDocument/2006/relationships" ref="Y13" r:id="rId17"/>
    <hyperlink xmlns:r="http://schemas.openxmlformats.org/officeDocument/2006/relationships" ref="G14" r:id="rId18"/>
    <hyperlink xmlns:r="http://schemas.openxmlformats.org/officeDocument/2006/relationships" ref="Y14" r:id="rId19"/>
    <hyperlink xmlns:r="http://schemas.openxmlformats.org/officeDocument/2006/relationships" ref="G15" r:id="rId20"/>
    <hyperlink xmlns:r="http://schemas.openxmlformats.org/officeDocument/2006/relationships" ref="Y15" r:id="rId21"/>
    <hyperlink xmlns:r="http://schemas.openxmlformats.org/officeDocument/2006/relationships" ref="G16" r:id="rId22"/>
    <hyperlink xmlns:r="http://schemas.openxmlformats.org/officeDocument/2006/relationships" ref="Y16" r:id="rId23"/>
    <hyperlink xmlns:r="http://schemas.openxmlformats.org/officeDocument/2006/relationships" ref="G17" r:id="rId24"/>
    <hyperlink xmlns:r="http://schemas.openxmlformats.org/officeDocument/2006/relationships" ref="Y17" r:id="rId25"/>
    <hyperlink xmlns:r="http://schemas.openxmlformats.org/officeDocument/2006/relationships" ref="G18" r:id="rId26"/>
    <hyperlink xmlns:r="http://schemas.openxmlformats.org/officeDocument/2006/relationships" ref="Y18" r:id="rId27"/>
    <hyperlink xmlns:r="http://schemas.openxmlformats.org/officeDocument/2006/relationships" ref="G19" r:id="rId28"/>
    <hyperlink xmlns:r="http://schemas.openxmlformats.org/officeDocument/2006/relationships" ref="Y19" r:id="rId29"/>
    <hyperlink xmlns:r="http://schemas.openxmlformats.org/officeDocument/2006/relationships" ref="G20" r:id="rId30"/>
    <hyperlink xmlns:r="http://schemas.openxmlformats.org/officeDocument/2006/relationships" ref="Y20" r:id="rId31"/>
    <hyperlink xmlns:r="http://schemas.openxmlformats.org/officeDocument/2006/relationships" ref="G21" r:id="rId32"/>
    <hyperlink xmlns:r="http://schemas.openxmlformats.org/officeDocument/2006/relationships" ref="Y21" r:id="rId33"/>
    <hyperlink xmlns:r="http://schemas.openxmlformats.org/officeDocument/2006/relationships" ref="G22" r:id="rId34"/>
    <hyperlink xmlns:r="http://schemas.openxmlformats.org/officeDocument/2006/relationships" ref="Y22" r:id="rId35"/>
    <hyperlink xmlns:r="http://schemas.openxmlformats.org/officeDocument/2006/relationships" ref="G23" r:id="rId36"/>
    <hyperlink xmlns:r="http://schemas.openxmlformats.org/officeDocument/2006/relationships" ref="Y23" r:id="rId37"/>
    <hyperlink xmlns:r="http://schemas.openxmlformats.org/officeDocument/2006/relationships" ref="G24" r:id="rId38"/>
    <hyperlink xmlns:r="http://schemas.openxmlformats.org/officeDocument/2006/relationships" ref="Y24" r:id="rId39"/>
    <hyperlink xmlns:r="http://schemas.openxmlformats.org/officeDocument/2006/relationships" ref="G25" r:id="rId40"/>
    <hyperlink xmlns:r="http://schemas.openxmlformats.org/officeDocument/2006/relationships" ref="Y25" r:id="rId41"/>
    <hyperlink xmlns:r="http://schemas.openxmlformats.org/officeDocument/2006/relationships" ref="G26" r:id="rId42"/>
    <hyperlink xmlns:r="http://schemas.openxmlformats.org/officeDocument/2006/relationships" ref="Y26" r:id="rId43"/>
    <hyperlink xmlns:r="http://schemas.openxmlformats.org/officeDocument/2006/relationships" ref="G27" r:id="rId44"/>
    <hyperlink xmlns:r="http://schemas.openxmlformats.org/officeDocument/2006/relationships" ref="Y27" r:id="rId45"/>
    <hyperlink xmlns:r="http://schemas.openxmlformats.org/officeDocument/2006/relationships" ref="G28" r:id="rId46"/>
    <hyperlink xmlns:r="http://schemas.openxmlformats.org/officeDocument/2006/relationships" ref="Y28" r:id="rId47"/>
    <hyperlink xmlns:r="http://schemas.openxmlformats.org/officeDocument/2006/relationships" ref="G29" r:id="rId48"/>
    <hyperlink xmlns:r="http://schemas.openxmlformats.org/officeDocument/2006/relationships" ref="Y29" r:id="rId49"/>
    <hyperlink xmlns:r="http://schemas.openxmlformats.org/officeDocument/2006/relationships" ref="G30" r:id="rId50"/>
    <hyperlink xmlns:r="http://schemas.openxmlformats.org/officeDocument/2006/relationships" ref="Y30" r:id="rId51"/>
    <hyperlink xmlns:r="http://schemas.openxmlformats.org/officeDocument/2006/relationships" ref="G31" r:id="rId52"/>
    <hyperlink xmlns:r="http://schemas.openxmlformats.org/officeDocument/2006/relationships" ref="Y31" r:id="rId53"/>
    <hyperlink xmlns:r="http://schemas.openxmlformats.org/officeDocument/2006/relationships" ref="Y32" r:id="rId54"/>
    <hyperlink xmlns:r="http://schemas.openxmlformats.org/officeDocument/2006/relationships" ref="G33" r:id="rId55"/>
    <hyperlink xmlns:r="http://schemas.openxmlformats.org/officeDocument/2006/relationships" ref="Y33" r:id="rId56"/>
    <hyperlink xmlns:r="http://schemas.openxmlformats.org/officeDocument/2006/relationships" ref="Y34" r:id="rId57"/>
    <hyperlink xmlns:r="http://schemas.openxmlformats.org/officeDocument/2006/relationships" ref="Y35" r:id="rId58"/>
    <hyperlink xmlns:r="http://schemas.openxmlformats.org/officeDocument/2006/relationships" ref="G36" r:id="rId59"/>
    <hyperlink xmlns:r="http://schemas.openxmlformats.org/officeDocument/2006/relationships" ref="Y36" r:id="rId60"/>
    <hyperlink xmlns:r="http://schemas.openxmlformats.org/officeDocument/2006/relationships" ref="G37" r:id="rId61"/>
    <hyperlink xmlns:r="http://schemas.openxmlformats.org/officeDocument/2006/relationships" ref="Y37" r:id="rId62"/>
    <hyperlink xmlns:r="http://schemas.openxmlformats.org/officeDocument/2006/relationships" ref="Y38" r:id="rId63"/>
    <hyperlink xmlns:r="http://schemas.openxmlformats.org/officeDocument/2006/relationships" ref="G39" r:id="rId64"/>
    <hyperlink xmlns:r="http://schemas.openxmlformats.org/officeDocument/2006/relationships" ref="Y39" r:id="rId65"/>
    <hyperlink xmlns:r="http://schemas.openxmlformats.org/officeDocument/2006/relationships" ref="Y40" r:id="rId66"/>
    <hyperlink xmlns:r="http://schemas.openxmlformats.org/officeDocument/2006/relationships" ref="G41" r:id="rId67"/>
    <hyperlink xmlns:r="http://schemas.openxmlformats.org/officeDocument/2006/relationships" ref="Y41" r:id="rId68"/>
    <hyperlink xmlns:r="http://schemas.openxmlformats.org/officeDocument/2006/relationships" ref="G42" r:id="rId69"/>
    <hyperlink xmlns:r="http://schemas.openxmlformats.org/officeDocument/2006/relationships" ref="Y42" r:id="rId70"/>
    <hyperlink xmlns:r="http://schemas.openxmlformats.org/officeDocument/2006/relationships" ref="G43" r:id="rId71"/>
    <hyperlink xmlns:r="http://schemas.openxmlformats.org/officeDocument/2006/relationships" ref="Y43" r:id="rId72"/>
    <hyperlink xmlns:r="http://schemas.openxmlformats.org/officeDocument/2006/relationships" ref="G44" r:id="rId73"/>
    <hyperlink xmlns:r="http://schemas.openxmlformats.org/officeDocument/2006/relationships" ref="Y44" r:id="rId74"/>
    <hyperlink xmlns:r="http://schemas.openxmlformats.org/officeDocument/2006/relationships" ref="G45" r:id="rId75"/>
    <hyperlink xmlns:r="http://schemas.openxmlformats.org/officeDocument/2006/relationships" ref="Y45" r:id="rId76"/>
    <hyperlink xmlns:r="http://schemas.openxmlformats.org/officeDocument/2006/relationships" ref="G46" r:id="rId77"/>
    <hyperlink xmlns:r="http://schemas.openxmlformats.org/officeDocument/2006/relationships" ref="Y46" r:id="rId78"/>
    <hyperlink xmlns:r="http://schemas.openxmlformats.org/officeDocument/2006/relationships" ref="Y47" r:id="rId79"/>
    <hyperlink xmlns:r="http://schemas.openxmlformats.org/officeDocument/2006/relationships" ref="G48" r:id="rId80"/>
    <hyperlink xmlns:r="http://schemas.openxmlformats.org/officeDocument/2006/relationships" ref="Y48" r:id="rId81"/>
    <hyperlink xmlns:r="http://schemas.openxmlformats.org/officeDocument/2006/relationships" ref="G49" r:id="rId82"/>
    <hyperlink xmlns:r="http://schemas.openxmlformats.org/officeDocument/2006/relationships" ref="Y49" r:id="rId83"/>
    <hyperlink xmlns:r="http://schemas.openxmlformats.org/officeDocument/2006/relationships" ref="G50" r:id="rId84"/>
    <hyperlink xmlns:r="http://schemas.openxmlformats.org/officeDocument/2006/relationships" ref="Y50" r:id="rId85"/>
    <hyperlink xmlns:r="http://schemas.openxmlformats.org/officeDocument/2006/relationships" ref="Y51" r:id="rId86"/>
    <hyperlink xmlns:r="http://schemas.openxmlformats.org/officeDocument/2006/relationships" ref="G52" r:id="rId87"/>
    <hyperlink xmlns:r="http://schemas.openxmlformats.org/officeDocument/2006/relationships" ref="Y52" r:id="rId88"/>
    <hyperlink xmlns:r="http://schemas.openxmlformats.org/officeDocument/2006/relationships" ref="G53" r:id="rId89"/>
    <hyperlink xmlns:r="http://schemas.openxmlformats.org/officeDocument/2006/relationships" ref="Y53" r:id="rId90"/>
    <hyperlink xmlns:r="http://schemas.openxmlformats.org/officeDocument/2006/relationships" ref="G54" r:id="rId91"/>
    <hyperlink xmlns:r="http://schemas.openxmlformats.org/officeDocument/2006/relationships" ref="Y54" r:id="rId9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4" customWidth="1" min="1" max="1"/>
    <col width="16" customWidth="1" min="2" max="2"/>
    <col width="20" customWidth="1" min="3" max="3"/>
    <col width="14" customWidth="1" min="4" max="4"/>
    <col width="16" customWidth="1" min="5" max="5"/>
    <col width="14" customWidth="1" min="6" max="6"/>
    <col width="34" customWidth="1" min="7" max="7"/>
  </cols>
  <sheetData>
    <row r="1">
      <c r="A1" s="1" t="inlineStr">
        <is>
          <t>Lead count by region against minimum quota</t>
        </is>
      </c>
    </row>
    <row r="3">
      <c r="A3" s="13" t="inlineStr">
        <is>
          <t>Region</t>
        </is>
      </c>
      <c r="B3" s="13" t="inlineStr">
        <is>
          <t>Quota (minimum)</t>
        </is>
      </c>
      <c r="C3" s="13" t="inlineStr">
        <is>
          <t>Rows in Master List</t>
        </is>
      </c>
      <c r="D3" s="13" t="inlineStr">
        <is>
          <t>Gap to quota</t>
        </is>
      </c>
      <c r="E3" s="13" t="inlineStr">
        <is>
          <t>Evidence backed</t>
        </is>
      </c>
      <c r="F3" s="13" t="inlineStr">
        <is>
          <t>Qualify first</t>
        </is>
      </c>
      <c r="G3" s="13" t="inlineStr">
        <is>
          <t>Status</t>
        </is>
      </c>
    </row>
    <row r="4">
      <c r="A4" s="14" t="inlineStr">
        <is>
          <t>Kanto</t>
        </is>
      </c>
      <c r="B4" s="14" t="n">
        <v>80</v>
      </c>
      <c r="C4" s="14">
        <f>COUNTIF('Master List'!F:F,A4)</f>
        <v>87</v>
      </c>
      <c r="D4" s="14">
        <f>C4-B4</f>
        <v>7</v>
      </c>
      <c r="E4" s="14">
        <f>COUNTIFS('Master List'!F:F,A4,'Master List'!AG:AG,"Evidence backed")</f>
        <v>66</v>
      </c>
      <c r="F4" s="14">
        <f>COUNTIFS('Master List'!F:F,A4,'Master List'!AG:AG,"Qualify first")</f>
        <v>21</v>
      </c>
      <c r="G4" s="14" t="inlineStr">
        <is>
          <t>Met</t>
        </is>
      </c>
    </row>
    <row r="5">
      <c r="A5" s="14" t="inlineStr">
        <is>
          <t>Kansai</t>
        </is>
      </c>
      <c r="B5" s="14" t="n">
        <v>50</v>
      </c>
      <c r="C5" s="14">
        <f>COUNTIF('Master List'!F:F,A5)</f>
        <v>47</v>
      </c>
      <c r="D5" s="14">
        <f>C5-B5</f>
        <v>-3</v>
      </c>
      <c r="E5" s="14">
        <f>COUNTIFS('Master List'!F:F,A5,'Master List'!AG:AG,"Evidence backed")</f>
        <v>21</v>
      </c>
      <c r="F5" s="14">
        <f>COUNTIFS('Master List'!F:F,A5,'Master List'!AG:AG,"Qualify first")</f>
        <v>26</v>
      </c>
      <c r="G5" s="15" t="inlineStr">
        <is>
          <t>SHORT by 3</t>
        </is>
      </c>
    </row>
    <row r="6">
      <c r="A6" s="14" t="inlineStr">
        <is>
          <t>Chubu</t>
        </is>
      </c>
      <c r="B6" s="14" t="n">
        <v>38</v>
      </c>
      <c r="C6" s="14">
        <f>COUNTIF('Master List'!F:F,A6)</f>
        <v>40</v>
      </c>
      <c r="D6" s="14">
        <f>C6-B6</f>
        <v>2</v>
      </c>
      <c r="E6" s="14">
        <f>COUNTIFS('Master List'!F:F,A6,'Master List'!AG:AG,"Evidence backed")</f>
        <v>13</v>
      </c>
      <c r="F6" s="14">
        <f>COUNTIFS('Master List'!F:F,A6,'Master List'!AG:AG,"Qualify first")</f>
        <v>27</v>
      </c>
      <c r="G6" s="14" t="inlineStr">
        <is>
          <t>Met</t>
        </is>
      </c>
    </row>
    <row r="7">
      <c r="A7" s="14" t="inlineStr">
        <is>
          <t>Kyushu and Okinawa</t>
        </is>
      </c>
      <c r="B7" s="14" t="n">
        <v>30</v>
      </c>
      <c r="C7" s="14">
        <f>COUNTIF('Master List'!F:F,A7)</f>
        <v>33</v>
      </c>
      <c r="D7" s="14">
        <f>C7-B7</f>
        <v>3</v>
      </c>
      <c r="E7" s="14">
        <f>COUNTIFS('Master List'!F:F,A7,'Master List'!AG:AG,"Evidence backed")</f>
        <v>15</v>
      </c>
      <c r="F7" s="14">
        <f>COUNTIFS('Master List'!F:F,A7,'Master List'!AG:AG,"Qualify first")</f>
        <v>18</v>
      </c>
      <c r="G7" s="14" t="inlineStr">
        <is>
          <t>Met</t>
        </is>
      </c>
    </row>
    <row r="8">
      <c r="A8" s="14" t="inlineStr">
        <is>
          <t>Tohoku and Hokkaido</t>
        </is>
      </c>
      <c r="B8" s="14" t="n">
        <v>28</v>
      </c>
      <c r="C8" s="14">
        <f>COUNTIF('Master List'!F:F,A8)</f>
        <v>30</v>
      </c>
      <c r="D8" s="14">
        <f>C8-B8</f>
        <v>2</v>
      </c>
      <c r="E8" s="14">
        <f>COUNTIFS('Master List'!F:F,A8,'Master List'!AG:AG,"Evidence backed")</f>
        <v>12</v>
      </c>
      <c r="F8" s="14">
        <f>COUNTIFS('Master List'!F:F,A8,'Master List'!AG:AG,"Qualify first")</f>
        <v>18</v>
      </c>
      <c r="G8" s="14" t="inlineStr">
        <is>
          <t>Met</t>
        </is>
      </c>
    </row>
    <row r="9">
      <c r="A9" s="14" t="inlineStr">
        <is>
          <t>Chugoku and Shikoku</t>
        </is>
      </c>
      <c r="B9" s="14" t="n">
        <v>24</v>
      </c>
      <c r="C9" s="14">
        <f>COUNTIF('Master List'!F:F,A9)</f>
        <v>22</v>
      </c>
      <c r="D9" s="14">
        <f>C9-B9</f>
        <v>-2</v>
      </c>
      <c r="E9" s="14">
        <f>COUNTIFS('Master List'!F:F,A9,'Master List'!AG:AG,"Evidence backed")</f>
        <v>12</v>
      </c>
      <c r="F9" s="14">
        <f>COUNTIFS('Master List'!F:F,A9,'Master List'!AG:AG,"Qualify first")</f>
        <v>10</v>
      </c>
      <c r="G9" s="15" t="inlineStr">
        <is>
          <t>SHORT by 2</t>
        </is>
      </c>
    </row>
    <row r="10">
      <c r="A10" s="14" t="inlineStr">
        <is>
          <t>Not confirmed</t>
        </is>
      </c>
      <c r="B10" s="14" t="inlineStr">
        <is>
          <t>n/a</t>
        </is>
      </c>
      <c r="C10" s="14">
        <f>COUNTIF('Master List'!F:F,A10)</f>
        <v>0</v>
      </c>
      <c r="D10" s="14" t="inlineStr">
        <is>
          <t>n/a</t>
        </is>
      </c>
      <c r="E10" s="14">
        <f>COUNTIFS('Master List'!F:F,A10,'Master List'!AG:AG,"Evidence backed")</f>
        <v>0</v>
      </c>
      <c r="F10" s="14">
        <f>COUNTIFS('Master List'!F:F,A10,'Master List'!AG:AG,"Qualify first")</f>
        <v>0</v>
      </c>
      <c r="G10" s="14" t="inlineStr">
        <is>
          <t>HQ prefecture not confirmed</t>
        </is>
      </c>
    </row>
    <row r="11">
      <c r="A11" s="16" t="inlineStr">
        <is>
          <t>Total</t>
        </is>
      </c>
      <c r="B11">
        <f>SUM(B4:B9)</f>
        <v>250</v>
      </c>
      <c r="C11">
        <f>SUM(C4:C10)</f>
        <v>259</v>
      </c>
      <c r="E11">
        <f>SUM(E4:E10)</f>
        <v>139</v>
      </c>
      <c r="F11">
        <f>SUM(F4:F10)</f>
        <v>120</v>
      </c>
    </row>
    <row r="13">
      <c r="A13" s="17" t="inlineStr">
        <is>
          <t>Region definitions: Kanto = Tokyo, Kanagawa, Saitama, Chiba, Ibaraki, Tochigi, Gunma. Kansai = Osaka, Kyoto, Hyogo, Nara, Shiga, Wakayama, Mie. Chubu = Aichi, Shizuoka, Gifu, Nagano, Yamanashi, Niigata, Toyama, Ishikawa, Fukui. Chugoku and Shikoku = Tottori, Shimane, Okayama, Hiroshima, Yamaguchi, Tokushima, Kagawa, Ehime, Kochi.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10" customWidth="1" min="1" max="1"/>
    <col width="70" customWidth="1" min="2" max="2"/>
    <col width="10" customWidth="1" min="3" max="3"/>
    <col width="16" customWidth="1" min="4" max="4"/>
    <col width="14" customWidth="1" min="5" max="5"/>
    <col width="80" customWidth="1" min="6" max="6"/>
  </cols>
  <sheetData>
    <row r="1">
      <c r="A1" s="1" t="inlineStr">
        <is>
          <t>Summary</t>
        </is>
      </c>
    </row>
    <row r="3">
      <c r="A3" s="18" t="inlineStr">
        <is>
          <t>Totals by tier</t>
        </is>
      </c>
    </row>
    <row r="4">
      <c r="A4" s="13" t="inlineStr">
        <is>
          <t>Tier</t>
        </is>
      </c>
      <c r="B4" s="13" t="inlineStr">
        <is>
          <t>Definition</t>
        </is>
      </c>
      <c r="C4" s="13" t="inlineStr">
        <is>
          <t>Rows</t>
        </is>
      </c>
      <c r="D4" s="13" t="inlineStr">
        <is>
          <t>Evidence backed</t>
        </is>
      </c>
      <c r="E4" s="13" t="inlineStr">
        <is>
          <t>Qualify first</t>
        </is>
      </c>
    </row>
    <row r="5">
      <c r="A5" s="19" t="inlineStr">
        <is>
          <t>V1</t>
        </is>
      </c>
      <c r="B5" s="4" t="inlineStr">
        <is>
          <t>Vet imaging or equipment business holding 動物用医療機器 製造販売業許可 (can import and hold approvals)</t>
        </is>
      </c>
      <c r="C5" s="4">
        <f>COUNTIF('Master List'!U:U,A5)</f>
        <v>35</v>
      </c>
      <c r="D5" s="4">
        <f>COUNTIFS('Master List'!U:U,A5,'Master List'!AG:AG,"Evidence backed")</f>
        <v>35</v>
      </c>
      <c r="E5" s="4">
        <f>COUNTIFS('Master List'!U:U,A5,'Master List'!AG:AG,"Qualify first")</f>
        <v>0</v>
      </c>
    </row>
    <row r="6">
      <c r="A6" s="20" t="inlineStr">
        <is>
          <t>V2</t>
        </is>
      </c>
      <c r="B6" s="4" t="inlineStr">
        <is>
          <t>Vet equipment dealer with 動物用医療機器 販売業 licence or vet sales, no 製造販売業許可 found</t>
        </is>
      </c>
      <c r="C6" s="4">
        <f>COUNTIF('Master List'!U:U,A6)</f>
        <v>21</v>
      </c>
      <c r="D6" s="4">
        <f>COUNTIFS('Master List'!U:U,A6,'Master List'!AG:AG,"Evidence backed")</f>
        <v>21</v>
      </c>
      <c r="E6" s="4">
        <f>COUNTIFS('Master List'!U:U,A6,'Master List'!AG:AG,"Qualify first")</f>
        <v>0</v>
      </c>
    </row>
    <row r="7">
      <c r="A7" s="21" t="inlineStr">
        <is>
          <t>V3</t>
        </is>
      </c>
      <c r="B7" s="4" t="inlineStr">
        <is>
          <t>Vet drug wholesaler (動物用医薬品卸) with equipment sales potential</t>
        </is>
      </c>
      <c r="C7" s="4">
        <f>COUNTIF('Master List'!U:U,A7)</f>
        <v>28</v>
      </c>
      <c r="D7" s="4">
        <f>COUNTIFS('Master List'!U:U,A7,'Master List'!AG:AG,"Evidence backed")</f>
        <v>28</v>
      </c>
      <c r="E7" s="4">
        <f>COUNTIFS('Master List'!U:U,A7,'Master List'!AG:AG,"Qualify first")</f>
        <v>0</v>
      </c>
    </row>
    <row r="8">
      <c r="A8" s="22" t="inlineStr">
        <is>
          <t>V4</t>
        </is>
      </c>
      <c r="B8" s="4" t="inlineStr">
        <is>
          <t>Human medical equipment dealer that also sells, or may sell, to animal hospitals</t>
        </is>
      </c>
      <c r="C8" s="4">
        <f>COUNTIF('Master List'!U:U,A8)</f>
        <v>125</v>
      </c>
      <c r="D8" s="4">
        <f>COUNTIFS('Master List'!U:U,A8,'Master List'!AG:AG,"Evidence backed")</f>
        <v>5</v>
      </c>
      <c r="E8" s="4">
        <f>COUNTIFS('Master List'!U:U,A8,'Master List'!AG:AG,"Qualify first")</f>
        <v>120</v>
      </c>
    </row>
    <row r="9">
      <c r="A9" s="23" t="inlineStr">
        <is>
          <t>V5</t>
        </is>
      </c>
      <c r="B9" s="4" t="inlineStr">
        <is>
          <t>Multi site animal hospital group or livestock clinic network (direct end user; max 50)</t>
        </is>
      </c>
      <c r="C9" s="4">
        <f>COUNTIF('Master List'!U:U,A9)</f>
        <v>50</v>
      </c>
      <c r="D9" s="4">
        <f>COUNTIFS('Master List'!U:U,A9,'Master List'!AG:AG,"Evidence backed")</f>
        <v>50</v>
      </c>
      <c r="E9" s="4">
        <f>COUNTIFS('Master List'!U:U,A9,'Master List'!AG:AG,"Qualify first")</f>
        <v>0</v>
      </c>
    </row>
    <row r="10">
      <c r="A10" s="16" t="inlineStr">
        <is>
          <t>Total</t>
        </is>
      </c>
      <c r="C10">
        <f>SUM(C5:C9)</f>
        <v>259</v>
      </c>
    </row>
    <row r="12">
      <c r="A12" s="24" t="inlineStr">
        <is>
          <t>Totals by region: see the 'By Region' sheet (quota check).</t>
        </is>
      </c>
    </row>
    <row r="13">
      <c r="A13" s="24" t="inlineStr">
        <is>
          <t>Kanto</t>
        </is>
      </c>
      <c r="B13" s="24" t="inlineStr">
        <is>
          <t>Quota 80</t>
        </is>
      </c>
      <c r="C13" s="24">
        <f>COUNTIF('Master List'!F:F,A13)</f>
        <v>87</v>
      </c>
    </row>
    <row r="14">
      <c r="A14" s="24" t="inlineStr">
        <is>
          <t>Kansai</t>
        </is>
      </c>
      <c r="B14" s="24" t="inlineStr">
        <is>
          <t>Quota 50</t>
        </is>
      </c>
      <c r="C14" s="24">
        <f>COUNTIF('Master List'!F:F,A14)</f>
        <v>47</v>
      </c>
    </row>
    <row r="15">
      <c r="A15" s="24" t="inlineStr">
        <is>
          <t>Chubu</t>
        </is>
      </c>
      <c r="B15" s="24" t="inlineStr">
        <is>
          <t>Quota 38</t>
        </is>
      </c>
      <c r="C15" s="24">
        <f>COUNTIF('Master List'!F:F,A15)</f>
        <v>40</v>
      </c>
    </row>
    <row r="16">
      <c r="A16" s="24" t="inlineStr">
        <is>
          <t>Kyushu and Okinawa</t>
        </is>
      </c>
      <c r="B16" s="24" t="inlineStr">
        <is>
          <t>Quota 30</t>
        </is>
      </c>
      <c r="C16" s="24">
        <f>COUNTIF('Master List'!F:F,A16)</f>
        <v>33</v>
      </c>
    </row>
    <row r="17">
      <c r="A17" s="24" t="inlineStr">
        <is>
          <t>Tohoku and Hokkaido</t>
        </is>
      </c>
      <c r="B17" s="24" t="inlineStr">
        <is>
          <t>Quota 28</t>
        </is>
      </c>
      <c r="C17" s="24">
        <f>COUNTIF('Master List'!F:F,A17)</f>
        <v>30</v>
      </c>
    </row>
    <row r="18">
      <c r="A18" s="24" t="inlineStr">
        <is>
          <t>Chugoku and Shikoku</t>
        </is>
      </c>
      <c r="B18" s="24" t="inlineStr">
        <is>
          <t>Quota 24</t>
        </is>
      </c>
      <c r="C18" s="24">
        <f>COUNTIF('Master List'!F:F,A18)</f>
        <v>22</v>
      </c>
    </row>
    <row r="19">
      <c r="A19" s="24" t="inlineStr">
        <is>
          <t>Not confirmed</t>
        </is>
      </c>
      <c r="B19" s="24" t="inlineStr">
        <is>
          <t>Quota n/a</t>
        </is>
      </c>
      <c r="C19" s="24">
        <f>COUNTIF('Master List'!F:F,A19)</f>
        <v>0</v>
      </c>
    </row>
    <row r="21">
      <c r="A21" s="18" t="inlineStr">
        <is>
          <t>Email and contact coverage</t>
        </is>
      </c>
    </row>
    <row r="22">
      <c r="A22" s="24" t="inlineStr">
        <is>
          <t>Published email, Verified (own site)</t>
        </is>
      </c>
      <c r="C22" s="24" t="n">
        <v>31</v>
      </c>
    </row>
    <row r="23">
      <c r="A23" s="24" t="inlineStr">
        <is>
          <t>Published email, Likely (third party listing)</t>
        </is>
      </c>
      <c r="C23" s="24" t="n">
        <v>15</v>
      </c>
    </row>
    <row r="24">
      <c r="A24" s="24" t="inlineStr">
        <is>
          <t>No email published; inquiry form</t>
        </is>
      </c>
      <c r="C24" s="24" t="n">
        <v>54</v>
      </c>
    </row>
    <row r="25">
      <c r="A25" s="24" t="inlineStr">
        <is>
          <t>No email published; phone only</t>
        </is>
      </c>
      <c r="C25" s="24" t="n">
        <v>89</v>
      </c>
    </row>
    <row r="26">
      <c r="A26" s="24" t="inlineStr">
        <is>
          <t>Not searched yet (search budget; all are V4 qualify first)</t>
        </is>
      </c>
      <c r="C26" s="24" t="n">
        <v>70</v>
      </c>
    </row>
    <row r="28">
      <c r="A28" s="18" t="inlineStr">
        <is>
          <t>Top 15 to approach first</t>
        </is>
      </c>
    </row>
    <row r="29">
      <c r="A29" s="13" t="inlineStr">
        <is>
          <t>Rank</t>
        </is>
      </c>
      <c r="B29" s="13" t="inlineStr">
        <is>
          <t>Company</t>
        </is>
      </c>
      <c r="C29" s="13" t="inlineStr">
        <is>
          <t>Tier</t>
        </is>
      </c>
      <c r="D29" s="13" t="inlineStr">
        <is>
          <t>Region</t>
        </is>
      </c>
      <c r="E29" s="13" t="inlineStr">
        <is>
          <t>Fit /35</t>
        </is>
      </c>
      <c r="F29" s="13" t="inlineStr">
        <is>
          <t>Why first</t>
        </is>
      </c>
    </row>
    <row r="30" ht="60" customHeight="1">
      <c r="A30" s="4" t="n">
        <v>1</v>
      </c>
      <c r="B30" s="4" t="inlineStr">
        <is>
          <t>Central Scientific Commerce, Inc. / セントラル科学貿易株式会社</t>
        </is>
      </c>
      <c r="C30" s="4" t="inlineStr">
        <is>
          <t>V1</t>
        </is>
      </c>
      <c r="D30" s="4" t="inlineStr">
        <is>
          <t>Kanto</t>
        </is>
      </c>
      <c r="E30" s="4" t="n">
        <v>26</v>
      </c>
      <c r="F30" s="4" t="inlineStr">
        <is>
          <t>Already imports a Chinese vet imaging brand (AOHUA), which shows openness to Chinese manufacturers and a working NVAL route.</t>
        </is>
      </c>
    </row>
    <row r="31" ht="60" customHeight="1">
      <c r="A31" s="4" t="n">
        <v>2</v>
      </c>
      <c r="B31" s="4" t="inlineStr">
        <is>
          <t>ARKRAY, Inc. (Veterinary) / アークレイ株式会社 (アークレイファクトリー)</t>
        </is>
      </c>
      <c r="C31" s="4" t="inlineStr">
        <is>
          <t>V1</t>
        </is>
      </c>
      <c r="D31" s="4" t="inlineStr">
        <is>
          <t>Kansai</t>
        </is>
      </c>
      <c r="E31" s="4" t="n">
        <v>25</v>
      </c>
      <c r="F31" s="4" t="inlineStr">
        <is>
          <t>Runs a dedicated vet brand (Think Animal) and exhibits at JBVP; national animal hospital coverage and service.</t>
        </is>
      </c>
    </row>
    <row r="32" ht="60" customHeight="1">
      <c r="A32" s="4" t="n">
        <v>3</v>
      </c>
      <c r="B32" s="4" t="inlineStr">
        <is>
          <t>Olympus Marketing, Inc. (Animal Medical) / オリンパスマーケティング株式会社</t>
        </is>
      </c>
      <c r="C32" s="4" t="inlineStr">
        <is>
          <t>V1</t>
        </is>
      </c>
      <c r="D32" s="4" t="inlineStr">
        <is>
          <t>Kanto</t>
        </is>
      </c>
      <c r="E32" s="4" t="n">
        <v>25</v>
      </c>
      <c r="F32" s="4" t="inlineStr">
        <is>
          <t>Runs a dedicated animal endoscopy business with national service engineers; imaging culture and hospital relationships.</t>
        </is>
      </c>
    </row>
    <row r="33" ht="60" customHeight="1">
      <c r="A33" s="4" t="n">
        <v>4</v>
      </c>
      <c r="B33" s="4" t="inlineStr">
        <is>
          <t>T&amp;S Co., Ltd. / 株式会社ティーアンドエス</t>
        </is>
      </c>
      <c r="C33" s="4" t="inlineStr">
        <is>
          <t>V1</t>
        </is>
      </c>
      <c r="D33" s="4" t="inlineStr">
        <is>
          <t>Kanto</t>
        </is>
      </c>
      <c r="E33" s="4" t="n">
        <v>24</v>
      </c>
      <c r="F33" s="4" t="inlineStr">
        <is>
          <t>Domestic X ray maker with a vet approval; imaging focused and unconflicted on ultrasound.</t>
        </is>
      </c>
    </row>
    <row r="34" ht="60" customHeight="1">
      <c r="A34" s="4" t="n">
        <v>5</v>
      </c>
      <c r="B34" s="4" t="inlineStr">
        <is>
          <t>Atol Co., Ltd. / 株式会社アトル</t>
        </is>
      </c>
      <c r="C34" s="4" t="inlineStr">
        <is>
          <t>V3</t>
        </is>
      </c>
      <c r="D34" s="4" t="inlineStr">
        <is>
          <t>Kyushu and Okinawa</t>
        </is>
      </c>
      <c r="E34" s="4" t="n">
        <v>23</v>
      </c>
      <c r="F34" s="4" t="inlineStr">
        <is>
          <t>Fukuoka based wholesaler listed among Japan's animal drug wholesalers; Kyushu livestock and companion coverage.</t>
        </is>
      </c>
    </row>
    <row r="35" ht="60" customHeight="1">
      <c r="A35" s="4" t="n">
        <v>6</v>
      </c>
      <c r="B35" s="4" t="inlineStr">
        <is>
          <t>Metran Co., Ltd. / 株式会社メトラン</t>
        </is>
      </c>
      <c r="C35" s="4" t="inlineStr">
        <is>
          <t>V1</t>
        </is>
      </c>
      <c r="D35" s="4" t="inlineStr">
        <is>
          <t>Kanto</t>
        </is>
      </c>
      <c r="E35" s="4" t="n">
        <v>23</v>
      </c>
      <c r="F35" s="4" t="inlineStr">
        <is>
          <t>Vet ventilator pioneer (since 1984) that already notifies vet devices with NVAL and imports monitors; natural MAH partner for ICU and anaesthesia adjacent imaging.</t>
        </is>
      </c>
    </row>
    <row r="36" ht="60" customHeight="1">
      <c r="A36" s="4" t="n">
        <v>7</v>
      </c>
      <c r="B36" s="4" t="inlineStr">
        <is>
          <t>Nagasaki Juiyakuhin Co., Ltd. / 長崎獣医薬品株式会社</t>
        </is>
      </c>
      <c r="C36" s="4" t="inlineStr">
        <is>
          <t>V3</t>
        </is>
      </c>
      <c r="D36" s="4" t="inlineStr">
        <is>
          <t>Kyushu and Okinawa</t>
        </is>
      </c>
      <c r="E36" s="4" t="n">
        <v>23</v>
      </c>
      <c r="F36" s="4" t="inlineStr">
        <is>
          <t>Nagasaki vet drug wholesaler (JADIDA Kyushu block).</t>
        </is>
      </c>
    </row>
    <row r="37" ht="60" customHeight="1">
      <c r="A37" s="4" t="n">
        <v>8</v>
      </c>
      <c r="B37" s="4" t="inlineStr">
        <is>
          <t>RayVision Co., Ltd. / 株式会社RayVision</t>
        </is>
      </c>
      <c r="C37" s="4" t="inlineStr">
        <is>
          <t>V1</t>
        </is>
      </c>
      <c r="D37" s="4" t="inlineStr">
        <is>
          <t>Kanto</t>
        </is>
      </c>
      <c r="E37" s="4" t="n">
        <v>23</v>
      </c>
      <c r="F37" s="4" t="inlineStr">
        <is>
          <t>Vet specific DR maker with maintenance support; imaging buyers are the same clinics.</t>
        </is>
      </c>
    </row>
    <row r="38" ht="60" customHeight="1">
      <c r="A38" s="4" t="n">
        <v>9</v>
      </c>
      <c r="B38" s="4" t="inlineStr">
        <is>
          <t>TOP Corporation (Veterinary Division) / 株式会社トップ</t>
        </is>
      </c>
      <c r="C38" s="4" t="inlineStr">
        <is>
          <t>V1</t>
        </is>
      </c>
      <c r="D38" s="4" t="inlineStr">
        <is>
          <t>Kanto</t>
        </is>
      </c>
      <c r="E38" s="4" t="n">
        <v>23</v>
      </c>
      <c r="F38" s="4" t="inlineStr">
        <is>
          <t>Human device maker with a dedicated vet division since 2002 and several MAFF approved vet pumps; national sales footprint into animal hospitals.</t>
        </is>
      </c>
    </row>
    <row r="39" ht="60" customHeight="1">
      <c r="A39" s="4" t="n">
        <v>10</v>
      </c>
      <c r="B39" s="4" t="inlineStr">
        <is>
          <t>Taishodo Co., Ltd. / 株式会社大正堂</t>
        </is>
      </c>
      <c r="C39" s="4" t="inlineStr">
        <is>
          <t>V3</t>
        </is>
      </c>
      <c r="D39" s="4" t="inlineStr">
        <is>
          <t>Kanto</t>
        </is>
      </c>
      <c r="E39" s="4" t="n">
        <v>23</v>
      </c>
      <c r="F39" s="4" t="inlineStr">
        <is>
          <t>JADIDA member with a Hokkaido division in Obihiro, the heart of Tokachi dairy, plus a Gunma office.</t>
        </is>
      </c>
    </row>
    <row r="40" ht="60" customHeight="1">
      <c r="A40" s="4" t="n">
        <v>11</v>
      </c>
      <c r="B40" s="4" t="inlineStr">
        <is>
          <t>Acti Co., Ltd. / アクティ株式会社</t>
        </is>
      </c>
      <c r="C40" s="4" t="inlineStr">
        <is>
          <t>V3</t>
        </is>
      </c>
      <c r="D40" s="4" t="inlineStr">
        <is>
          <t>Chubu</t>
        </is>
      </c>
      <c r="E40" s="4" t="n">
        <v>22</v>
      </c>
      <c r="F40" s="4" t="inlineStr">
        <is>
          <t>Regional vet drug wholesaler named in Fuji Keizai's 2025 vet dealer ranking study.</t>
        </is>
      </c>
    </row>
    <row r="41" ht="60" customHeight="1">
      <c r="A41" s="4" t="n">
        <v>12</v>
      </c>
      <c r="B41" s="4" t="inlineStr">
        <is>
          <t>Chubu Kasei Yakuhin Co., Ltd. / 中部化成薬品株式会社</t>
        </is>
      </c>
      <c r="C41" s="4" t="inlineStr">
        <is>
          <t>V3</t>
        </is>
      </c>
      <c r="D41" s="4" t="inlineStr">
        <is>
          <t>Chubu</t>
        </is>
      </c>
      <c r="E41" s="4" t="n">
        <v>22</v>
      </c>
      <c r="F41" s="4" t="inlineStr">
        <is>
          <t>Gifu JADIDA member.</t>
        </is>
      </c>
    </row>
    <row r="42" ht="60" customHeight="1">
      <c r="A42" s="4" t="n">
        <v>13</v>
      </c>
      <c r="B42" s="4" t="inlineStr">
        <is>
          <t>Chuo Orion Co., Ltd. / 中央オリオン株式会社</t>
        </is>
      </c>
      <c r="C42" s="4" t="inlineStr">
        <is>
          <t>V3</t>
        </is>
      </c>
      <c r="D42" s="4" t="inlineStr">
        <is>
          <t>Kanto</t>
        </is>
      </c>
      <c r="E42" s="4" t="n">
        <v>22</v>
      </c>
      <c r="F42" s="4" t="inlineStr">
        <is>
          <t>JADIDA member in Nagano with a Gunma branch; covers Kanto and Koshinetsu livestock.</t>
        </is>
      </c>
    </row>
    <row r="43" ht="60" customHeight="1">
      <c r="A43" s="4" t="n">
        <v>14</v>
      </c>
      <c r="B43" s="4" t="inlineStr">
        <is>
          <t>HORIBA, Ltd. (Veterinary) / 株式会社堀場製作所</t>
        </is>
      </c>
      <c r="C43" s="4" t="inlineStr">
        <is>
          <t>V1</t>
        </is>
      </c>
      <c r="D43" s="4" t="inlineStr">
        <is>
          <t>Kansai</t>
        </is>
      </c>
      <c r="E43" s="4" t="n">
        <v>22</v>
      </c>
      <c r="F43" s="4" t="inlineStr">
        <is>
          <t>Freshly notified a vet haematology analyser and exhibits at JBVP; growing vet channel.</t>
        </is>
      </c>
    </row>
    <row r="44" ht="60" customHeight="1">
      <c r="A44" s="4" t="n">
        <v>15</v>
      </c>
      <c r="B44" s="4" t="inlineStr">
        <is>
          <t>Hikari Sakamoto Co., Ltd. / ヒカリサカモト株式会社</t>
        </is>
      </c>
      <c r="C44" s="4" t="inlineStr">
        <is>
          <t>V3</t>
        </is>
      </c>
      <c r="D44" s="4" t="inlineStr">
        <is>
          <t>Chugoku and Shikoku</t>
        </is>
      </c>
      <c r="E44" s="4" t="n">
        <v>22</v>
      </c>
      <c r="F44" s="4" t="inlineStr">
        <is>
          <t>Hiroshima JADIDA member with a Yamaguchi office.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69"/>
  <sheetViews>
    <sheetView workbookViewId="0">
      <selection activeCell="A1" sqref="A1"/>
    </sheetView>
  </sheetViews>
  <sheetFormatPr baseColWidth="8" defaultRowHeight="15"/>
  <cols>
    <col width="6" customWidth="1" min="1" max="1"/>
    <col width="100" customWidth="1" min="2" max="2"/>
    <col width="40" customWidth="1" min="3" max="3"/>
    <col width="8" customWidth="1" min="4" max="4"/>
  </cols>
  <sheetData>
    <row r="1">
      <c r="A1" s="1" t="inlineStr">
        <is>
          <t>Sources used</t>
        </is>
      </c>
    </row>
    <row r="2">
      <c r="A2" s="17" t="inlineStr">
        <is>
          <t>Every URL cited in the Master List, with the rows that cite it. All were reached through web search results; direct page fetch was blocked in this session, so pages were not opened.</t>
        </is>
      </c>
    </row>
    <row r="4">
      <c r="A4" s="13" t="inlineStr">
        <is>
          <t>#</t>
        </is>
      </c>
      <c r="B4" s="13" t="inlineStr">
        <is>
          <t>Source URL</t>
        </is>
      </c>
      <c r="C4" s="13" t="inlineStr">
        <is>
          <t>Rows citing it (Master List No.)</t>
        </is>
      </c>
      <c r="D4" s="13" t="inlineStr">
        <is>
          <t>Count</t>
        </is>
      </c>
    </row>
    <row r="5">
      <c r="A5" s="24" t="n">
        <v>1</v>
      </c>
      <c r="B5" s="25" t="inlineStr">
        <is>
          <t>https://www.maff.go.jp/j/keiei/nogyohoken/contact.html</t>
        </is>
      </c>
      <c r="C5" s="24" t="inlineStr">
        <is>
          <t>213, 214, 216, 217, 218, 235, 236, 237, 245, 248, 249, 255</t>
        </is>
      </c>
      <c r="D5" s="24" t="n">
        <v>12</v>
      </c>
    </row>
    <row r="6">
      <c r="A6" s="24" t="n">
        <v>2</v>
      </c>
      <c r="B6" s="25" t="inlineStr">
        <is>
          <t>https://www.jamo.or.jp/member/</t>
        </is>
      </c>
      <c r="C6" s="24" t="inlineStr">
        <is>
          <t>32, 37, 39, 43, 44, 46, 49, 56, 87</t>
        </is>
      </c>
      <c r="D6" s="24" t="n">
        <v>9</v>
      </c>
    </row>
    <row r="7">
      <c r="A7" s="24" t="n">
        <v>3</v>
      </c>
      <c r="B7" s="25" t="inlineStr">
        <is>
          <t>https://jadida.or.jp/doc/KaiinList20250822.pdf</t>
        </is>
      </c>
      <c r="C7" s="24" t="inlineStr">
        <is>
          <t>65, 66, 67, 68, 69, 70, 74, 76, 82</t>
        </is>
      </c>
      <c r="D7" s="24" t="n">
        <v>9</v>
      </c>
    </row>
    <row r="8">
      <c r="A8" s="24" t="n">
        <v>4</v>
      </c>
      <c r="B8" s="25" t="inlineStr">
        <is>
          <t>https://jadida.or.jp/doc/KaiinList20250401.pdf</t>
        </is>
      </c>
      <c r="C8" s="24" t="inlineStr">
        <is>
          <t>57, 62, 63, 70, 72, 76, 80, 81</t>
        </is>
      </c>
      <c r="D8" s="24" t="n">
        <v>8</v>
      </c>
    </row>
    <row r="9">
      <c r="A9" s="24" t="n">
        <v>5</v>
      </c>
      <c r="B9" s="25" t="inlineStr">
        <is>
          <t>https://www.jadida.or.jp/doc/KaiinList20241001.pdf</t>
        </is>
      </c>
      <c r="C9" s="24" t="inlineStr">
        <is>
          <t>64, 68, 71, 73, 77, 79, 83, 84</t>
        </is>
      </c>
      <c r="D9" s="24" t="n">
        <v>8</v>
      </c>
    </row>
    <row r="10">
      <c r="A10" s="24" t="n">
        <v>6</v>
      </c>
      <c r="B10" s="25" t="inlineStr">
        <is>
          <t>https://www.nosai.or.jp/nosai_kasou/nosai_kakuchi01.html</t>
        </is>
      </c>
      <c r="C10" s="24" t="inlineStr">
        <is>
          <t>212, 214, 216, 217, 235, 237, 249</t>
        </is>
      </c>
      <c r="D10" s="24" t="n">
        <v>7</v>
      </c>
    </row>
    <row r="11">
      <c r="A11" s="24" t="n">
        <v>7</v>
      </c>
      <c r="B11" s="25" t="inlineStr">
        <is>
          <t>https://news.jprpet.com/company/list/174/</t>
        </is>
      </c>
      <c r="C11" s="24" t="inlineStr">
        <is>
          <t>58, 61, 63, 73, 75, 79</t>
        </is>
      </c>
      <c r="D11" s="24" t="n">
        <v>6</v>
      </c>
    </row>
    <row r="12">
      <c r="A12" s="24" t="n">
        <v>8</v>
      </c>
      <c r="B12" s="25" t="inlineStr">
        <is>
          <t>https://baseconnect.in/companies/prefecture/63038c5a-e328-472b-b9cc-039738609ba7/category/b2358a1c-c4c6-46f4-a0b1-dee3a1b30a0b</t>
        </is>
      </c>
      <c r="C12" s="24" t="inlineStr">
        <is>
          <t>93, 135, 137, 138, 141, 156</t>
        </is>
      </c>
      <c r="D12" s="24" t="n">
        <v>6</v>
      </c>
    </row>
    <row r="13">
      <c r="A13" s="24" t="n">
        <v>9</v>
      </c>
      <c r="B13" s="25" t="inlineStr">
        <is>
          <t>https://www.fukuda.co.jp/company/lt/lt_area05.html</t>
        </is>
      </c>
      <c r="C13" s="24" t="inlineStr">
        <is>
          <t>126, 127, 129, 130, 132, 133</t>
        </is>
      </c>
      <c r="D13" s="24" t="n">
        <v>6</v>
      </c>
    </row>
    <row r="14">
      <c r="A14" s="24" t="n">
        <v>10</v>
      </c>
      <c r="B14" s="25" t="inlineStr">
        <is>
          <t>https://note.com/arrows_column/n/nd4fd35a1d8b1</t>
        </is>
      </c>
      <c r="C14" s="24" t="inlineStr">
        <is>
          <t>86, 97, 123, 150, 182</t>
        </is>
      </c>
      <c r="D14" s="24" t="n">
        <v>5</v>
      </c>
    </row>
    <row r="15">
      <c r="A15" s="24" t="n">
        <v>11</v>
      </c>
      <c r="B15" s="25" t="inlineStr">
        <is>
          <t>https://tohoku-ikihan.com/memberlist_category/iwate/</t>
        </is>
      </c>
      <c r="C15" s="24" t="inlineStr">
        <is>
          <t>199, 202, 203, 205, 209</t>
        </is>
      </c>
      <c r="D15" s="24" t="n">
        <v>5</v>
      </c>
    </row>
    <row r="16">
      <c r="A16" s="24" t="n">
        <v>12</v>
      </c>
      <c r="B16" s="25" t="inlineStr">
        <is>
          <t>https://ahhd.jp/I0000004</t>
        </is>
      </c>
      <c r="C16" s="24" t="inlineStr">
        <is>
          <t>19, 25, 27, 28</t>
        </is>
      </c>
      <c r="D16" s="24" t="n">
        <v>4</v>
      </c>
    </row>
    <row r="17">
      <c r="A17" s="24" t="n">
        <v>13</v>
      </c>
      <c r="B17" s="25" t="inlineStr">
        <is>
          <t>https://www.nikkei.com/compass/search/Y2F0ZWdvcnk9Y29tcGFueSZyZWdpb249MTMmaW5kdXN0cnlTPTA1MzI</t>
        </is>
      </c>
      <c r="C17" s="24" t="inlineStr">
        <is>
          <t>160, 169, 170, 176</t>
        </is>
      </c>
      <c r="D17" s="24" t="n">
        <v>4</v>
      </c>
    </row>
    <row r="18">
      <c r="A18" s="24" t="n">
        <v>14</v>
      </c>
      <c r="B18" s="25" t="inlineStr">
        <is>
          <t>https://news.jprpet.com/company/list/175/</t>
        </is>
      </c>
      <c r="C18" s="24" t="inlineStr">
        <is>
          <t>13, 45, 50</t>
        </is>
      </c>
      <c r="D18" s="24" t="n">
        <v>3</v>
      </c>
    </row>
    <row r="19">
      <c r="A19" s="24" t="n">
        <v>15</v>
      </c>
      <c r="B19" s="25" t="inlineStr">
        <is>
          <t>https://baseconnect.in/companies/prefecture/4637ba90-383b-4656-8be1-ca34c7f7244f/keyword/89941b4e-2dd1-4848-8957-48af280a31e0</t>
        </is>
      </c>
      <c r="C19" s="24" t="inlineStr">
        <is>
          <t>90, 92, 113</t>
        </is>
      </c>
      <c r="D19" s="24" t="n">
        <v>3</v>
      </c>
    </row>
    <row r="20">
      <c r="A20" s="24" t="n">
        <v>16</v>
      </c>
      <c r="B20" s="25" t="inlineStr">
        <is>
          <t>https://baseconnect.in/companies/prefecture/31ffefed-1183-4eba-a6d9-4182a6136e50/keyword/14f3dcec-9cd5-4be5-84e1-ddccb7bd228c</t>
        </is>
      </c>
      <c r="C20" s="24" t="inlineStr">
        <is>
          <t>106, 107, 116</t>
        </is>
      </c>
      <c r="D20" s="24" t="n">
        <v>3</v>
      </c>
    </row>
    <row r="21">
      <c r="A21" s="24" t="n">
        <v>17</v>
      </c>
      <c r="B21" s="25" t="inlineStr">
        <is>
          <t>https://www.navitime.co.jp/category/0516/23/?tags=010190</t>
        </is>
      </c>
      <c r="C21" s="24" t="inlineStr">
        <is>
          <t>114, 117, 120</t>
        </is>
      </c>
      <c r="D21" s="24" t="n">
        <v>3</v>
      </c>
    </row>
    <row r="22">
      <c r="A22" s="24" t="n">
        <v>18</v>
      </c>
      <c r="B22" s="25" t="inlineStr">
        <is>
          <t>https://houjin.goo.to/corporations/prefs/hyogo/category-s-medical-equipment-and-instrument-trading-companies</t>
        </is>
      </c>
      <c r="C22" s="24" t="inlineStr">
        <is>
          <t>140, 144, 146</t>
        </is>
      </c>
      <c r="D22" s="24" t="n">
        <v>3</v>
      </c>
    </row>
    <row r="23">
      <c r="A23" s="24" t="n">
        <v>19</v>
      </c>
      <c r="B23" s="25" t="inlineStr">
        <is>
          <t>https://baseconnect.in/companies/prefecture/a30ebdff-361b-42be-8372-1b0d350f48a0/keyword/89941b4e-2dd1-4848-8957-48af280a31e0</t>
        </is>
      </c>
      <c r="C23" s="24" t="inlineStr">
        <is>
          <t>161, 171, 173</t>
        </is>
      </c>
      <c r="D23" s="24" t="n">
        <v>3</v>
      </c>
    </row>
    <row r="24">
      <c r="A24" s="24" t="n">
        <v>20</v>
      </c>
      <c r="B24" s="25" t="inlineStr">
        <is>
          <t>https://baseconnect.in/companies/prefecture/3420045f-8609-4232-9407-75407ae4e6e8/keyword/89941b4e-2dd1-4848-8957-48af280a31e0</t>
        </is>
      </c>
      <c r="C24" s="24" t="inlineStr">
        <is>
          <t>165, 167, 175</t>
        </is>
      </c>
      <c r="D24" s="24" t="n">
        <v>3</v>
      </c>
    </row>
    <row r="25">
      <c r="A25" s="24" t="n">
        <v>21</v>
      </c>
      <c r="B25" s="25" t="inlineStr">
        <is>
          <t>https://baseconnect.in/companies/prefecture/344720c8-49c6-4a45-94af-958496d86524/category/b2358a1c-c4c6-46f4-a0b1-dee3a1b30a0b</t>
        </is>
      </c>
      <c r="C25" s="24" t="inlineStr">
        <is>
          <t>181, 189, 192</t>
        </is>
      </c>
      <c r="D25" s="24" t="n">
        <v>3</v>
      </c>
    </row>
    <row r="26">
      <c r="A26" s="24" t="n">
        <v>22</v>
      </c>
      <c r="B26" s="25" t="inlineStr">
        <is>
          <t>https://www.as-1.co.jp/agent/hospital/tohoku/</t>
        </is>
      </c>
      <c r="C26" s="24" t="inlineStr">
        <is>
          <t>194, 199, 204</t>
        </is>
      </c>
      <c r="D26" s="24" t="n">
        <v>3</v>
      </c>
    </row>
    <row r="27">
      <c r="A27" s="24" t="n">
        <v>23</v>
      </c>
      <c r="B27" s="25" t="inlineStr">
        <is>
          <t>https://ahhd.jp/I0000003</t>
        </is>
      </c>
      <c r="C27" s="24" t="inlineStr">
        <is>
          <t>211, 224, 227</t>
        </is>
      </c>
      <c r="D27" s="24" t="n">
        <v>3</v>
      </c>
    </row>
    <row r="28">
      <c r="A28" s="24" t="n">
        <v>24</v>
      </c>
      <c r="B28" s="25" t="inlineStr">
        <is>
          <t>https://www.rdsupport-tenshoku.jp/search/JOB40843</t>
        </is>
      </c>
      <c r="C28" s="24" t="inlineStr">
        <is>
          <t>14, 51</t>
        </is>
      </c>
      <c r="D28" s="24" t="n">
        <v>2</v>
      </c>
    </row>
    <row r="29">
      <c r="A29" s="24" t="n">
        <v>25</v>
      </c>
      <c r="B29" s="25" t="inlineStr">
        <is>
          <t>https://baseconnect.in/companies/prefecture/d8203dea-91e2-41c3-a785-b80aa997273c/category/b2358a1c-c4c6-46f4-a0b1-dee3a1b30a0b</t>
        </is>
      </c>
      <c r="C29" s="24" t="inlineStr">
        <is>
          <t>22, 168</t>
        </is>
      </c>
      <c r="D29" s="24" t="n">
        <v>2</v>
      </c>
    </row>
    <row r="30">
      <c r="A30" s="24" t="n">
        <v>26</v>
      </c>
      <c r="B30" s="25" t="inlineStr">
        <is>
          <t>https://www.fuji-keizai.co.jp/report/detail.html?code=122410710&amp;la=ja&amp;la=en</t>
        </is>
      </c>
      <c r="C30" s="24" t="inlineStr">
        <is>
          <t>61, 82</t>
        </is>
      </c>
      <c r="D30" s="24" t="n">
        <v>2</v>
      </c>
    </row>
    <row r="31">
      <c r="A31" s="24" t="n">
        <v>27</v>
      </c>
      <c r="B31" s="25" t="inlineStr">
        <is>
          <t>https://baseconnect.in/companies/prefecture/8de2e273-a5a8-45b9-8fc1-0fe6344d6843/keyword/14f3dcec-9cd5-4be5-84e1-ddccb7bd228c</t>
        </is>
      </c>
      <c r="C31" s="24" t="inlineStr">
        <is>
          <t>91, 103</t>
        </is>
      </c>
      <c r="D31" s="24" t="n">
        <v>2</v>
      </c>
    </row>
    <row r="32">
      <c r="A32" s="24" t="n">
        <v>28</v>
      </c>
      <c r="B32" s="25" t="inlineStr">
        <is>
          <t>https://baseconnect.in/companies/prefecture/47b312cd-84c4-4e89-951a-b56344bc774e/keyword/89941b4e-2dd1-4848-8957-48af280a31e0</t>
        </is>
      </c>
      <c r="C32" s="24" t="inlineStr">
        <is>
          <t>100, 115</t>
        </is>
      </c>
      <c r="D32" s="24" t="n">
        <v>2</v>
      </c>
    </row>
    <row r="33">
      <c r="A33" s="24" t="n">
        <v>29</v>
      </c>
      <c r="B33" s="25" t="inlineStr">
        <is>
          <t>https://www.nikkei.com/compass/search/Y2F0ZWdvcnk9Y29tcGFueSZyZWdpb249MjMmaW5kdXN0cnlTPTA1MzI</t>
        </is>
      </c>
      <c r="C33" s="24" t="inlineStr">
        <is>
          <t>101, 104</t>
        </is>
      </c>
      <c r="D33" s="24" t="n">
        <v>2</v>
      </c>
    </row>
    <row r="34">
      <c r="A34" s="24" t="n">
        <v>30</v>
      </c>
      <c r="B34" s="25" t="inlineStr">
        <is>
          <t>https://baseconnect.in/companies/prefecture/aed784f6-cd06-4f72-95d9-876e82d37385/keyword/89941b4e-2dd1-4848-8957-48af280a31e0</t>
        </is>
      </c>
      <c r="C34" s="24" t="inlineStr">
        <is>
          <t>105, 109</t>
        </is>
      </c>
      <c r="D34" s="24" t="n">
        <v>2</v>
      </c>
    </row>
    <row r="35">
      <c r="A35" s="24" t="n">
        <v>31</v>
      </c>
      <c r="B35" s="25" t="inlineStr">
        <is>
          <t>https://tenshoku.mynavi.jp/company/list/i02090/</t>
        </is>
      </c>
      <c r="C35" s="24" t="inlineStr">
        <is>
          <t>108, 110</t>
        </is>
      </c>
      <c r="D35" s="24" t="n">
        <v>2</v>
      </c>
    </row>
    <row r="36">
      <c r="A36" s="24" t="n">
        <v>32</v>
      </c>
      <c r="B36" s="25" t="inlineStr">
        <is>
          <t>https://baseconnect.in/companies/prefecture/60622468-79bd-4eef-86f8-cb69d1ef09f0/keyword/14f3dcec-9cd5-4be5-84e1-ddccb7bd228c</t>
        </is>
      </c>
      <c r="C36" s="24" t="inlineStr">
        <is>
          <t>112, 122</t>
        </is>
      </c>
      <c r="D36" s="24" t="n">
        <v>2</v>
      </c>
    </row>
    <row r="37">
      <c r="A37" s="24" t="n">
        <v>33</v>
      </c>
      <c r="B37" s="25" t="inlineStr">
        <is>
          <t>https://www.nikkei.com/compass/search/Y2F0ZWdvcnk9Y29tcGFueSZyZWdpb249MjgmaW5kdXN0cnlTPTA1MzI</t>
        </is>
      </c>
      <c r="C37" s="24" t="inlineStr">
        <is>
          <t>140, 157</t>
        </is>
      </c>
      <c r="D37" s="24" t="n">
        <v>2</v>
      </c>
    </row>
    <row r="38">
      <c r="A38" s="24" t="n">
        <v>34</v>
      </c>
      <c r="B38" s="25" t="inlineStr">
        <is>
          <t>https://baseconnect.in/companies/prefecture/d80b180e-5fd9-4082-8cdc-a510179a3475/keyword/89941b4e-2dd1-4848-8957-48af280a31e0</t>
        </is>
      </c>
      <c r="C38" s="24" t="inlineStr">
        <is>
          <t>142, 154</t>
        </is>
      </c>
      <c r="D38" s="24" t="n">
        <v>2</v>
      </c>
    </row>
    <row r="39">
      <c r="A39" s="24" t="n">
        <v>35</v>
      </c>
      <c r="B39" s="25" t="inlineStr">
        <is>
          <t>https://baseconnect.in/companies/prefecture/a30ebdff-361b-42be-8372-1b0d350f48a0/category/b2358a1c-c4c6-46f4-a0b1-dee3a1b30a0b</t>
        </is>
      </c>
      <c r="C39" s="24" t="inlineStr">
        <is>
          <t>159, 174</t>
        </is>
      </c>
      <c r="D39" s="24" t="n">
        <v>2</v>
      </c>
    </row>
    <row r="40">
      <c r="A40" s="24" t="n">
        <v>36</v>
      </c>
      <c r="B40" s="25" t="inlineStr">
        <is>
          <t>https://baseconnect.in/companies/prefecture/5b2e6d00-cfba-4d0b-850d-54757e4b4d7f/keyword/89941b4e-2dd1-4848-8957-48af280a31e0</t>
        </is>
      </c>
      <c r="C40" s="24" t="inlineStr">
        <is>
          <t>162, 164</t>
        </is>
      </c>
      <c r="D40" s="24" t="n">
        <v>2</v>
      </c>
    </row>
    <row r="41">
      <c r="A41" s="24" t="n">
        <v>37</v>
      </c>
      <c r="B41" s="25" t="inlineStr">
        <is>
          <t>https://baseconnect.in/companies/prefecture/5d54c878-c20d-4f57-bb73-e021f2210d6c/keyword/14f3dcec-9cd5-4be5-84e1-ddccb7bd228c</t>
        </is>
      </c>
      <c r="C41" s="24" t="inlineStr">
        <is>
          <t>166, 172</t>
        </is>
      </c>
      <c r="D41" s="24" t="n">
        <v>2</v>
      </c>
    </row>
    <row r="42">
      <c r="A42" s="24" t="n">
        <v>38</v>
      </c>
      <c r="B42" s="25" t="inlineStr">
        <is>
          <t>https://baseconnect.in/companies/prefecture/b147f06d-09b9-4c4f-9e51-e7157354eec0/keyword/14f3dcec-9cd5-4be5-84e1-ddccb7bd228c</t>
        </is>
      </c>
      <c r="C42" s="24" t="inlineStr">
        <is>
          <t>177, 179</t>
        </is>
      </c>
      <c r="D42" s="24" t="n">
        <v>2</v>
      </c>
    </row>
    <row r="43">
      <c r="A43" s="24" t="n">
        <v>39</v>
      </c>
      <c r="B43" s="25" t="inlineStr">
        <is>
          <t>https://baseconnect.in/companies/prefecture/39b58ff0-63fd-405f-8b8a-37c5443ce5c7/keyword/89941b4e-2dd1-4848-8957-48af280a31e0</t>
        </is>
      </c>
      <c r="C43" s="24" t="inlineStr">
        <is>
          <t>180, 191</t>
        </is>
      </c>
      <c r="D43" s="24" t="n">
        <v>2</v>
      </c>
    </row>
    <row r="44">
      <c r="A44" s="24" t="n">
        <v>40</v>
      </c>
      <c r="B44" s="25" t="inlineStr">
        <is>
          <t>https://baseconnect.in/companies/prefecture/96c84bbe-0dd4-4885-9333-4913e3f022c9/keyword/89941b4e-2dd1-4848-8957-48af280a31e0</t>
        </is>
      </c>
      <c r="C44" s="24" t="inlineStr">
        <is>
          <t>183, 190</t>
        </is>
      </c>
      <c r="D44" s="24" t="n">
        <v>2</v>
      </c>
    </row>
    <row r="45">
      <c r="A45" s="24" t="n">
        <v>41</v>
      </c>
      <c r="B45" s="25" t="inlineStr">
        <is>
          <t>https://www.navitime.co.jp/category/00/47/?tags=010190</t>
        </is>
      </c>
      <c r="C45" s="24" t="inlineStr">
        <is>
          <t>186, 188</t>
        </is>
      </c>
      <c r="D45" s="24" t="n">
        <v>2</v>
      </c>
    </row>
    <row r="46">
      <c r="A46" s="24" t="n">
        <v>42</v>
      </c>
      <c r="B46" s="25" t="inlineStr">
        <is>
          <t>https://baseconnect.in/companies/prefecture/9ebb3838-effc-47da-b634-994957a78319/keyword/89941b4e-2dd1-4848-8957-48af280a31e0</t>
        </is>
      </c>
      <c r="C46" s="24" t="inlineStr">
        <is>
          <t>195, 200</t>
        </is>
      </c>
      <c r="D46" s="24" t="n">
        <v>2</v>
      </c>
    </row>
    <row r="47">
      <c r="A47" s="24" t="n">
        <v>43</v>
      </c>
      <c r="B47" s="25" t="inlineStr">
        <is>
          <t>https://cscjp.co.jp/csc-medical/products/vet-videoscope.html</t>
        </is>
      </c>
      <c r="C47" s="24" t="inlineStr">
        <is>
          <t>1</t>
        </is>
      </c>
      <c r="D47" s="24" t="n">
        <v>1</v>
      </c>
    </row>
    <row r="48">
      <c r="A48" s="24" t="n">
        <v>44</v>
      </c>
      <c r="B48" s="25" t="inlineStr">
        <is>
          <t>https://sia-tokyo.gr.jp/co-list/748</t>
        </is>
      </c>
      <c r="C48" s="24" t="inlineStr">
        <is>
          <t>1</t>
        </is>
      </c>
      <c r="D48" s="24" t="n">
        <v>1</v>
      </c>
    </row>
    <row r="49">
      <c r="A49" s="24" t="n">
        <v>45</v>
      </c>
      <c r="B49" s="25" t="inlineStr">
        <is>
          <t>https://cscjp.co.jp/contact/</t>
        </is>
      </c>
      <c r="C49" s="24" t="inlineStr">
        <is>
          <t>1</t>
        </is>
      </c>
      <c r="D49" s="24" t="n">
        <v>1</v>
      </c>
    </row>
    <row r="50">
      <c r="A50" s="24" t="n">
        <v>46</v>
      </c>
      <c r="B50" s="25" t="inlineStr">
        <is>
          <t>https://www.vm.nval.go.jp/public/detail/16030</t>
        </is>
      </c>
      <c r="C50" s="24" t="inlineStr">
        <is>
          <t>2</t>
        </is>
      </c>
      <c r="D50" s="24" t="n">
        <v>1</v>
      </c>
    </row>
    <row r="51">
      <c r="A51" s="24" t="n">
        <v>47</v>
      </c>
      <c r="B51" s="25" t="inlineStr">
        <is>
          <t>https://arkraythinkanimal.com/2025/09/03/information95/</t>
        </is>
      </c>
      <c r="C51" s="24" t="inlineStr">
        <is>
          <t>2</t>
        </is>
      </c>
      <c r="D51" s="24" t="n">
        <v>1</v>
      </c>
    </row>
    <row r="52">
      <c r="A52" s="24" t="n">
        <v>48</v>
      </c>
      <c r="B52" s="25" t="inlineStr">
        <is>
          <t>https://arkraythinkanimal.com/company/</t>
        </is>
      </c>
      <c r="C52" s="24" t="inlineStr">
        <is>
          <t>2</t>
        </is>
      </c>
      <c r="D52" s="24" t="n">
        <v>1</v>
      </c>
    </row>
    <row r="53">
      <c r="A53" s="24" t="n">
        <v>49</v>
      </c>
      <c r="B53" s="25" t="inlineStr">
        <is>
          <t>https://arkraythinkanimal.com/contact/</t>
        </is>
      </c>
      <c r="C53" s="24" t="inlineStr">
        <is>
          <t>2</t>
        </is>
      </c>
      <c r="D53" s="24" t="n">
        <v>1</v>
      </c>
    </row>
    <row r="54">
      <c r="A54" s="24" t="n">
        <v>50</v>
      </c>
      <c r="B54" s="25" t="inlineStr">
        <is>
          <t>https://vm.nval.go.jp/?mfg_dealer_name=&amp;sort=MANUFACTURING_DEALER&amp;submit=submit</t>
        </is>
      </c>
      <c r="C54" s="24" t="inlineStr">
        <is>
          <t>3</t>
        </is>
      </c>
      <c r="D54" s="24" t="n">
        <v>1</v>
      </c>
    </row>
    <row r="55">
      <c r="A55" s="24" t="n">
        <v>51</v>
      </c>
      <c r="B55" s="25" t="inlineStr">
        <is>
          <t>https://www.vm.nval.go.jp/public/detail/9148</t>
        </is>
      </c>
      <c r="C55" s="24" t="inlineStr">
        <is>
          <t>3</t>
        </is>
      </c>
      <c r="D55" s="24" t="n">
        <v>1</v>
      </c>
    </row>
    <row r="56">
      <c r="A56" s="24" t="n">
        <v>52</v>
      </c>
      <c r="B56" s="25" t="inlineStr">
        <is>
          <t>https://www.totalapproach.co.jp/askme/askme.html</t>
        </is>
      </c>
      <c r="C56" s="24" t="inlineStr">
        <is>
          <t>3</t>
        </is>
      </c>
      <c r="D56" s="24" t="n">
        <v>1</v>
      </c>
    </row>
    <row r="57">
      <c r="A57" s="24" t="n">
        <v>53</v>
      </c>
      <c r="B57" s="25" t="inlineStr">
        <is>
          <t>https://www.nosawa.co.jp/inquiry/</t>
        </is>
      </c>
      <c r="C57" s="24" t="inlineStr">
        <is>
          <t>3</t>
        </is>
      </c>
      <c r="D57" s="24" t="n">
        <v>1</v>
      </c>
    </row>
    <row r="58">
      <c r="A58" s="24" t="n">
        <v>54</v>
      </c>
      <c r="B58" s="25" t="inlineStr">
        <is>
          <t>https://www.olympus-marketing.co.jp/business/animal/</t>
        </is>
      </c>
      <c r="C58" s="24" t="inlineStr">
        <is>
          <t>4</t>
        </is>
      </c>
      <c r="D58" s="24" t="n">
        <v>1</v>
      </c>
    </row>
    <row r="59">
      <c r="A59" s="24" t="n">
        <v>55</v>
      </c>
      <c r="B59" s="25" t="inlineStr">
        <is>
          <t>https://www.olympus-marketing.co.jp/contact/</t>
        </is>
      </c>
      <c r="C59" s="24" t="inlineStr">
        <is>
          <t>4</t>
        </is>
      </c>
      <c r="D59" s="24" t="n">
        <v>1</v>
      </c>
    </row>
    <row r="60">
      <c r="A60" s="24" t="n">
        <v>56</v>
      </c>
      <c r="B60" s="25" t="inlineStr">
        <is>
          <t>https://www.kyoritsu-shokai.com/company/%E5%8C%BB%E8%96%AC%E5%93%81%E3%83%BB%E5%8B%95%E7%89%A9%E7%94%A8%E5%8C%BB%E8%96%AC%E5%93%81%E8%A8%B1%E5%8F%AF%E8%A8%BC%E9%96%A2%E9%80%A3/</t>
        </is>
      </c>
      <c r="C60" s="24" t="inlineStr">
        <is>
          <t>5</t>
        </is>
      </c>
      <c r="D60" s="24" t="n">
        <v>1</v>
      </c>
    </row>
    <row r="61">
      <c r="A61" s="24" t="n">
        <v>57</v>
      </c>
      <c r="B61" s="25" t="inlineStr">
        <is>
          <t>https://jadida.or.jp/aboutus.html</t>
        </is>
      </c>
      <c r="C61" s="24" t="inlineStr">
        <is>
          <t>5</t>
        </is>
      </c>
      <c r="D61" s="24" t="n">
        <v>1</v>
      </c>
    </row>
    <row r="62">
      <c r="A62" s="24" t="n">
        <v>58</v>
      </c>
      <c r="B62" s="25" t="inlineStr">
        <is>
          <t>https://www.kyoritsu-shokai.com/%E7%89%B9%E5%AE%9A%E5%95%86%E5%8F%96%E5%BC%95%E6%B3%95%E3%81%AB%E5%9F%BA%E3%81%A5%E3%81%8F%E8%A1%A8%E8%A8%98/</t>
        </is>
      </c>
      <c r="C62" s="24" t="inlineStr">
        <is>
          <t>5</t>
        </is>
      </c>
      <c r="D62" s="24" t="n">
        <v>1</v>
      </c>
    </row>
    <row r="63">
      <c r="A63" s="24" t="n">
        <v>59</v>
      </c>
      <c r="B63" s="25" t="inlineStr">
        <is>
          <t>https://www.kyoritsu-shokai.com/%E3%81%8A%E5%95%8F%E3%81%84%E5%90%88%E3%82%8F%E3%81%9B/</t>
        </is>
      </c>
      <c r="C63" s="24" t="inlineStr">
        <is>
          <t>5</t>
        </is>
      </c>
      <c r="D63" s="24" t="n">
        <v>1</v>
      </c>
    </row>
    <row r="64">
      <c r="A64" s="24" t="n">
        <v>60</v>
      </c>
      <c r="B64" s="25" t="inlineStr">
        <is>
          <t>https://www.pref.saitama.lg.jp/documents/236933/0343_tands.pdf</t>
        </is>
      </c>
      <c r="C64" s="24" t="inlineStr">
        <is>
          <t>6</t>
        </is>
      </c>
      <c r="D64" s="24" t="n">
        <v>1</v>
      </c>
    </row>
    <row r="65">
      <c r="A65" s="24" t="n">
        <v>61</v>
      </c>
      <c r="B65" s="25" t="inlineStr">
        <is>
          <t>https://www.vm.nval.go.jp/public/detail/6769</t>
        </is>
      </c>
      <c r="C65" s="24" t="inlineStr">
        <is>
          <t>6</t>
        </is>
      </c>
      <c r="D65" s="24" t="n">
        <v>1</v>
      </c>
    </row>
    <row r="66">
      <c r="A66" s="24" t="n">
        <v>62</v>
      </c>
      <c r="B66" s="25" t="inlineStr">
        <is>
          <t>https://ts-xray.com/recruit/</t>
        </is>
      </c>
      <c r="C66" s="24" t="inlineStr">
        <is>
          <t>6</t>
        </is>
      </c>
      <c r="D66" s="24" t="n">
        <v>1</v>
      </c>
    </row>
    <row r="67">
      <c r="A67" s="24" t="n">
        <v>63</v>
      </c>
      <c r="B67" s="25" t="inlineStr">
        <is>
          <t>https://ts-xray.com/inquiry/</t>
        </is>
      </c>
      <c r="C67" s="24" t="inlineStr">
        <is>
          <t>6</t>
        </is>
      </c>
      <c r="D67" s="24" t="n">
        <v>1</v>
      </c>
    </row>
    <row r="68">
      <c r="A68" s="24" t="n">
        <v>64</v>
      </c>
      <c r="B68" s="25" t="inlineStr">
        <is>
          <t>https://www.vm.nval.go.jp/public/detail/17793</t>
        </is>
      </c>
      <c r="C68" s="24" t="inlineStr">
        <is>
          <t>7</t>
        </is>
      </c>
      <c r="D68" s="24" t="n">
        <v>1</v>
      </c>
    </row>
    <row r="69">
      <c r="A69" s="24" t="n">
        <v>65</v>
      </c>
      <c r="B69" s="25" t="inlineStr">
        <is>
          <t>https://www.vm.nval.go.jp/public/detail/6784</t>
        </is>
      </c>
      <c r="C69" s="24" t="inlineStr">
        <is>
          <t>7</t>
        </is>
      </c>
      <c r="D69" s="24" t="n">
        <v>1</v>
      </c>
    </row>
    <row r="70">
      <c r="A70" s="24" t="n">
        <v>66</v>
      </c>
      <c r="B70" s="25" t="inlineStr">
        <is>
          <t>https://www.nipro.co.jp/contact/device/</t>
        </is>
      </c>
      <c r="C70" s="24" t="inlineStr">
        <is>
          <t>7</t>
        </is>
      </c>
      <c r="D70" s="24" t="n">
        <v>1</v>
      </c>
    </row>
    <row r="71">
      <c r="A71" s="24" t="n">
        <v>67</v>
      </c>
      <c r="B71" s="25" t="inlineStr">
        <is>
          <t>https://www.vm.nval.go.jp/public/detail/19613</t>
        </is>
      </c>
      <c r="C71" s="24" t="inlineStr">
        <is>
          <t>8</t>
        </is>
      </c>
      <c r="D71" s="24" t="n">
        <v>1</v>
      </c>
    </row>
    <row r="72">
      <c r="A72" s="24" t="n">
        <v>68</v>
      </c>
      <c r="B72" s="25" t="inlineStr">
        <is>
          <t>https://www.pmda.go.jp/PmdaSearch/kikiDetail/ResultDataSetPDF/112161_306ADBZX00058000_V_01_01</t>
        </is>
      </c>
      <c r="C72" s="24" t="inlineStr">
        <is>
          <t>8</t>
        </is>
      </c>
      <c r="D72" s="24" t="n">
        <v>1</v>
      </c>
    </row>
    <row r="73">
      <c r="A73" s="24" t="n">
        <v>69</v>
      </c>
      <c r="B73" s="25" t="inlineStr">
        <is>
          <t>http://www.kawaguchicci.or.jp/plat/pl_disp_company_detail.cgi?company=2209</t>
        </is>
      </c>
      <c r="C73" s="24" t="inlineStr">
        <is>
          <t>8</t>
        </is>
      </c>
      <c r="D73" s="24" t="n">
        <v>1</v>
      </c>
    </row>
    <row r="74">
      <c r="A74" s="24" t="n">
        <v>70</v>
      </c>
      <c r="B74" s="25" t="inlineStr">
        <is>
          <t>https://www.vm.nval.go.jp/public/detail/12549</t>
        </is>
      </c>
      <c r="C74" s="24" t="inlineStr">
        <is>
          <t>9</t>
        </is>
      </c>
      <c r="D74" s="24" t="n">
        <v>1</v>
      </c>
    </row>
    <row r="75">
      <c r="A75" s="24" t="n">
        <v>71</v>
      </c>
      <c r="B75" s="25" t="inlineStr">
        <is>
          <t>https://www.idexx.co.jp/ja/about-idexx/contact-idexx/</t>
        </is>
      </c>
      <c r="C75" s="24" t="inlineStr">
        <is>
          <t>9</t>
        </is>
      </c>
      <c r="D75" s="24" t="n">
        <v>1</v>
      </c>
    </row>
    <row r="76">
      <c r="A76" s="24" t="n">
        <v>72</v>
      </c>
      <c r="B76" s="25" t="inlineStr">
        <is>
          <t>https://www.vm.nval.go.jp/public/detail/6770</t>
        </is>
      </c>
      <c r="C76" s="24" t="inlineStr">
        <is>
          <t>10</t>
        </is>
      </c>
      <c r="D76" s="24" t="n">
        <v>1</v>
      </c>
    </row>
    <row r="77">
      <c r="A77" s="24" t="n">
        <v>73</v>
      </c>
      <c r="B77" s="25" t="inlineStr">
        <is>
          <t>https://www.vm.nval.go.jp/public/detail/18306</t>
        </is>
      </c>
      <c r="C77" s="24" t="inlineStr">
        <is>
          <t>11</t>
        </is>
      </c>
      <c r="D77" s="24" t="n">
        <v>1</v>
      </c>
    </row>
    <row r="78">
      <c r="A78" s="24" t="n">
        <v>74</v>
      </c>
      <c r="B78" s="25" t="inlineStr">
        <is>
          <t>https://medical-space.co.jp/products/3096/</t>
        </is>
      </c>
      <c r="C78" s="24" t="inlineStr">
        <is>
          <t>11</t>
        </is>
      </c>
      <c r="D78" s="24" t="n">
        <v>1</v>
      </c>
    </row>
    <row r="79">
      <c r="A79" s="24" t="n">
        <v>75</v>
      </c>
      <c r="B79" s="25" t="inlineStr">
        <is>
          <t>https://www.metran.co.jp/links</t>
        </is>
      </c>
      <c r="C79" s="24" t="inlineStr">
        <is>
          <t>11</t>
        </is>
      </c>
      <c r="D79" s="24" t="n">
        <v>1</v>
      </c>
    </row>
    <row r="80">
      <c r="A80" s="24" t="n">
        <v>76</v>
      </c>
      <c r="B80" s="25" t="inlineStr">
        <is>
          <t>https://rayvision.co.jp/</t>
        </is>
      </c>
      <c r="C80" s="24" t="inlineStr">
        <is>
          <t>12</t>
        </is>
      </c>
      <c r="D80" s="24" t="n">
        <v>1</v>
      </c>
    </row>
    <row r="81">
      <c r="A81" s="24" t="n">
        <v>77</v>
      </c>
      <c r="B81" s="25" t="inlineStr">
        <is>
          <t>https://medical-space.co.jp/products/9109/</t>
        </is>
      </c>
      <c r="C81" s="24" t="inlineStr">
        <is>
          <t>12</t>
        </is>
      </c>
      <c r="D81" s="24" t="n">
        <v>1</v>
      </c>
    </row>
    <row r="82">
      <c r="A82" s="24" t="n">
        <v>78</v>
      </c>
      <c r="B82" s="25" t="inlineStr">
        <is>
          <t>https://rayvision.co.jp/contact/</t>
        </is>
      </c>
      <c r="C82" s="24" t="inlineStr">
        <is>
          <t>12</t>
        </is>
      </c>
      <c r="D82" s="24" t="n">
        <v>1</v>
      </c>
    </row>
    <row r="83">
      <c r="A83" s="24" t="n">
        <v>79</v>
      </c>
      <c r="B83" s="25" t="inlineStr">
        <is>
          <t>https://www.top-tokyo.co.jp/products/veterinary/</t>
        </is>
      </c>
      <c r="C83" s="24" t="inlineStr">
        <is>
          <t>13</t>
        </is>
      </c>
      <c r="D83" s="24" t="n">
        <v>1</v>
      </c>
    </row>
    <row r="84">
      <c r="A84" s="24" t="n">
        <v>80</v>
      </c>
      <c r="B84" s="25" t="inlineStr">
        <is>
          <t>https://www.vm.nval.go.jp/public/detail/19372</t>
        </is>
      </c>
      <c r="C84" s="24" t="inlineStr">
        <is>
          <t>13</t>
        </is>
      </c>
      <c r="D84" s="24" t="n">
        <v>1</v>
      </c>
    </row>
    <row r="85">
      <c r="A85" s="24" t="n">
        <v>81</v>
      </c>
      <c r="B85" s="25" t="inlineStr">
        <is>
          <t>https://www.top-tokyo.co.jp/contact/</t>
        </is>
      </c>
      <c r="C85" s="24" t="inlineStr">
        <is>
          <t>13</t>
        </is>
      </c>
      <c r="D85" s="24" t="n">
        <v>1</v>
      </c>
    </row>
    <row r="86">
      <c r="A86" s="24" t="n">
        <v>82</v>
      </c>
      <c r="B86" s="25" t="inlineStr">
        <is>
          <t>https://www.asahi-intecc.co.jp/contact/vet</t>
        </is>
      </c>
      <c r="C86" s="24" t="inlineStr">
        <is>
          <t>14</t>
        </is>
      </c>
      <c r="D86" s="24" t="n">
        <v>1</v>
      </c>
    </row>
    <row r="87">
      <c r="A87" s="24" t="n">
        <v>83</v>
      </c>
      <c r="B87" s="25" t="inlineStr">
        <is>
          <t>https://www.vm.nval.go.jp/public/detail/19457</t>
        </is>
      </c>
      <c r="C87" s="24" t="inlineStr">
        <is>
          <t>15</t>
        </is>
      </c>
      <c r="D87" s="24" t="n">
        <v>1</v>
      </c>
    </row>
    <row r="88">
      <c r="A88" s="24" t="n">
        <v>84</v>
      </c>
      <c r="B88" s="25" t="inlineStr">
        <is>
          <t>https://www.horiba.com/jpn/medical/news/events/detail/news/9/2025/%E6%97%A5%E6%9C%AC%E8%87%A8%E5%BA%8A%E7%8D%A3%E5%8C%BB%E5%AD%A6%E3%83%95%E3%82%A9%E3%83%BC%E3%83%A9%E3%83%A0jbvp%E5%B9%B4%E6%AC%A1%E5%A4%A7%E4%BC%9A/</t>
        </is>
      </c>
      <c r="C88" s="24" t="inlineStr">
        <is>
          <t>15</t>
        </is>
      </c>
      <c r="D88" s="24" t="n">
        <v>1</v>
      </c>
    </row>
    <row r="89">
      <c r="A89" s="24" t="n">
        <v>85</v>
      </c>
      <c r="B89" s="25" t="inlineStr">
        <is>
          <t>https://www.horiba.com/jpn/company/news/detail/news/1/2024/microsemi-lc-712-release/</t>
        </is>
      </c>
      <c r="C89" s="24" t="inlineStr">
        <is>
          <t>15</t>
        </is>
      </c>
      <c r="D89" s="24" t="n">
        <v>1</v>
      </c>
    </row>
    <row r="90">
      <c r="A90" s="24" t="n">
        <v>86</v>
      </c>
      <c r="B90" s="25" t="inlineStr">
        <is>
          <t>https://medical-space.co.jp/products/manufacturer/%E5%B3%B6%E6%B4%A5%E8%A3%BD%E4%BD%9C%E6%89%80/</t>
        </is>
      </c>
      <c r="C90" s="24" t="inlineStr">
        <is>
          <t>16</t>
        </is>
      </c>
      <c r="D90" s="24" t="n">
        <v>1</v>
      </c>
    </row>
    <row r="91">
      <c r="A91" s="24" t="n">
        <v>87</v>
      </c>
      <c r="B91" s="25" t="inlineStr">
        <is>
          <t>https://www.med.shimadzu.co.jp/network/</t>
        </is>
      </c>
      <c r="C91" s="24" t="inlineStr">
        <is>
          <t>16</t>
        </is>
      </c>
      <c r="D91" s="24" t="n">
        <v>1</v>
      </c>
    </row>
    <row r="92">
      <c r="A92" s="24" t="n">
        <v>88</v>
      </c>
      <c r="B92" s="25" t="inlineStr">
        <is>
          <t>https://www.vet.meiji.com/corporate/outline.html</t>
        </is>
      </c>
      <c r="C92" s="24" t="inlineStr">
        <is>
          <t>17</t>
        </is>
      </c>
      <c r="D92" s="24" t="n">
        <v>1</v>
      </c>
    </row>
    <row r="93">
      <c r="A93" s="24" t="n">
        <v>89</v>
      </c>
      <c r="B93" s="25" t="inlineStr">
        <is>
          <t>https://www.vet.meiji.com</t>
        </is>
      </c>
      <c r="C93" s="24" t="inlineStr">
        <is>
          <t>17</t>
        </is>
      </c>
      <c r="D93" s="24" t="n">
        <v>1</v>
      </c>
    </row>
    <row r="94">
      <c r="A94" s="24" t="n">
        <v>90</v>
      </c>
      <c r="B94" s="25" t="inlineStr">
        <is>
          <t>https://www.yasui-kk.co.jp/medical-news/2721/</t>
        </is>
      </c>
      <c r="C94" s="24" t="inlineStr">
        <is>
          <t>18</t>
        </is>
      </c>
      <c r="D94" s="24" t="n">
        <v>1</v>
      </c>
    </row>
    <row r="95">
      <c r="A95" s="24" t="n">
        <v>91</v>
      </c>
      <c r="B95" s="25" t="inlineStr">
        <is>
          <t>https://www.pref.miyazaki.lg.jp/documents/57538/57538_20230421133605-1.pdf</t>
        </is>
      </c>
      <c r="C95" s="24" t="inlineStr">
        <is>
          <t>18</t>
        </is>
      </c>
      <c r="D95" s="24" t="n">
        <v>1</v>
      </c>
    </row>
    <row r="96">
      <c r="A96" s="24" t="n">
        <v>92</v>
      </c>
      <c r="B96" s="25" t="inlineStr">
        <is>
          <t>https://hamiq.koic.or.jp/introduction/detail.php?num=2359</t>
        </is>
      </c>
      <c r="C96" s="24" t="inlineStr">
        <is>
          <t>18</t>
        </is>
      </c>
      <c r="D96" s="24" t="n">
        <v>1</v>
      </c>
    </row>
    <row r="97">
      <c r="A97" s="24" t="n">
        <v>93</v>
      </c>
      <c r="B97" s="25" t="inlineStr">
        <is>
          <t>https://www.yasui-kk.co.jp/medical/</t>
        </is>
      </c>
      <c r="C97" s="24" t="inlineStr">
        <is>
          <t>18</t>
        </is>
      </c>
      <c r="D97" s="24" t="n">
        <v>1</v>
      </c>
    </row>
    <row r="98">
      <c r="A98" s="24" t="n">
        <v>94</v>
      </c>
      <c r="B98" s="25" t="inlineStr">
        <is>
          <t>https://www.aandd.co.jp/support/agency/</t>
        </is>
      </c>
      <c r="C98" s="24" t="inlineStr">
        <is>
          <t>19</t>
        </is>
      </c>
      <c r="D98" s="24" t="n">
        <v>1</v>
      </c>
    </row>
    <row r="99">
      <c r="A99" s="24" t="n">
        <v>95</v>
      </c>
      <c r="B99" s="25" t="inlineStr">
        <is>
          <t>https://www.aandd.co.jp/products/medical/</t>
        </is>
      </c>
      <c r="C99" s="24" t="inlineStr">
        <is>
          <t>19</t>
        </is>
      </c>
      <c r="D99" s="24" t="n">
        <v>1</v>
      </c>
    </row>
    <row r="100">
      <c r="A100" s="24" t="n">
        <v>96</v>
      </c>
      <c r="B100" s="25" t="inlineStr">
        <is>
          <t>http://www.miyano-medix.com/service7.html</t>
        </is>
      </c>
      <c r="C100" s="24" t="inlineStr">
        <is>
          <t>20</t>
        </is>
      </c>
      <c r="D100" s="24" t="n">
        <v>1</v>
      </c>
    </row>
    <row r="101">
      <c r="A101" s="24" t="n">
        <v>97</v>
      </c>
      <c r="B101" s="25" t="inlineStr">
        <is>
          <t>https://go.amco-inc.net/l/943023/2021-10-29/2kgyq</t>
        </is>
      </c>
      <c r="C101" s="24" t="inlineStr">
        <is>
          <t>20</t>
        </is>
      </c>
      <c r="D101" s="24" t="n">
        <v>1</v>
      </c>
    </row>
    <row r="102">
      <c r="A102" s="24" t="n">
        <v>98</v>
      </c>
      <c r="B102" s="25" t="inlineStr">
        <is>
          <t>https://vm.nval.go.jp/?page=115&amp;submit=submit</t>
        </is>
      </c>
      <c r="C102" s="24" t="inlineStr">
        <is>
          <t>21</t>
        </is>
      </c>
      <c r="D102" s="24" t="n">
        <v>1</v>
      </c>
    </row>
    <row r="103">
      <c r="A103" s="24" t="n">
        <v>99</v>
      </c>
      <c r="B103" s="25" t="inlineStr">
        <is>
          <t>https://www.osaka-iryokiki-kyokai.com/member_list/</t>
        </is>
      </c>
      <c r="C103" s="24" t="inlineStr">
        <is>
          <t>21</t>
        </is>
      </c>
      <c r="D103" s="24" t="n">
        <v>1</v>
      </c>
    </row>
    <row r="104">
      <c r="A104" s="24" t="n">
        <v>100</v>
      </c>
      <c r="B104" s="25" t="inlineStr">
        <is>
          <t>https://www.vm.nval.go.jp/public/detail/19578</t>
        </is>
      </c>
      <c r="C104" s="24" t="inlineStr">
        <is>
          <t>22</t>
        </is>
      </c>
      <c r="D104" s="24" t="n">
        <v>1</v>
      </c>
    </row>
    <row r="105">
      <c r="A105" s="24" t="n">
        <v>101</v>
      </c>
      <c r="B105" s="25" t="inlineStr">
        <is>
          <t>https://www.vm.nval.go.jp/public/detail/17513</t>
        </is>
      </c>
      <c r="C105" s="24" t="inlineStr">
        <is>
          <t>23</t>
        </is>
      </c>
      <c r="D105" s="24" t="n">
        <v>1</v>
      </c>
    </row>
    <row r="106">
      <c r="A106" s="24" t="n">
        <v>102</v>
      </c>
      <c r="B106" s="25" t="inlineStr">
        <is>
          <t>https://www.vm.nval.go.jp/public/detail/19240</t>
        </is>
      </c>
      <c r="C106" s="24" t="inlineStr">
        <is>
          <t>23</t>
        </is>
      </c>
      <c r="D106" s="24" t="n">
        <v>1</v>
      </c>
    </row>
    <row r="107">
      <c r="A107" s="24" t="n">
        <v>103</v>
      </c>
      <c r="B107" s="25" t="inlineStr">
        <is>
          <t>https://tonomachi-ksf.kawasaki-net.ne.jp/institution/%E3%82%AF%E3%83%AA%E3%82%A8%E3%83%BC%E3%83%88%E3%83%A1%E3%83%87%E3%82%A3%E3%83%83%E3%82%AF%E6%A0%AA%E5%BC%8F%E4%BC%9A%E7%A4%BE_j/</t>
        </is>
      </c>
      <c r="C107" s="24" t="inlineStr">
        <is>
          <t>23</t>
        </is>
      </c>
      <c r="D107" s="24" t="n">
        <v>1</v>
      </c>
    </row>
    <row r="108">
      <c r="A108" s="24" t="n">
        <v>104</v>
      </c>
      <c r="B108" s="25" t="inlineStr">
        <is>
          <t>https://www.createmedic.co.jp/contact/form/</t>
        </is>
      </c>
      <c r="C108" s="24" t="inlineStr">
        <is>
          <t>23</t>
        </is>
      </c>
      <c r="D108" s="24" t="n">
        <v>1</v>
      </c>
    </row>
    <row r="109">
      <c r="A109" s="24" t="n">
        <v>105</v>
      </c>
      <c r="B109" s="25" t="inlineStr">
        <is>
          <t>https://www.vm.nval.go.jp/public/detail/18103</t>
        </is>
      </c>
      <c r="C109" s="24" t="inlineStr">
        <is>
          <t>24</t>
        </is>
      </c>
      <c r="D109" s="24" t="n">
        <v>1</v>
      </c>
    </row>
    <row r="110">
      <c r="A110" s="24" t="n">
        <v>106</v>
      </c>
      <c r="B110" s="25" t="inlineStr">
        <is>
          <t>https://medical-space.co.jp/products/9158/</t>
        </is>
      </c>
      <c r="C110" s="24" t="inlineStr">
        <is>
          <t>25</t>
        </is>
      </c>
      <c r="D110" s="24" t="n">
        <v>1</v>
      </c>
    </row>
    <row r="111">
      <c r="A111" s="24" t="n">
        <v>107</v>
      </c>
      <c r="B111" s="25" t="inlineStr">
        <is>
          <t>https://www.vm.nval.go.jp/public/detail/6752</t>
        </is>
      </c>
      <c r="C111" s="24" t="inlineStr">
        <is>
          <t>26</t>
        </is>
      </c>
      <c r="D111" s="24" t="n">
        <v>1</v>
      </c>
    </row>
    <row r="112">
      <c r="A112" s="24" t="n">
        <v>108</v>
      </c>
      <c r="B112" s="25" t="inlineStr">
        <is>
          <t>https://baseconnect.in/companies/prefecture/a30ebdff-361b-42be-8372-1b0d350f48a0/keyword/c53ff370-90f7-45dc-a0ee-e22bda2cde5e</t>
        </is>
      </c>
      <c r="C112" s="24" t="inlineStr">
        <is>
          <t>26</t>
        </is>
      </c>
      <c r="D112" s="24" t="n">
        <v>1</v>
      </c>
    </row>
    <row r="113">
      <c r="A113" s="24" t="n">
        <v>109</v>
      </c>
      <c r="B113" s="25" t="inlineStr">
        <is>
          <t>https://surge-m.co.jp/home/inquiry/inquiry/</t>
        </is>
      </c>
      <c r="C113" s="24" t="inlineStr">
        <is>
          <t>26</t>
        </is>
      </c>
      <c r="D113" s="24" t="n">
        <v>1</v>
      </c>
    </row>
    <row r="114">
      <c r="A114" s="24" t="n">
        <v>110</v>
      </c>
      <c r="B114" s="25" t="inlineStr">
        <is>
          <t>https://www.terumo.co.jp/inquiry</t>
        </is>
      </c>
      <c r="C114" s="24" t="inlineStr">
        <is>
          <t>27</t>
        </is>
      </c>
      <c r="D114" s="24" t="n">
        <v>1</v>
      </c>
    </row>
    <row r="115">
      <c r="A115" s="24" t="n">
        <v>111</v>
      </c>
      <c r="B115" s="25" t="inlineStr">
        <is>
          <t>https://www.munatex.co.jp/businessguide/</t>
        </is>
      </c>
      <c r="C115" s="24" t="inlineStr">
        <is>
          <t>28</t>
        </is>
      </c>
      <c r="D115" s="24" t="n">
        <v>1</v>
      </c>
    </row>
    <row r="116">
      <c r="A116" s="24" t="n">
        <v>112</v>
      </c>
      <c r="B116" s="25" t="inlineStr">
        <is>
          <t>https://www.tokyoiken.co.jp/contact/</t>
        </is>
      </c>
      <c r="C116" s="24" t="inlineStr">
        <is>
          <t>28</t>
        </is>
      </c>
      <c r="D116" s="24" t="n">
        <v>1</v>
      </c>
    </row>
    <row r="117">
      <c r="A117" s="24" t="n">
        <v>113</v>
      </c>
      <c r="B117" s="25" t="inlineStr">
        <is>
          <t>https://www.skylux.co.jp/product/</t>
        </is>
      </c>
      <c r="C117" s="24" t="inlineStr">
        <is>
          <t>29</t>
        </is>
      </c>
      <c r="D117" s="24" t="n">
        <v>1</v>
      </c>
    </row>
    <row r="118">
      <c r="A118" s="24" t="n">
        <v>114</v>
      </c>
      <c r="B118" s="25" t="inlineStr">
        <is>
          <t>https://medical-space.co.jp/products/product/%E2%96%A0%E6%89%8B%E8%A1%93%E9%96%A2%E9%80%A3/%E6%89%8B%E8%A1%93%E7%84%A1%E5%BD%B1%E7%81%AF/</t>
        </is>
      </c>
      <c r="C118" s="24" t="inlineStr">
        <is>
          <t>29</t>
        </is>
      </c>
      <c r="D118" s="24" t="n">
        <v>1</v>
      </c>
    </row>
    <row r="119">
      <c r="A119" s="24" t="n">
        <v>115</v>
      </c>
      <c r="B119" s="25" t="inlineStr">
        <is>
          <t>https://www.skylux.co.jp/contact/</t>
        </is>
      </c>
      <c r="C119" s="24" t="inlineStr">
        <is>
          <t>29</t>
        </is>
      </c>
      <c r="D119" s="24" t="n">
        <v>1</v>
      </c>
    </row>
    <row r="120">
      <c r="A120" s="24" t="n">
        <v>116</v>
      </c>
      <c r="B120" s="25" t="inlineStr">
        <is>
          <t>https://munatex.com/products/5863/</t>
        </is>
      </c>
      <c r="C120" s="24" t="inlineStr">
        <is>
          <t>30</t>
        </is>
      </c>
      <c r="D120" s="24" t="n">
        <v>1</v>
      </c>
    </row>
    <row r="121">
      <c r="A121" s="24" t="n">
        <v>117</v>
      </c>
      <c r="B121" s="25" t="inlineStr">
        <is>
          <t>https://medical-space.co.jp/products-manufacturer/</t>
        </is>
      </c>
      <c r="C121" s="24" t="inlineStr">
        <is>
          <t>30</t>
        </is>
      </c>
      <c r="D121" s="24" t="n">
        <v>1</v>
      </c>
    </row>
    <row r="122">
      <c r="A122" s="24" t="n">
        <v>118</v>
      </c>
      <c r="B122" s="25" t="inlineStr">
        <is>
          <t>https://www.acoma.com/support/support-list/</t>
        </is>
      </c>
      <c r="C122" s="24" t="inlineStr">
        <is>
          <t>30</t>
        </is>
      </c>
      <c r="D122" s="24" t="n">
        <v>1</v>
      </c>
    </row>
    <row r="123">
      <c r="A123" s="24" t="n">
        <v>119</v>
      </c>
      <c r="B123" s="25" t="inlineStr">
        <is>
          <t>https://www.vm.nval.go.jp/public/detail/11016</t>
        </is>
      </c>
      <c r="C123" s="24" t="inlineStr">
        <is>
          <t>31</t>
        </is>
      </c>
      <c r="D123" s="24" t="n">
        <v>1</v>
      </c>
    </row>
    <row r="124">
      <c r="A124" s="24" t="n">
        <v>120</v>
      </c>
      <c r="B124" s="25" t="inlineStr">
        <is>
          <t>https://www.nashinoki-vet.com/column/2016/4017/</t>
        </is>
      </c>
      <c r="C124" s="24" t="inlineStr">
        <is>
          <t>32</t>
        </is>
      </c>
      <c r="D124" s="24" t="n">
        <v>1</v>
      </c>
    </row>
    <row r="125">
      <c r="A125" s="24" t="n">
        <v>121</v>
      </c>
      <c r="B125" s="25" t="inlineStr">
        <is>
          <t>https://www.taiyo-denshi.com/contents/category/contact/</t>
        </is>
      </c>
      <c r="C125" s="24" t="inlineStr">
        <is>
          <t>32</t>
        </is>
      </c>
      <c r="D125" s="24" t="n">
        <v>1</v>
      </c>
    </row>
    <row r="126">
      <c r="A126" s="24" t="n">
        <v>122</v>
      </c>
      <c r="B126" s="25" t="inlineStr">
        <is>
          <t>https://medical-space.co.jp/products/2309/</t>
        </is>
      </c>
      <c r="C126" s="24" t="inlineStr">
        <is>
          <t>33</t>
        </is>
      </c>
      <c r="D126" s="24" t="n">
        <v>1</v>
      </c>
    </row>
    <row r="127">
      <c r="A127" s="24" t="n">
        <v>123</v>
      </c>
      <c r="B127" s="25" t="inlineStr">
        <is>
          <t>https://www.kimuramed.jp/contact/</t>
        </is>
      </c>
      <c r="C127" s="24" t="inlineStr">
        <is>
          <t>33</t>
        </is>
      </c>
      <c r="D127" s="24" t="n">
        <v>1</v>
      </c>
    </row>
    <row r="128">
      <c r="A128" s="24" t="n">
        <v>124</v>
      </c>
      <c r="B128" s="25" t="inlineStr">
        <is>
          <t>https://www.marubun.co.jp/info/2024/50370</t>
        </is>
      </c>
      <c r="C128" s="24" t="inlineStr">
        <is>
          <t>34</t>
        </is>
      </c>
      <c r="D128" s="24" t="n">
        <v>1</v>
      </c>
    </row>
    <row r="129">
      <c r="A129" s="24" t="n">
        <v>125</v>
      </c>
      <c r="B129" s="25" t="inlineStr">
        <is>
          <t>https://clarius.com/?p=125094</t>
        </is>
      </c>
      <c r="C129" s="24" t="inlineStr">
        <is>
          <t>34</t>
        </is>
      </c>
      <c r="D129" s="24" t="n">
        <v>1</v>
      </c>
    </row>
    <row r="130">
      <c r="A130" s="24" t="n">
        <v>126</v>
      </c>
      <c r="B130" s="25" t="inlineStr">
        <is>
          <t>https://www.marubun.co.jp/products/51908/</t>
        </is>
      </c>
      <c r="C130" s="24" t="inlineStr">
        <is>
          <t>34</t>
        </is>
      </c>
      <c r="D130" s="24" t="n">
        <v>1</v>
      </c>
    </row>
    <row r="131">
      <c r="A131" s="24" t="n">
        <v>127</v>
      </c>
      <c r="B131" s="25" t="inlineStr">
        <is>
          <t>https://www.sophiatech.co.jp/orthppedic-implants?lightbox=image9xt</t>
        </is>
      </c>
      <c r="C131" s="24" t="inlineStr">
        <is>
          <t>35</t>
        </is>
      </c>
      <c r="D131" s="24" t="n">
        <v>1</v>
      </c>
    </row>
    <row r="132">
      <c r="A132" s="24" t="n">
        <v>128</v>
      </c>
      <c r="B132" s="25" t="inlineStr">
        <is>
          <t>https://www.sophiatech.co.jp/</t>
        </is>
      </c>
      <c r="C132" s="24" t="inlineStr">
        <is>
          <t>35</t>
        </is>
      </c>
      <c r="D132" s="24" t="n">
        <v>1</v>
      </c>
    </row>
    <row r="133">
      <c r="A133" s="24" t="n">
        <v>129</v>
      </c>
      <c r="B133" s="25" t="inlineStr">
        <is>
          <t>https://kruz-medical.co.jp/business/</t>
        </is>
      </c>
      <c r="C133" s="24" t="inlineStr">
        <is>
          <t>36</t>
        </is>
      </c>
      <c r="D133" s="24" t="n">
        <v>1</v>
      </c>
    </row>
    <row r="134">
      <c r="A134" s="24" t="n">
        <v>130</v>
      </c>
      <c r="B134" s="25" t="inlineStr">
        <is>
          <t>https://kruz.co.jp/</t>
        </is>
      </c>
      <c r="C134" s="24" t="inlineStr">
        <is>
          <t>36</t>
        </is>
      </c>
      <c r="D134" s="24" t="n">
        <v>1</v>
      </c>
    </row>
    <row r="135">
      <c r="A135" s="24" t="n">
        <v>131</v>
      </c>
      <c r="B135" s="25" t="inlineStr">
        <is>
          <t>http://kruz.co.jp/profile.html</t>
        </is>
      </c>
      <c r="C135" s="24" t="inlineStr">
        <is>
          <t>36</t>
        </is>
      </c>
      <c r="D135" s="24" t="n">
        <v>1</v>
      </c>
    </row>
    <row r="136">
      <c r="A136" s="24" t="n">
        <v>132</v>
      </c>
      <c r="B136" s="25" t="inlineStr">
        <is>
          <t>https://www.avs.co.jp/contact/</t>
        </is>
      </c>
      <c r="C136" s="24" t="inlineStr">
        <is>
          <t>37</t>
        </is>
      </c>
      <c r="D136" s="24" t="n">
        <v>1</v>
      </c>
    </row>
    <row r="137">
      <c r="A137" s="24" t="n">
        <v>133</v>
      </c>
      <c r="B137" s="25" t="inlineStr">
        <is>
          <t>https://frontier-intl.co.jp/product/tyouonpasindankilist/</t>
        </is>
      </c>
      <c r="C137" s="24" t="inlineStr">
        <is>
          <t>38</t>
        </is>
      </c>
      <c r="D137" s="24" t="n">
        <v>1</v>
      </c>
    </row>
    <row r="138">
      <c r="A138" s="24" t="n">
        <v>134</v>
      </c>
      <c r="B138" s="25" t="inlineStr">
        <is>
          <t>https://www.cornesag.com/product/milking/breeding_management/afimilk_afiact/feature.html</t>
        </is>
      </c>
      <c r="C138" s="24" t="inlineStr">
        <is>
          <t>40</t>
        </is>
      </c>
      <c r="D138" s="24" t="n">
        <v>1</v>
      </c>
    </row>
    <row r="139">
      <c r="A139" s="24" t="n">
        <v>135</v>
      </c>
      <c r="B139" s="25" t="inlineStr">
        <is>
          <t>https://www.cornesag.com/inquiry/</t>
        </is>
      </c>
      <c r="C139" s="24" t="inlineStr">
        <is>
          <t>40</t>
        </is>
      </c>
      <c r="D139" s="24" t="n">
        <v>1</v>
      </c>
    </row>
    <row r="140">
      <c r="A140" s="24" t="n">
        <v>136</v>
      </c>
      <c r="B140" s="25" t="inlineStr">
        <is>
          <t>https://sakai-me.com/</t>
        </is>
      </c>
      <c r="C140" s="24" t="inlineStr">
        <is>
          <t>41</t>
        </is>
      </c>
      <c r="D140" s="24" t="n">
        <v>1</v>
      </c>
    </row>
    <row r="141">
      <c r="A141" s="24" t="n">
        <v>137</v>
      </c>
      <c r="B141" s="25" t="inlineStr">
        <is>
          <t>https://baseconnect.in/companies/prefecture/3420045f-8609-4232-9407-75407ae4e6e8/keyword/a68873de-8c54-4a2c-820f-e04c8b93064c</t>
        </is>
      </c>
      <c r="C141" s="24" t="inlineStr">
        <is>
          <t>42</t>
        </is>
      </c>
      <c r="D141" s="24" t="n">
        <v>1</v>
      </c>
    </row>
    <row r="142">
      <c r="A142" s="24" t="n">
        <v>138</v>
      </c>
      <c r="B142" s="25" t="inlineStr">
        <is>
          <t>https://shinmedico.jp/company/</t>
        </is>
      </c>
      <c r="C142" s="24" t="inlineStr">
        <is>
          <t>42</t>
        </is>
      </c>
      <c r="D142" s="24" t="n">
        <v>1</v>
      </c>
    </row>
    <row r="143">
      <c r="A143" s="24" t="n">
        <v>139</v>
      </c>
      <c r="B143" s="25" t="inlineStr">
        <is>
          <t>https://shinmedico.jp/inquiry/</t>
        </is>
      </c>
      <c r="C143" s="24" t="inlineStr">
        <is>
          <t>42</t>
        </is>
      </c>
      <c r="D143" s="24" t="n">
        <v>1</v>
      </c>
    </row>
    <row r="144">
      <c r="A144" s="24" t="n">
        <v>140</v>
      </c>
      <c r="B144" s="25" t="inlineStr">
        <is>
          <t>https://medical-space.co.jp/products/manufacturer/%E9%A3%9B%E9%B3%A5%E3%83%A1%E3%83%87%E3%82%A3%E3%82%AB%E3%83%AB/</t>
        </is>
      </c>
      <c r="C144" s="24" t="inlineStr">
        <is>
          <t>43</t>
        </is>
      </c>
      <c r="D144" s="24" t="n">
        <v>1</v>
      </c>
    </row>
    <row r="145">
      <c r="A145" s="24" t="n">
        <v>141</v>
      </c>
      <c r="B145" s="25" t="inlineStr">
        <is>
          <t>https://www.flexmedical.jp/contact.html</t>
        </is>
      </c>
      <c r="C145" s="24" t="inlineStr">
        <is>
          <t>46</t>
        </is>
      </c>
      <c r="D145" s="24" t="n">
        <v>1</v>
      </c>
    </row>
    <row r="146">
      <c r="A146" s="24" t="n">
        <v>142</v>
      </c>
      <c r="B146" s="25" t="inlineStr">
        <is>
          <t>https://kind-medical.co.jp/</t>
        </is>
      </c>
      <c r="C146" s="24" t="inlineStr">
        <is>
          <t>47</t>
        </is>
      </c>
      <c r="D146" s="24" t="n">
        <v>1</v>
      </c>
    </row>
    <row r="147">
      <c r="A147" s="24" t="n">
        <v>143</v>
      </c>
      <c r="B147" s="25" t="inlineStr">
        <is>
          <t>https://kind-medical.co.jp/company/</t>
        </is>
      </c>
      <c r="C147" s="24" t="inlineStr">
        <is>
          <t>47</t>
        </is>
      </c>
      <c r="D147" s="24" t="n">
        <v>1</v>
      </c>
    </row>
    <row r="148">
      <c r="A148" s="24" t="n">
        <v>144</v>
      </c>
      <c r="B148" s="25" t="inlineStr">
        <is>
          <t>https://kind-medical.co.jp/contact/</t>
        </is>
      </c>
      <c r="C148" s="24" t="inlineStr">
        <is>
          <t>47</t>
        </is>
      </c>
      <c r="D148" s="24" t="n">
        <v>1</v>
      </c>
    </row>
    <row r="149">
      <c r="A149" s="24" t="n">
        <v>145</v>
      </c>
      <c r="B149" s="25" t="inlineStr">
        <is>
          <t>https://www.e-mcast.co.jp/shop/r/rdoubutsu/</t>
        </is>
      </c>
      <c r="C149" s="24" t="inlineStr">
        <is>
          <t>48</t>
        </is>
      </c>
      <c r="D149" s="24" t="n">
        <v>1</v>
      </c>
    </row>
    <row r="150">
      <c r="A150" s="24" t="n">
        <v>146</v>
      </c>
      <c r="B150" s="25" t="inlineStr">
        <is>
          <t>https://www.e-mcast.co.jp/shop/secure/method_index.aspx</t>
        </is>
      </c>
      <c r="C150" s="24" t="inlineStr">
        <is>
          <t>48</t>
        </is>
      </c>
      <c r="D150" s="24" t="n">
        <v>1</v>
      </c>
    </row>
    <row r="151">
      <c r="A151" s="24" t="n">
        <v>147</v>
      </c>
      <c r="B151" s="25" t="inlineStr">
        <is>
          <t>https://meilleur.co.jp/contact/</t>
        </is>
      </c>
      <c r="C151" s="24" t="inlineStr">
        <is>
          <t>49</t>
        </is>
      </c>
      <c r="D151" s="24" t="n">
        <v>1</v>
      </c>
    </row>
    <row r="152">
      <c r="A152" s="24" t="n">
        <v>148</v>
      </c>
      <c r="B152" s="25" t="inlineStr">
        <is>
          <t>https://www.vetpartners.co.jp/</t>
        </is>
      </c>
      <c r="C152" s="24" t="inlineStr">
        <is>
          <t>51</t>
        </is>
      </c>
      <c r="D152" s="24" t="n">
        <v>1</v>
      </c>
    </row>
    <row r="153">
      <c r="A153" s="24" t="n">
        <v>149</v>
      </c>
      <c r="B153" s="25" t="inlineStr">
        <is>
          <t>https://www.vetpartners.co.jp/contact/</t>
        </is>
      </c>
      <c r="C153" s="24" t="inlineStr">
        <is>
          <t>51</t>
        </is>
      </c>
      <c r="D153" s="24" t="n">
        <v>1</v>
      </c>
    </row>
    <row r="154">
      <c r="A154" s="24" t="n">
        <v>150</v>
      </c>
      <c r="B154" s="25" t="inlineStr">
        <is>
          <t>https://www.animalpharmacy.jp/</t>
        </is>
      </c>
      <c r="C154" s="24" t="inlineStr">
        <is>
          <t>52</t>
        </is>
      </c>
      <c r="D154" s="24" t="n">
        <v>1</v>
      </c>
    </row>
    <row r="155">
      <c r="A155" s="24" t="n">
        <v>151</v>
      </c>
      <c r="B155" s="25" t="inlineStr">
        <is>
          <t>https://www.animalpharmacy.jp/contact/</t>
        </is>
      </c>
      <c r="C155" s="24" t="inlineStr">
        <is>
          <t>52</t>
        </is>
      </c>
      <c r="D155" s="24" t="n">
        <v>1</v>
      </c>
    </row>
    <row r="156">
      <c r="A156" s="24" t="n">
        <v>152</v>
      </c>
      <c r="B156" s="25" t="inlineStr">
        <is>
          <t>https://arrows-healthcare.com/product/product_list?ccd=1017</t>
        </is>
      </c>
      <c r="C156" s="24" t="inlineStr">
        <is>
          <t>53</t>
        </is>
      </c>
      <c r="D156" s="24" t="n">
        <v>1</v>
      </c>
    </row>
    <row r="157">
      <c r="A157" s="24" t="n">
        <v>153</v>
      </c>
      <c r="B157" s="25" t="inlineStr">
        <is>
          <t>https://2ndlabo.com/M530/</t>
        </is>
      </c>
      <c r="C157" s="24" t="inlineStr">
        <is>
          <t>53</t>
        </is>
      </c>
      <c r="D157" s="24" t="n">
        <v>1</v>
      </c>
    </row>
    <row r="158">
      <c r="A158" s="24" t="n">
        <v>154</v>
      </c>
      <c r="B158" s="25" t="inlineStr">
        <is>
          <t>https://arrows-healthcare.com/inquiry</t>
        </is>
      </c>
      <c r="C158" s="24" t="inlineStr">
        <is>
          <t>53</t>
        </is>
      </c>
      <c r="D158" s="24" t="n">
        <v>1</v>
      </c>
    </row>
    <row r="159">
      <c r="A159" s="24" t="n">
        <v>155</v>
      </c>
      <c r="B159" s="25" t="inlineStr">
        <is>
          <t>https://baseconnect.in/companies/prefecture/d80b180e-5fd9-4082-8cdc-a510179a3475/keyword/c53ff370-90f7-45dc-a0ee-e22bda2cde5e</t>
        </is>
      </c>
      <c r="C159" s="24" t="inlineStr">
        <is>
          <t>54</t>
        </is>
      </c>
      <c r="D159" s="24" t="n">
        <v>1</v>
      </c>
    </row>
    <row r="160">
      <c r="A160" s="24" t="n">
        <v>156</v>
      </c>
      <c r="B160" s="25" t="inlineStr">
        <is>
          <t>https://cycloop.co.jp/about/</t>
        </is>
      </c>
      <c r="C160" s="24" t="inlineStr">
        <is>
          <t>54</t>
        </is>
      </c>
      <c r="D160" s="24" t="n">
        <v>1</v>
      </c>
    </row>
    <row r="161">
      <c r="A161" s="24" t="n">
        <v>157</v>
      </c>
      <c r="B161" s="25" t="inlineStr">
        <is>
          <t>https://www.qix.co.jp/news/322</t>
        </is>
      </c>
      <c r="C161" s="24" t="inlineStr">
        <is>
          <t>55</t>
        </is>
      </c>
      <c r="D161" s="24" t="n">
        <v>1</v>
      </c>
    </row>
    <row r="162">
      <c r="A162" s="24" t="n">
        <v>158</v>
      </c>
      <c r="B162" s="25" t="inlineStr">
        <is>
          <t>https://www.value-press.com/pressrelease/289075</t>
        </is>
      </c>
      <c r="C162" s="24" t="inlineStr">
        <is>
          <t>55</t>
        </is>
      </c>
      <c r="D162" s="24" t="n">
        <v>1</v>
      </c>
    </row>
    <row r="163">
      <c r="A163" s="24" t="n">
        <v>159</v>
      </c>
      <c r="B163" s="25" t="inlineStr">
        <is>
          <t>https://www.qix.co.jp/law/</t>
        </is>
      </c>
      <c r="C163" s="24" t="inlineStr">
        <is>
          <t>55</t>
        </is>
      </c>
      <c r="D163" s="24" t="n">
        <v>1</v>
      </c>
    </row>
    <row r="164">
      <c r="A164" s="24" t="n">
        <v>160</v>
      </c>
      <c r="B164" s="25" t="inlineStr">
        <is>
          <t>https://www.terucom.co.jp/company/outline/</t>
        </is>
      </c>
      <c r="C164" s="24" t="inlineStr">
        <is>
          <t>56</t>
        </is>
      </c>
      <c r="D164" s="24" t="n">
        <v>1</v>
      </c>
    </row>
    <row r="165">
      <c r="A165" s="24" t="n">
        <v>161</v>
      </c>
      <c r="B165" s="25" t="inlineStr">
        <is>
          <t>https://taishodou.jp/contact/</t>
        </is>
      </c>
      <c r="C165" s="24" t="inlineStr">
        <is>
          <t>57</t>
        </is>
      </c>
      <c r="D165" s="24" t="n">
        <v>1</v>
      </c>
    </row>
    <row r="166">
      <c r="A166" s="24" t="n">
        <v>162</v>
      </c>
      <c r="B166" s="25" t="inlineStr">
        <is>
          <t>https://www.kyusyumitaka.com/</t>
        </is>
      </c>
      <c r="C166" s="24" t="inlineStr">
        <is>
          <t>59</t>
        </is>
      </c>
      <c r="D166" s="24" t="n">
        <v>1</v>
      </c>
    </row>
    <row r="167">
      <c r="A167" s="24" t="n">
        <v>163</v>
      </c>
      <c r="B167" s="25" t="inlineStr">
        <is>
          <t>https://www.kyusyumitaka.com/%E4%BC%9A%E7%A4%BE%E6%83%85%E5%A0%B1</t>
        </is>
      </c>
      <c r="C167" s="24" t="inlineStr">
        <is>
          <t>59</t>
        </is>
      </c>
      <c r="D167" s="24" t="n">
        <v>1</v>
      </c>
    </row>
    <row r="168">
      <c r="A168" s="24" t="n">
        <v>164</v>
      </c>
      <c r="B168" s="25" t="inlineStr">
        <is>
          <t>https://jadida.or.jp/doc/KaiinList20250407.pdf</t>
        </is>
      </c>
      <c r="C168" s="24" t="inlineStr">
        <is>
          <t>60</t>
        </is>
      </c>
      <c r="D168" s="24" t="n">
        <v>1</v>
      </c>
    </row>
    <row r="169">
      <c r="A169" s="24" t="n">
        <v>165</v>
      </c>
      <c r="B169" s="25" t="inlineStr">
        <is>
          <t>https://www.acty-kk.com/contact/contact.html</t>
        </is>
      </c>
      <c r="C169" s="24" t="inlineStr">
        <is>
          <t>61</t>
        </is>
      </c>
      <c r="D169" s="24" t="n">
        <v>1</v>
      </c>
    </row>
    <row r="170">
      <c r="A170" s="24" t="n">
        <v>166</v>
      </c>
      <c r="B170" s="25" t="inlineStr">
        <is>
          <t>https://chubukasei.jp/about/company-profile/</t>
        </is>
      </c>
      <c r="C170" s="24" t="inlineStr">
        <is>
          <t>62</t>
        </is>
      </c>
      <c r="D170" s="24" t="n">
        <v>1</v>
      </c>
    </row>
    <row r="171">
      <c r="A171" s="24" t="n">
        <v>167</v>
      </c>
      <c r="B171" s="25" t="inlineStr">
        <is>
          <t>https://chubukasei.jp/contact/</t>
        </is>
      </c>
      <c r="C171" s="24" t="inlineStr">
        <is>
          <t>62</t>
        </is>
      </c>
      <c r="D171" s="24" t="n">
        <v>1</v>
      </c>
    </row>
    <row r="172">
      <c r="A172" s="24" t="n">
        <v>168</v>
      </c>
      <c r="B172" s="25" t="inlineStr">
        <is>
          <t>https://www.iryou.teikyouseido.mhlw.go.jp/znk-web/juminkanja/S2430/initialize?kikanCd=YANCX00288&amp;kikanKbn=5&amp;prefCd=15</t>
        </is>
      </c>
      <c r="C172" s="24" t="inlineStr">
        <is>
          <t>64</t>
        </is>
      </c>
      <c r="D172" s="24" t="n">
        <v>1</v>
      </c>
    </row>
    <row r="173">
      <c r="A173" s="24" t="n">
        <v>169</v>
      </c>
      <c r="B173" s="25" t="inlineStr">
        <is>
          <t>http://www.nagano-arcs.jp/member/%E6%A0%AA%E5%BC%8F%E4%BC%9A%E7%A4%BE%E4%BF%A1%E9%98%B2%E3%82%A8%E3%83%87%E3%82%A3%E3%83%83%E3%82%AF%E3%82%B9/</t>
        </is>
      </c>
      <c r="C173" s="24" t="inlineStr">
        <is>
          <t>67</t>
        </is>
      </c>
      <c r="D173" s="24" t="n">
        <v>1</v>
      </c>
    </row>
    <row r="174">
      <c r="A174" s="24" t="n">
        <v>170</v>
      </c>
      <c r="B174" s="25" t="inlineStr">
        <is>
          <t>https://sinbou.co.jp/contact/</t>
        </is>
      </c>
      <c r="C174" s="24" t="inlineStr">
        <is>
          <t>67</t>
        </is>
      </c>
      <c r="D174" s="24" t="n">
        <v>1</v>
      </c>
    </row>
    <row r="175">
      <c r="A175" s="24" t="n">
        <v>171</v>
      </c>
      <c r="B175" s="25" t="inlineStr">
        <is>
          <t>https://www.matsudaiyaku.co.jp/_inquiry/inquiry.html</t>
        </is>
      </c>
      <c r="C175" s="24" t="inlineStr">
        <is>
          <t>70</t>
        </is>
      </c>
      <c r="D175" s="24" t="n">
        <v>1</v>
      </c>
    </row>
    <row r="176">
      <c r="A176" s="24" t="n">
        <v>172</v>
      </c>
      <c r="B176" s="25" t="inlineStr">
        <is>
          <t>https://oroshidanchi.or.jp/union/%E5%92%8C%E5%85%89%E5%95%86%E4%BA%8B%E3%80%80%E6%A0%AA%E5%BC%8F%E4%BC%9A%E7%A4%BE/</t>
        </is>
      </c>
      <c r="C176" s="24" t="inlineStr">
        <is>
          <t>72</t>
        </is>
      </c>
      <c r="D176" s="24" t="n">
        <v>1</v>
      </c>
    </row>
    <row r="177">
      <c r="A177" s="24" t="n">
        <v>173</v>
      </c>
      <c r="B177" s="25" t="inlineStr">
        <is>
          <t>https://sinwasangyo.co.jp/contact/</t>
        </is>
      </c>
      <c r="C177" s="24" t="inlineStr">
        <is>
          <t>74</t>
        </is>
      </c>
      <c r="D177" s="24" t="n">
        <v>1</v>
      </c>
    </row>
    <row r="178">
      <c r="A178" s="24" t="n">
        <v>174</v>
      </c>
      <c r="B178" s="25" t="inlineStr">
        <is>
          <t>https://baseconnect.in/companies/12d863e2-b869-4893-946b-29648c0a5d00</t>
        </is>
      </c>
      <c r="C178" s="24" t="inlineStr">
        <is>
          <t>75</t>
        </is>
      </c>
      <c r="D178" s="24" t="n">
        <v>1</v>
      </c>
    </row>
    <row r="179">
      <c r="A179" s="24" t="n">
        <v>175</v>
      </c>
      <c r="B179" s="25" t="inlineStr">
        <is>
          <t>https://www.yuuwa-yakuhin.co.jp/</t>
        </is>
      </c>
      <c r="C179" s="24" t="inlineStr">
        <is>
          <t>75</t>
        </is>
      </c>
      <c r="D179" s="24" t="n">
        <v>1</v>
      </c>
    </row>
    <row r="180">
      <c r="A180" s="24" t="n">
        <v>176</v>
      </c>
      <c r="B180" s="25" t="inlineStr">
        <is>
          <t>http://www.chuo-orion.co.jp/contact/</t>
        </is>
      </c>
      <c r="C180" s="24" t="inlineStr">
        <is>
          <t>76</t>
        </is>
      </c>
      <c r="D180" s="24" t="n">
        <v>1</v>
      </c>
    </row>
    <row r="181">
      <c r="A181" s="24" t="n">
        <v>177</v>
      </c>
      <c r="B181" s="25" t="inlineStr">
        <is>
          <t>https://info.gbiz.go.jp/hojin/ichiran?hojinBango=9011801003669</t>
        </is>
      </c>
      <c r="C181" s="24" t="inlineStr">
        <is>
          <t>78</t>
        </is>
      </c>
      <c r="D181" s="24" t="n">
        <v>1</v>
      </c>
    </row>
    <row r="182">
      <c r="A182" s="24" t="n">
        <v>178</v>
      </c>
      <c r="B182" s="25" t="inlineStr">
        <is>
          <t>https://www.sunibis.co.jp/privacy/</t>
        </is>
      </c>
      <c r="C182" s="24" t="inlineStr">
        <is>
          <t>79</t>
        </is>
      </c>
      <c r="D182" s="24" t="n">
        <v>1</v>
      </c>
    </row>
    <row r="183">
      <c r="A183" s="24" t="n">
        <v>179</v>
      </c>
      <c r="B183" s="25" t="inlineStr">
        <is>
          <t>https://www.sunibis.co.jp/contact-us/</t>
        </is>
      </c>
      <c r="C183" s="24" t="inlineStr">
        <is>
          <t>79</t>
        </is>
      </c>
      <c r="D183" s="24" t="n">
        <v>1</v>
      </c>
    </row>
    <row r="184">
      <c r="A184" s="24" t="n">
        <v>180</v>
      </c>
      <c r="B184" s="25" t="inlineStr">
        <is>
          <t>https://www.fair-medical.jp/</t>
        </is>
      </c>
      <c r="C184" s="24" t="inlineStr">
        <is>
          <t>85</t>
        </is>
      </c>
      <c r="D184" s="24" t="n">
        <v>1</v>
      </c>
    </row>
    <row r="185">
      <c r="A185" s="24" t="n">
        <v>181</v>
      </c>
      <c r="B185" s="25" t="inlineStr">
        <is>
          <t>https://www.fair-medical.jp/inquiry</t>
        </is>
      </c>
      <c r="C185" s="24" t="inlineStr">
        <is>
          <t>85</t>
        </is>
      </c>
      <c r="D185" s="24" t="n">
        <v>1</v>
      </c>
    </row>
    <row r="186">
      <c r="A186" s="24" t="n">
        <v>182</v>
      </c>
      <c r="B186" s="25" t="inlineStr">
        <is>
          <t>https://www.wism-mutoh.jp/bases/?region=%E5%8C%97%E6%B5%B7%E9%81%93</t>
        </is>
      </c>
      <c r="C186" s="24" t="inlineStr">
        <is>
          <t>86</t>
        </is>
      </c>
      <c r="D186" s="24" t="n">
        <v>1</v>
      </c>
    </row>
    <row r="187">
      <c r="A187" s="24" t="n">
        <v>183</v>
      </c>
      <c r="B187" s="25" t="inlineStr">
        <is>
          <t>https://shop.wism-mutoh.co.jp/contact.php</t>
        </is>
      </c>
      <c r="C187" s="24" t="inlineStr">
        <is>
          <t>86</t>
        </is>
      </c>
      <c r="D187" s="24" t="n">
        <v>1</v>
      </c>
    </row>
    <row r="188">
      <c r="A188" s="24" t="n">
        <v>184</v>
      </c>
      <c r="B188" s="25" t="inlineStr">
        <is>
          <t>https://www.wism-mutoh.jp/contact/</t>
        </is>
      </c>
      <c r="C188" s="24" t="inlineStr">
        <is>
          <t>86</t>
        </is>
      </c>
      <c r="D188" s="24" t="n">
        <v>1</v>
      </c>
    </row>
    <row r="189">
      <c r="A189" s="24" t="n">
        <v>185</v>
      </c>
      <c r="B189" s="25" t="inlineStr">
        <is>
          <t>https://shiratake-med.com/</t>
        </is>
      </c>
      <c r="C189" s="24" t="inlineStr">
        <is>
          <t>88</t>
        </is>
      </c>
      <c r="D189" s="24" t="n">
        <v>1</v>
      </c>
    </row>
    <row r="190">
      <c r="A190" s="24" t="n">
        <v>186</v>
      </c>
      <c r="B190" s="25" t="inlineStr">
        <is>
          <t>https://irbank.net/mynumber/6040001094684</t>
        </is>
      </c>
      <c r="C190" s="24" t="inlineStr">
        <is>
          <t>88</t>
        </is>
      </c>
      <c r="D190" s="24" t="n">
        <v>1</v>
      </c>
    </row>
    <row r="191">
      <c r="A191" s="24" t="n">
        <v>187</v>
      </c>
      <c r="B191" s="25" t="inlineStr">
        <is>
          <t>https://baseconnect.in/companies/b07e60c3-332e-4f05-b347-64f99a864067</t>
        </is>
      </c>
      <c r="C191" s="24" t="inlineStr">
        <is>
          <t>88</t>
        </is>
      </c>
      <c r="D191" s="24" t="n">
        <v>1</v>
      </c>
    </row>
    <row r="192">
      <c r="A192" s="24" t="n">
        <v>188</v>
      </c>
      <c r="B192" s="25" t="inlineStr">
        <is>
          <t>https://www.solve-net.com/info/tag/%E5%8B%95%E7%89%A9%E7%97%85%E9%99%A2%E5%90%91%E3%81%91%E8%A3%BD%E5%93%81/</t>
        </is>
      </c>
      <c r="C192" s="24" t="inlineStr">
        <is>
          <t>89</t>
        </is>
      </c>
      <c r="D192" s="24" t="n">
        <v>1</v>
      </c>
    </row>
    <row r="193">
      <c r="A193" s="24" t="n">
        <v>189</v>
      </c>
      <c r="B193" s="25" t="inlineStr">
        <is>
          <t>https://prtimes.jp/main/html/rd/p/000000002.000185455.html</t>
        </is>
      </c>
      <c r="C193" s="24" t="inlineStr">
        <is>
          <t>89</t>
        </is>
      </c>
      <c r="D193" s="24" t="n">
        <v>1</v>
      </c>
    </row>
    <row r="194">
      <c r="A194" s="24" t="n">
        <v>190</v>
      </c>
      <c r="B194" s="25" t="inlineStr">
        <is>
          <t>https://www.facebook.com/solve.co.jp/</t>
        </is>
      </c>
      <c r="C194" s="24" t="inlineStr">
        <is>
          <t>89</t>
        </is>
      </c>
      <c r="D194" s="24" t="n">
        <v>1</v>
      </c>
    </row>
    <row r="195">
      <c r="A195" s="24" t="n">
        <v>191</v>
      </c>
      <c r="B195" s="25" t="inlineStr">
        <is>
          <t>https://solve-net.com/company/Contact.html</t>
        </is>
      </c>
      <c r="C195" s="24" t="inlineStr">
        <is>
          <t>89</t>
        </is>
      </c>
      <c r="D195" s="24" t="n">
        <v>1</v>
      </c>
    </row>
    <row r="196">
      <c r="A196" s="24" t="n">
        <v>192</v>
      </c>
      <c r="B196" s="25" t="inlineStr">
        <is>
          <t>https://www.isico.or.jp/company/dgnet/1146.html</t>
        </is>
      </c>
      <c r="C196" s="24" t="inlineStr">
        <is>
          <t>90</t>
        </is>
      </c>
      <c r="D196" s="24" t="n">
        <v>1</v>
      </c>
    </row>
    <row r="197">
      <c r="A197" s="24" t="n">
        <v>193</v>
      </c>
      <c r="B197" s="25" t="inlineStr">
        <is>
          <t>https://www.marubun-tsusyo.co.jp/contact/</t>
        </is>
      </c>
      <c r="C197" s="24" t="inlineStr">
        <is>
          <t>90</t>
        </is>
      </c>
      <c r="D197" s="24" t="n">
        <v>1</v>
      </c>
    </row>
    <row r="198">
      <c r="A198" s="24" t="n">
        <v>194</v>
      </c>
      <c r="B198" s="25" t="inlineStr">
        <is>
          <t>https://mobix-kk.com/contact/</t>
        </is>
      </c>
      <c r="C198" s="24" t="inlineStr">
        <is>
          <t>91</t>
        </is>
      </c>
      <c r="D198" s="24" t="n">
        <v>1</v>
      </c>
    </row>
    <row r="199">
      <c r="A199" s="24" t="n">
        <v>195</v>
      </c>
      <c r="B199" s="25" t="inlineStr">
        <is>
          <t>http://www.mia-kyoto.gr.jp/members/ishiguro.html</t>
        </is>
      </c>
      <c r="C199" s="24" t="inlineStr">
        <is>
          <t>93</t>
        </is>
      </c>
      <c r="D199" s="24" t="n">
        <v>1</v>
      </c>
    </row>
    <row r="200">
      <c r="A200" s="24" t="n">
        <v>196</v>
      </c>
      <c r="B200" s="25" t="inlineStr">
        <is>
          <t>https://baseconnect.in/companies/keyword/4d87c1c6-1be0-402b-9086-9c71cd173036</t>
        </is>
      </c>
      <c r="C200" s="24" t="inlineStr">
        <is>
          <t>94</t>
        </is>
      </c>
      <c r="D200" s="24" t="n">
        <v>1</v>
      </c>
    </row>
    <row r="201">
      <c r="A201" s="24" t="n">
        <v>197</v>
      </c>
      <c r="B201" s="25" t="inlineStr">
        <is>
          <t>https://strainer.jp/tags/medical-trading</t>
        </is>
      </c>
      <c r="C201" s="24" t="inlineStr">
        <is>
          <t>94</t>
        </is>
      </c>
      <c r="D201" s="24" t="n">
        <v>1</v>
      </c>
    </row>
    <row r="202">
      <c r="A202" s="24" t="n">
        <v>198</v>
      </c>
      <c r="B202" s="25" t="inlineStr">
        <is>
          <t>https://baseconnect.in/companies/prefecture/3420045f-8609-4232-9407-75407ae4e6e8/category/b2358a1c-c4c6-46f4-a0b1-dee3a1b30a0b</t>
        </is>
      </c>
      <c r="C202" s="24" t="inlineStr">
        <is>
          <t>95</t>
        </is>
      </c>
      <c r="D202" s="24" t="n">
        <v>1</v>
      </c>
    </row>
    <row r="203">
      <c r="A203" s="24" t="n">
        <v>199</v>
      </c>
      <c r="B203" s="25" t="inlineStr">
        <is>
          <t>https://www.r-agent.com/company/c7230/</t>
        </is>
      </c>
      <c r="C203" s="24" t="inlineStr">
        <is>
          <t>96</t>
        </is>
      </c>
      <c r="D203" s="24" t="n">
        <v>1</v>
      </c>
    </row>
    <row r="204">
      <c r="A204" s="24" t="n">
        <v>200</v>
      </c>
      <c r="B204" s="25" t="inlineStr">
        <is>
          <t>https://job.mynavi.jp/27/pc/search/corp207091/outline.html</t>
        </is>
      </c>
      <c r="C204" s="24" t="inlineStr">
        <is>
          <t>96</t>
        </is>
      </c>
      <c r="D204" s="24" t="n">
        <v>1</v>
      </c>
    </row>
    <row r="205">
      <c r="A205" s="24" t="n">
        <v>201</v>
      </c>
      <c r="B205" s="25" t="inlineStr">
        <is>
          <t>https://www.kuribara.co.jp/company/</t>
        </is>
      </c>
      <c r="C205" s="24" t="inlineStr">
        <is>
          <t>96</t>
        </is>
      </c>
      <c r="D205" s="24" t="n">
        <v>1</v>
      </c>
    </row>
    <row r="206">
      <c r="A206" s="24" t="n">
        <v>202</v>
      </c>
      <c r="B206" s="25" t="inlineStr">
        <is>
          <t>https://www.kishiya.co.jp/group/</t>
        </is>
      </c>
      <c r="C206" s="24" t="inlineStr">
        <is>
          <t>97</t>
        </is>
      </c>
      <c r="D206" s="24" t="n">
        <v>1</v>
      </c>
    </row>
    <row r="207">
      <c r="A207" s="24" t="n">
        <v>203</v>
      </c>
      <c r="B207" s="25" t="inlineStr">
        <is>
          <t>https://www.kishiya.co.jp/contact/input</t>
        </is>
      </c>
      <c r="C207" s="24" t="inlineStr">
        <is>
          <t>97</t>
        </is>
      </c>
      <c r="D207" s="24" t="n">
        <v>1</v>
      </c>
    </row>
    <row r="208">
      <c r="A208" s="24" t="n">
        <v>204</v>
      </c>
      <c r="B208" s="25" t="inlineStr">
        <is>
          <t>https://job.mynavi.jp/27/pc/search/corp80535/outline.html</t>
        </is>
      </c>
      <c r="C208" s="24" t="inlineStr">
        <is>
          <t>98</t>
        </is>
      </c>
      <c r="D208" s="24" t="n">
        <v>1</v>
      </c>
    </row>
    <row r="209">
      <c r="A209" s="24" t="n">
        <v>205</v>
      </c>
      <c r="B209" s="25" t="inlineStr">
        <is>
          <t>https://kitaishihon.com/company/9265/story</t>
        </is>
      </c>
      <c r="C209" s="24" t="inlineStr">
        <is>
          <t>98</t>
        </is>
      </c>
      <c r="D209" s="24" t="n">
        <v>1</v>
      </c>
    </row>
    <row r="210">
      <c r="A210" s="24" t="n">
        <v>206</v>
      </c>
      <c r="B210" s="25" t="inlineStr">
        <is>
          <t>https://www.yamashitaika.co.jp/company/network/</t>
        </is>
      </c>
      <c r="C210" s="24" t="inlineStr">
        <is>
          <t>98</t>
        </is>
      </c>
      <c r="D210" s="24" t="n">
        <v>1</v>
      </c>
    </row>
    <row r="211">
      <c r="A211" s="24" t="n">
        <v>207</v>
      </c>
      <c r="B211" s="25" t="inlineStr">
        <is>
          <t>https://baseconnect.in/companies/prefecture/9ebb3838-effc-47da-b634-994957a78319/keyword/14f3dcec-9cd5-4be5-84e1-ddccb7bd228c</t>
        </is>
      </c>
      <c r="C211" s="24" t="inlineStr">
        <is>
          <t>99</t>
        </is>
      </c>
      <c r="D211" s="24" t="n">
        <v>1</v>
      </c>
    </row>
    <row r="212">
      <c r="A212" s="24" t="n">
        <v>208</v>
      </c>
      <c r="B212" s="25" t="inlineStr">
        <is>
          <t>https://baseconnect.in/companies/prefecture/3cf97f91-8b39-4cdb-981b-d035b0176b65/keyword/89941b4e-2dd1-4848-8957-48af280a31e0</t>
        </is>
      </c>
      <c r="C212" s="24" t="inlineStr">
        <is>
          <t>102</t>
        </is>
      </c>
      <c r="D212" s="24" t="n">
        <v>1</v>
      </c>
    </row>
    <row r="213">
      <c r="A213" s="24" t="n">
        <v>209</v>
      </c>
      <c r="B213" s="25" t="inlineStr">
        <is>
          <t>http://www.kk-himec.co.jp/gaiyo.html</t>
        </is>
      </c>
      <c r="C213" s="24" t="inlineStr">
        <is>
          <t>106</t>
        </is>
      </c>
      <c r="D213" s="24" t="n">
        <v>1</v>
      </c>
    </row>
    <row r="214">
      <c r="A214" s="24" t="n">
        <v>210</v>
      </c>
      <c r="B214" s="25" t="inlineStr">
        <is>
          <t>https://www.knowmed.jp/contact/</t>
        </is>
      </c>
      <c r="C214" s="24" t="inlineStr">
        <is>
          <t>110</t>
        </is>
      </c>
      <c r="D214" s="24" t="n">
        <v>1</v>
      </c>
    </row>
    <row r="215">
      <c r="A215" s="24" t="n">
        <v>211</v>
      </c>
      <c r="B215" s="25" t="inlineStr">
        <is>
          <t>https://logokit.com/brands/kyowaika.co.jp</t>
        </is>
      </c>
      <c r="C215" s="24" t="inlineStr">
        <is>
          <t>111</t>
        </is>
      </c>
      <c r="D215" s="24" t="n">
        <v>1</v>
      </c>
    </row>
    <row r="216">
      <c r="A216" s="24" t="n">
        <v>212</v>
      </c>
      <c r="B216" s="25" t="inlineStr">
        <is>
          <t>https://batonz.jp/sell_cases/5197</t>
        </is>
      </c>
      <c r="C216" s="24" t="inlineStr">
        <is>
          <t>111</t>
        </is>
      </c>
      <c r="D216" s="24" t="n">
        <v>1</v>
      </c>
    </row>
    <row r="217">
      <c r="A217" s="24" t="n">
        <v>213</v>
      </c>
      <c r="B217" s="25" t="inlineStr">
        <is>
          <t>https://www.kyowaika.co.jp/contact/</t>
        </is>
      </c>
      <c r="C217" s="24" t="inlineStr">
        <is>
          <t>111</t>
        </is>
      </c>
      <c r="D217" s="24" t="n">
        <v>1</v>
      </c>
    </row>
    <row r="218">
      <c r="A218" s="24" t="n">
        <v>214</v>
      </c>
      <c r="B218" s="25" t="inlineStr">
        <is>
          <t>https://www.mshhs.com/profile</t>
        </is>
      </c>
      <c r="C218" s="24" t="inlineStr">
        <is>
          <t>113</t>
        </is>
      </c>
      <c r="D218" s="24" t="n">
        <v>1</v>
      </c>
    </row>
    <row r="219">
      <c r="A219" s="24" t="n">
        <v>215</v>
      </c>
      <c r="B219" s="25" t="inlineStr">
        <is>
          <t>http://www.shizuokaika.co.jp/</t>
        </is>
      </c>
      <c r="C219" s="24" t="inlineStr">
        <is>
          <t>118</t>
        </is>
      </c>
      <c r="D219" s="24" t="n">
        <v>1</v>
      </c>
    </row>
    <row r="220">
      <c r="A220" s="24" t="n">
        <v>216</v>
      </c>
      <c r="B220" s="25" t="inlineStr">
        <is>
          <t>https://www.navitime.co.jp/category/0516/28110/?tags=010447</t>
        </is>
      </c>
      <c r="C220" s="24" t="inlineStr">
        <is>
          <t>119</t>
        </is>
      </c>
      <c r="D220" s="24" t="n">
        <v>1</v>
      </c>
    </row>
    <row r="221">
      <c r="A221" s="24" t="n">
        <v>217</v>
      </c>
      <c r="B221" s="25" t="inlineStr">
        <is>
          <t>https://www.t-t-m.co.jp/TTM_WEB/profile</t>
        </is>
      </c>
      <c r="C221" s="24" t="inlineStr">
        <is>
          <t>120</t>
        </is>
      </c>
      <c r="D221" s="24" t="n">
        <v>1</v>
      </c>
    </row>
    <row r="222">
      <c r="A222" s="24" t="n">
        <v>218</v>
      </c>
      <c r="B222" s="25" t="inlineStr">
        <is>
          <t>https://touzai-iyouki.com/</t>
        </is>
      </c>
      <c r="C222" s="24" t="inlineStr">
        <is>
          <t>121</t>
        </is>
      </c>
      <c r="D222" s="24" t="n">
        <v>1</v>
      </c>
    </row>
    <row r="223">
      <c r="A223" s="24" t="n">
        <v>219</v>
      </c>
      <c r="B223" s="25" t="inlineStr">
        <is>
          <t>https://mynavi-agent.jp/corpdetail/12476/</t>
        </is>
      </c>
      <c r="C223" s="24" t="inlineStr">
        <is>
          <t>123</t>
        </is>
      </c>
      <c r="D223" s="24" t="n">
        <v>1</v>
      </c>
    </row>
    <row r="224">
      <c r="A224" s="24" t="n">
        <v>220</v>
      </c>
      <c r="B224" s="25" t="inlineStr">
        <is>
          <t>https://www.yagami.co.jp/company/profile/</t>
        </is>
      </c>
      <c r="C224" s="24" t="inlineStr">
        <is>
          <t>123</t>
        </is>
      </c>
      <c r="D224" s="24" t="n">
        <v>1</v>
      </c>
    </row>
    <row r="225">
      <c r="A225" s="24" t="n">
        <v>221</v>
      </c>
      <c r="B225" s="25" t="inlineStr">
        <is>
          <t>https://astis.co.jp/</t>
        </is>
      </c>
      <c r="C225" s="24" t="inlineStr">
        <is>
          <t>124</t>
        </is>
      </c>
      <c r="D225" s="24" t="n">
        <v>1</v>
      </c>
    </row>
    <row r="226">
      <c r="A226" s="24" t="n">
        <v>222</v>
      </c>
      <c r="B226" s="25" t="inlineStr">
        <is>
          <t>https://astis.co.jp/about/office/</t>
        </is>
      </c>
      <c r="C226" s="24" t="inlineStr">
        <is>
          <t>124</t>
        </is>
      </c>
      <c r="D226" s="24" t="n">
        <v>1</v>
      </c>
    </row>
    <row r="227">
      <c r="A227" s="24" t="n">
        <v>223</v>
      </c>
      <c r="B227" s="25" t="inlineStr">
        <is>
          <t>https://eiko165.co.jp/</t>
        </is>
      </c>
      <c r="C227" s="24" t="inlineStr">
        <is>
          <t>125</t>
        </is>
      </c>
      <c r="D227" s="24" t="n">
        <v>1</v>
      </c>
    </row>
    <row r="228">
      <c r="A228" s="24" t="n">
        <v>224</v>
      </c>
      <c r="B228" s="25" t="inlineStr">
        <is>
          <t>https://eiko165.co.jp/contact</t>
        </is>
      </c>
      <c r="C228" s="24" t="inlineStr">
        <is>
          <t>125</t>
        </is>
      </c>
      <c r="D228" s="24" t="n">
        <v>1</v>
      </c>
    </row>
    <row r="229">
      <c r="A229" s="24" t="n">
        <v>225</v>
      </c>
      <c r="B229" s="25" t="inlineStr">
        <is>
          <t>https://kitaishihon.com/company/2689/story</t>
        </is>
      </c>
      <c r="C229" s="24" t="inlineStr">
        <is>
          <t>128</t>
        </is>
      </c>
      <c r="D229" s="24" t="n">
        <v>1</v>
      </c>
    </row>
    <row r="230">
      <c r="A230" s="24" t="n">
        <v>226</v>
      </c>
      <c r="B230" s="25" t="inlineStr">
        <is>
          <t>http://www.kawanishi-md.co.jp/kw/about/</t>
        </is>
      </c>
      <c r="C230" s="24" t="inlineStr">
        <is>
          <t>128</t>
        </is>
      </c>
      <c r="D230" s="24" t="n">
        <v>1</v>
      </c>
    </row>
    <row r="231">
      <c r="A231" s="24" t="n">
        <v>227</v>
      </c>
      <c r="B231" s="25" t="inlineStr">
        <is>
          <t>https://www.nikkei.com/compass/company/sRwxtV33ViYqGAU9AffVch</t>
        </is>
      </c>
      <c r="C231" s="24" t="inlineStr">
        <is>
          <t>129</t>
        </is>
      </c>
      <c r="D231" s="24" t="n">
        <v>1</v>
      </c>
    </row>
    <row r="232">
      <c r="A232" s="24" t="n">
        <v>228</v>
      </c>
      <c r="B232" s="25" t="inlineStr">
        <is>
          <t>https://www.gogo-jobcafe-shimane.jp/job/company/907782</t>
        </is>
      </c>
      <c r="C232" s="24" t="inlineStr">
        <is>
          <t>130</t>
        </is>
      </c>
      <c r="D232" s="24" t="n">
        <v>1</v>
      </c>
    </row>
    <row r="233">
      <c r="A233" s="24" t="n">
        <v>229</v>
      </c>
      <c r="B233" s="25" t="inlineStr">
        <is>
          <t>https://shikokuiryoki.com/about/</t>
        </is>
      </c>
      <c r="C233" s="24" t="inlineStr">
        <is>
          <t>131</t>
        </is>
      </c>
      <c r="D233" s="24" t="n">
        <v>1</v>
      </c>
    </row>
    <row r="234">
      <c r="A234" s="24" t="n">
        <v>230</v>
      </c>
      <c r="B234" s="25" t="inlineStr">
        <is>
          <t>https://wskagawa.jp/index.php?exec=detail&amp;kigyo_key=13-0096&amp;prog=pub_kigyo</t>
        </is>
      </c>
      <c r="C234" s="24" t="inlineStr">
        <is>
          <t>131</t>
        </is>
      </c>
      <c r="D234" s="24" t="n">
        <v>1</v>
      </c>
    </row>
    <row r="235">
      <c r="A235" s="24" t="n">
        <v>231</v>
      </c>
      <c r="B235" s="25" t="inlineStr">
        <is>
          <t>https://sia-japan.com/company_list/731/</t>
        </is>
      </c>
      <c r="C235" s="24" t="inlineStr">
        <is>
          <t>131</t>
        </is>
      </c>
      <c r="D235" s="24" t="n">
        <v>1</v>
      </c>
    </row>
    <row r="236">
      <c r="A236" s="24" t="n">
        <v>232</v>
      </c>
      <c r="B236" s="25" t="inlineStr">
        <is>
          <t>https://shikokuiryoki.com/contact/</t>
        </is>
      </c>
      <c r="C236" s="24" t="inlineStr">
        <is>
          <t>131</t>
        </is>
      </c>
      <c r="D236" s="24" t="n">
        <v>1</v>
      </c>
    </row>
    <row r="237">
      <c r="A237" s="24" t="n">
        <v>233</v>
      </c>
      <c r="B237" s="25" t="inlineStr">
        <is>
          <t>https://t-iryoki.co.jp/</t>
        </is>
      </c>
      <c r="C237" s="24" t="inlineStr">
        <is>
          <t>133</t>
        </is>
      </c>
      <c r="D237" s="24" t="n">
        <v>1</v>
      </c>
    </row>
    <row r="238">
      <c r="A238" s="24" t="n">
        <v>234</v>
      </c>
      <c r="B238" s="25" t="inlineStr">
        <is>
          <t>https://sia-japan.com/company_list/751/</t>
        </is>
      </c>
      <c r="C238" s="24" t="inlineStr">
        <is>
          <t>133</t>
        </is>
      </c>
      <c r="D238" s="24" t="n">
        <v>1</v>
      </c>
    </row>
    <row r="239">
      <c r="A239" s="24" t="n">
        <v>235</v>
      </c>
      <c r="B239" s="25" t="inlineStr">
        <is>
          <t>https://www.actmedic.jp/</t>
        </is>
      </c>
      <c r="C239" s="24" t="inlineStr">
        <is>
          <t>134</t>
        </is>
      </c>
      <c r="D239" s="24" t="n">
        <v>1</v>
      </c>
    </row>
    <row r="240">
      <c r="A240" s="24" t="n">
        <v>236</v>
      </c>
      <c r="B240" s="25" t="inlineStr">
        <is>
          <t>https://www.actmedic.jp/contact</t>
        </is>
      </c>
      <c r="C240" s="24" t="inlineStr">
        <is>
          <t>134</t>
        </is>
      </c>
      <c r="D240" s="24" t="n">
        <v>1</v>
      </c>
    </row>
    <row r="241">
      <c r="A241" s="24" t="n">
        <v>237</v>
      </c>
      <c r="B241" s="25" t="inlineStr">
        <is>
          <t>https://baseconnect.in/companies/prefecture/e010a2b6-a345-4a52-b350-1ca592e384b8/keyword/a68873de-8c54-4a2c-820f-e04c8b93064c</t>
        </is>
      </c>
      <c r="C241" s="24" t="inlineStr">
        <is>
          <t>136</t>
        </is>
      </c>
      <c r="D241" s="24" t="n">
        <v>1</v>
      </c>
    </row>
    <row r="242">
      <c r="A242" s="24" t="n">
        <v>238</v>
      </c>
      <c r="B242" s="25" t="inlineStr">
        <is>
          <t>https://www.navitime.co.jp/category/0516/27128/?tags=010190</t>
        </is>
      </c>
      <c r="C242" s="24" t="inlineStr">
        <is>
          <t>139</t>
        </is>
      </c>
      <c r="D242" s="24" t="n">
        <v>1</v>
      </c>
    </row>
    <row r="243">
      <c r="A243" s="24" t="n">
        <v>239</v>
      </c>
      <c r="B243" s="25" t="inlineStr">
        <is>
          <t>http://www.mia-kyoto.gr.jp/members/ishitsubo.html</t>
        </is>
      </c>
      <c r="C243" s="24" t="inlineStr">
        <is>
          <t>141</t>
        </is>
      </c>
      <c r="D243" s="24" t="n">
        <v>1</v>
      </c>
    </row>
    <row r="244">
      <c r="A244" s="24" t="n">
        <v>240</v>
      </c>
      <c r="B244" s="25" t="inlineStr">
        <is>
          <t>http://www.mia-kyoto.gr.jp/members/kimedical.html</t>
        </is>
      </c>
      <c r="C244" s="24" t="inlineStr">
        <is>
          <t>143</t>
        </is>
      </c>
      <c r="D244" s="24" t="n">
        <v>1</v>
      </c>
    </row>
    <row r="245">
      <c r="A245" s="24" t="n">
        <v>241</v>
      </c>
      <c r="B245" s="25" t="inlineStr">
        <is>
          <t>https://www.kns-md.co.jp/</t>
        </is>
      </c>
      <c r="C245" s="24" t="inlineStr">
        <is>
          <t>145</t>
        </is>
      </c>
      <c r="D245" s="24" t="n">
        <v>1</v>
      </c>
    </row>
    <row r="246">
      <c r="A246" s="24" t="n">
        <v>242</v>
      </c>
      <c r="B246" s="25" t="inlineStr">
        <is>
          <t>https://www.kns-md.co.jp/contact/</t>
        </is>
      </c>
      <c r="C246" s="24" t="inlineStr">
        <is>
          <t>145</t>
        </is>
      </c>
      <c r="D246" s="24" t="n">
        <v>1</v>
      </c>
    </row>
    <row r="247">
      <c r="A247" s="24" t="n">
        <v>243</v>
      </c>
      <c r="B247" s="25" t="inlineStr">
        <is>
          <t>https://www.masudaika.co.jp/aboutus/</t>
        </is>
      </c>
      <c r="C247" s="24" t="inlineStr">
        <is>
          <t>147</t>
        </is>
      </c>
      <c r="D247" s="24" t="n">
        <v>1</v>
      </c>
    </row>
    <row r="248">
      <c r="A248" s="24" t="n">
        <v>244</v>
      </c>
      <c r="B248" s="25" t="inlineStr">
        <is>
          <t>https://sia-japan.com/company_list/690/</t>
        </is>
      </c>
      <c r="C248" s="24" t="inlineStr">
        <is>
          <t>147</t>
        </is>
      </c>
      <c r="D248" s="24" t="n">
        <v>1</v>
      </c>
    </row>
    <row r="249">
      <c r="A249" s="24" t="n">
        <v>245</v>
      </c>
      <c r="B249" s="25" t="inlineStr">
        <is>
          <t>https://www.nikkei.com/compass/search/Y2F0ZWdvcnk9Y29tcGFueSZyZWdpb249MjcmaW5kdXN0cnlTPTA1MzI</t>
        </is>
      </c>
      <c r="C249" s="24" t="inlineStr">
        <is>
          <t>148</t>
        </is>
      </c>
      <c r="D249" s="24" t="n">
        <v>1</v>
      </c>
    </row>
    <row r="250">
      <c r="A250" s="24" t="n">
        <v>246</v>
      </c>
      <c r="B250" s="25" t="inlineStr">
        <is>
          <t>http://mia-kyoto.gr.jp/members/minato.html</t>
        </is>
      </c>
      <c r="C250" s="24" t="inlineStr">
        <is>
          <t>149</t>
        </is>
      </c>
      <c r="D250" s="24" t="n">
        <v>1</v>
      </c>
    </row>
    <row r="251">
      <c r="A251" s="24" t="n">
        <v>247</v>
      </c>
      <c r="B251" s="25" t="inlineStr">
        <is>
          <t>https://www.minato-med.co.jp/company/office/tokyo/</t>
        </is>
      </c>
      <c r="C251" s="24" t="inlineStr">
        <is>
          <t>149</t>
        </is>
      </c>
      <c r="D251" s="24" t="n">
        <v>1</v>
      </c>
    </row>
    <row r="252">
      <c r="A252" s="24" t="n">
        <v>248</v>
      </c>
      <c r="B252" s="25" t="inlineStr">
        <is>
          <t>https://www.miyano.co.jp/business/iryo</t>
        </is>
      </c>
      <c r="C252" s="24" t="inlineStr">
        <is>
          <t>150</t>
        </is>
      </c>
      <c r="D252" s="24" t="n">
        <v>1</v>
      </c>
    </row>
    <row r="253">
      <c r="A253" s="24" t="n">
        <v>249</v>
      </c>
      <c r="B253" s="25" t="inlineStr">
        <is>
          <t>https://www.miyano.co.jp/contact</t>
        </is>
      </c>
      <c r="C253" s="24" t="inlineStr">
        <is>
          <t>150</t>
        </is>
      </c>
      <c r="D253" s="24" t="n">
        <v>1</v>
      </c>
    </row>
    <row r="254">
      <c r="A254" s="24" t="n">
        <v>250</v>
      </c>
      <c r="B254" s="25" t="inlineStr">
        <is>
          <t>https://baseconnect.in/companies/prefecture/d80b180e-5fd9-4082-8cdc-a510179a3475/keyword/14f3dcec-9cd5-4be5-84e1-ddccb7bd228c</t>
        </is>
      </c>
      <c r="C254" s="24" t="inlineStr">
        <is>
          <t>151</t>
        </is>
      </c>
      <c r="D254" s="24" t="n">
        <v>1</v>
      </c>
    </row>
    <row r="255">
      <c r="A255" s="24" t="n">
        <v>251</v>
      </c>
      <c r="B255" s="25" t="inlineStr">
        <is>
          <t>https://baseconnect.in/companies/prefecture/1d5a2479-736c-41d9-98fe-d43b8d447ca4/category/b2358a1c-c4c6-46f4-a0b1-dee3a1b30a0b</t>
        </is>
      </c>
      <c r="C255" s="24" t="inlineStr">
        <is>
          <t>152</t>
        </is>
      </c>
      <c r="D255" s="24" t="n">
        <v>1</v>
      </c>
    </row>
    <row r="256">
      <c r="A256" s="24" t="n">
        <v>252</v>
      </c>
      <c r="B256" s="25" t="inlineStr">
        <is>
          <t>https://baseconnect.in/companies/prefecture/63038c5a-e328-472b-b9cc-039738609ba7/keyword/89941b4e-2dd1-4848-8957-48af280a31e0</t>
        </is>
      </c>
      <c r="C256" s="24" t="inlineStr">
        <is>
          <t>153</t>
        </is>
      </c>
      <c r="D256" s="24" t="n">
        <v>1</v>
      </c>
    </row>
    <row r="257">
      <c r="A257" s="24" t="n">
        <v>253</v>
      </c>
      <c r="B257" s="25" t="inlineStr">
        <is>
          <t>http://www.mia-kyoto.gr.jp/members/sanshodo.html</t>
        </is>
      </c>
      <c r="C257" s="24" t="inlineStr">
        <is>
          <t>153</t>
        </is>
      </c>
      <c r="D257" s="24" t="n">
        <v>1</v>
      </c>
    </row>
    <row r="258">
      <c r="A258" s="24" t="n">
        <v>254</v>
      </c>
      <c r="B258" s="25" t="inlineStr">
        <is>
          <t>https://baseconnect.in/companies/prefecture/912d7b2d-41c2-4923-a5c1-6666f9834966/keyword/14f3dcec-9cd5-4be5-84e1-ddccb7bd228c</t>
        </is>
      </c>
      <c r="C258" s="24" t="inlineStr">
        <is>
          <t>155</t>
        </is>
      </c>
      <c r="D258" s="24" t="n">
        <v>1</v>
      </c>
    </row>
    <row r="259">
      <c r="A259" s="24" t="n">
        <v>255</v>
      </c>
      <c r="B259" s="25" t="inlineStr">
        <is>
          <t>http://www.mia-kyoto.gr.jp/members/umeno.html</t>
        </is>
      </c>
      <c r="C259" s="24" t="inlineStr">
        <is>
          <t>156</t>
        </is>
      </c>
      <c r="D259" s="24" t="n">
        <v>1</v>
      </c>
    </row>
    <row r="260">
      <c r="A260" s="24" t="n">
        <v>256</v>
      </c>
      <c r="B260" s="25" t="inlineStr">
        <is>
          <t>https://baseconnect.in/companies/prefecture/c59cfe5b-871c-44d1-8594-96d4a5882e4b/keyword/89941b4e-2dd1-4848-8957-48af280a31e0</t>
        </is>
      </c>
      <c r="C260" s="24" t="inlineStr">
        <is>
          <t>158</t>
        </is>
      </c>
      <c r="D260" s="24" t="n">
        <v>1</v>
      </c>
    </row>
    <row r="261">
      <c r="A261" s="24" t="n">
        <v>257</v>
      </c>
      <c r="B261" s="25" t="inlineStr">
        <is>
          <t>http://www.cmi.co.jp/privacy-policy/</t>
        </is>
      </c>
      <c r="C261" s="24" t="inlineStr">
        <is>
          <t>161</t>
        </is>
      </c>
      <c r="D261" s="24" t="n">
        <v>1</v>
      </c>
    </row>
    <row r="262">
      <c r="A262" s="24" t="n">
        <v>258</v>
      </c>
      <c r="B262" s="25" t="inlineStr">
        <is>
          <t>https://baseconnect.in/companies/prefecture/5b2e6d00-cfba-4d0b-850d-54757e4b4d7f/keyword/14f3dcec-9cd5-4be5-84e1-ddccb7bd228c</t>
        </is>
      </c>
      <c r="C262" s="24" t="inlineStr">
        <is>
          <t>163</t>
        </is>
      </c>
      <c r="D262" s="24" t="n">
        <v>1</v>
      </c>
    </row>
    <row r="263">
      <c r="A263" s="24" t="n">
        <v>259</v>
      </c>
      <c r="B263" s="25" t="inlineStr">
        <is>
          <t>http://www.citydo.com/prf/chiba/chiba/guide/sg/wg_list.html?c=0501005</t>
        </is>
      </c>
      <c r="C263" s="24" t="inlineStr">
        <is>
          <t>165</t>
        </is>
      </c>
      <c r="D263" s="24" t="n">
        <v>1</v>
      </c>
    </row>
    <row r="264">
      <c r="A264" s="24" t="n">
        <v>260</v>
      </c>
      <c r="B264" s="25" t="inlineStr">
        <is>
          <t>https://baseconnect.in/companies/keyword/14f3dcec-9cd5-4be5-84e1-ddccb7bd228c</t>
        </is>
      </c>
      <c r="C264" s="24" t="inlineStr">
        <is>
          <t>178</t>
        </is>
      </c>
      <c r="D264" s="24" t="n">
        <v>1</v>
      </c>
    </row>
    <row r="265">
      <c r="A265" s="24" t="n">
        <v>261</v>
      </c>
      <c r="B265" s="25" t="inlineStr">
        <is>
          <t>https://www.astemf.jp/company/officelist.php</t>
        </is>
      </c>
      <c r="C265" s="24" t="inlineStr">
        <is>
          <t>178</t>
        </is>
      </c>
      <c r="D265" s="24" t="n">
        <v>1</v>
      </c>
    </row>
    <row r="266">
      <c r="A266" s="24" t="n">
        <v>262</v>
      </c>
      <c r="B266" s="25" t="inlineStr">
        <is>
          <t>http://hachigou.co.jp/company.html</t>
        </is>
      </c>
      <c r="C266" s="24" t="inlineStr">
        <is>
          <t>181</t>
        </is>
      </c>
      <c r="D266" s="24" t="n">
        <v>1</v>
      </c>
    </row>
    <row r="267">
      <c r="A267" s="24" t="n">
        <v>263</v>
      </c>
      <c r="B267" s="25" t="inlineStr">
        <is>
          <t>https://www.nikkei.com/compass/company/ib4WUdvTL1TxuRMigwCfQh</t>
        </is>
      </c>
      <c r="C267" s="24" t="inlineStr">
        <is>
          <t>184</t>
        </is>
      </c>
      <c r="D267" s="24" t="n">
        <v>1</v>
      </c>
    </row>
    <row r="268">
      <c r="A268" s="24" t="n">
        <v>264</v>
      </c>
      <c r="B268" s="25" t="inlineStr">
        <is>
          <t>https://www.navitime.co.jp/category/0516/40/?tags=010190&amp;from=tag</t>
        </is>
      </c>
      <c r="C268" s="24" t="inlineStr">
        <is>
          <t>185</t>
        </is>
      </c>
      <c r="D268" s="24" t="n">
        <v>1</v>
      </c>
    </row>
    <row r="269">
      <c r="A269" s="24" t="n">
        <v>265</v>
      </c>
      <c r="B269" s="25" t="inlineStr">
        <is>
          <t>https://okinawa-medico.com/company/</t>
        </is>
      </c>
      <c r="C269" s="24" t="inlineStr">
        <is>
          <t>187</t>
        </is>
      </c>
      <c r="D269" s="24" t="n">
        <v>1</v>
      </c>
    </row>
    <row r="270">
      <c r="A270" s="24" t="n">
        <v>266</v>
      </c>
      <c r="B270" s="25" t="inlineStr">
        <is>
          <t>https://tenshoku.mynavi.jp/tohoku/list/i02090/</t>
        </is>
      </c>
      <c r="C270" s="24" t="inlineStr">
        <is>
          <t>193</t>
        </is>
      </c>
      <c r="D270" s="24" t="n">
        <v>1</v>
      </c>
    </row>
    <row r="271">
      <c r="A271" s="24" t="n">
        <v>267</v>
      </c>
      <c r="B271" s="25" t="inlineStr">
        <is>
          <t>https://hokkai-md.com/</t>
        </is>
      </c>
      <c r="C271" s="24" t="inlineStr">
        <is>
          <t>196</t>
        </is>
      </c>
      <c r="D271" s="24" t="n">
        <v>1</v>
      </c>
    </row>
    <row r="272">
      <c r="A272" s="24" t="n">
        <v>268</v>
      </c>
      <c r="B272" s="25" t="inlineStr">
        <is>
          <t>https://www.hurex.jp/column/company/717/</t>
        </is>
      </c>
      <c r="C272" s="24" t="inlineStr">
        <is>
          <t>197</t>
        </is>
      </c>
      <c r="D272" s="24" t="n">
        <v>1</v>
      </c>
    </row>
    <row r="273">
      <c r="A273" s="24" t="n">
        <v>269</v>
      </c>
      <c r="B273" s="25" t="inlineStr">
        <is>
          <t>https://www.hokutake.co.jp/company/kaisyagaiyo.html</t>
        </is>
      </c>
      <c r="C273" s="24" t="inlineStr">
        <is>
          <t>197</t>
        </is>
      </c>
      <c r="D273" s="24" t="n">
        <v>1</v>
      </c>
    </row>
    <row r="274">
      <c r="A274" s="24" t="n">
        <v>270</v>
      </c>
      <c r="B274" s="25" t="inlineStr">
        <is>
          <t>https://www.koseki.co.jp/</t>
        </is>
      </c>
      <c r="C274" s="24" t="inlineStr">
        <is>
          <t>198</t>
        </is>
      </c>
      <c r="D274" s="24" t="n">
        <v>1</v>
      </c>
    </row>
    <row r="275">
      <c r="A275" s="24" t="n">
        <v>271</v>
      </c>
      <c r="B275" s="25" t="inlineStr">
        <is>
          <t>https://www.koseki.co.jp/contact/</t>
        </is>
      </c>
      <c r="C275" s="24" t="inlineStr">
        <is>
          <t>198</t>
        </is>
      </c>
      <c r="D275" s="24" t="n">
        <v>1</v>
      </c>
    </row>
    <row r="276">
      <c r="A276" s="24" t="n">
        <v>272</v>
      </c>
      <c r="B276" s="25" t="inlineStr">
        <is>
          <t>https://maruki-ms.co.jp/</t>
        </is>
      </c>
      <c r="C276" s="24" t="inlineStr">
        <is>
          <t>201</t>
        </is>
      </c>
      <c r="D276" s="24" t="n">
        <v>1</v>
      </c>
    </row>
    <row r="277">
      <c r="A277" s="24" t="n">
        <v>273</v>
      </c>
      <c r="B277" s="25" t="inlineStr">
        <is>
          <t>https://maruki-ms.co.jp/office</t>
        </is>
      </c>
      <c r="C277" s="24" t="inlineStr">
        <is>
          <t>201</t>
        </is>
      </c>
      <c r="D277" s="24" t="n">
        <v>1</v>
      </c>
    </row>
    <row r="278">
      <c r="A278" s="24" t="n">
        <v>274</v>
      </c>
      <c r="B278" s="25" t="inlineStr">
        <is>
          <t>https://info.gbiz.go.jp/hojin/ichiran?hojinBango=6400001001554</t>
        </is>
      </c>
      <c r="C278" s="24" t="inlineStr">
        <is>
          <t>202</t>
        </is>
      </c>
      <c r="D278" s="24" t="n">
        <v>1</v>
      </c>
    </row>
    <row r="279">
      <c r="A279" s="24" t="n">
        <v>275</v>
      </c>
      <c r="B279" s="25" t="inlineStr">
        <is>
          <t>http://nanbu-irika.com/company/gaiyo.html</t>
        </is>
      </c>
      <c r="C279" s="24" t="inlineStr">
        <is>
          <t>203</t>
        </is>
      </c>
      <c r="D279" s="24" t="n">
        <v>1</v>
      </c>
    </row>
    <row r="280">
      <c r="A280" s="24" t="n">
        <v>276</v>
      </c>
      <c r="B280" s="25" t="inlineStr">
        <is>
          <t>https://san-ou.co.jp/company/</t>
        </is>
      </c>
      <c r="C280" s="24" t="inlineStr">
        <is>
          <t>205</t>
        </is>
      </c>
      <c r="D280" s="24" t="n">
        <v>1</v>
      </c>
    </row>
    <row r="281">
      <c r="A281" s="24" t="n">
        <v>277</v>
      </c>
      <c r="B281" s="25" t="inlineStr">
        <is>
          <t>https://san-ou.co.jp/contacts/</t>
        </is>
      </c>
      <c r="C281" s="24" t="inlineStr">
        <is>
          <t>205</t>
        </is>
      </c>
      <c r="D281" s="24" t="n">
        <v>1</v>
      </c>
    </row>
    <row r="282">
      <c r="A282" s="24" t="n">
        <v>278</v>
      </c>
      <c r="B282" s="25" t="inlineStr">
        <is>
          <t>https://www.shibataintech.co.jp/</t>
        </is>
      </c>
      <c r="C282" s="24" t="inlineStr">
        <is>
          <t>206</t>
        </is>
      </c>
      <c r="D282" s="24" t="n">
        <v>1</v>
      </c>
    </row>
    <row r="283">
      <c r="A283" s="24" t="n">
        <v>279</v>
      </c>
      <c r="B283" s="25" t="inlineStr">
        <is>
          <t>https://www.nikkei.com/compass/company/qXdeUEKA1xdNAfnfizWWaB</t>
        </is>
      </c>
      <c r="C283" s="24" t="inlineStr">
        <is>
          <t>207</t>
        </is>
      </c>
      <c r="D283" s="24" t="n">
        <v>1</v>
      </c>
    </row>
    <row r="284">
      <c r="A284" s="24" t="n">
        <v>280</v>
      </c>
      <c r="B284" s="25" t="inlineStr">
        <is>
          <t>https://townpage.goo.ne.jp/shopdetail.php?matomeid=019388011000000899</t>
        </is>
      </c>
      <c r="C284" s="24" t="inlineStr">
        <is>
          <t>207</t>
        </is>
      </c>
      <c r="D284" s="24" t="n">
        <v>1</v>
      </c>
    </row>
    <row r="285">
      <c r="A285" s="24" t="n">
        <v>281</v>
      </c>
      <c r="B285" s="25" t="inlineStr">
        <is>
          <t>https://www.tohoku-tmt.com/about/index.html</t>
        </is>
      </c>
      <c r="C285" s="24" t="inlineStr">
        <is>
          <t>208</t>
        </is>
      </c>
      <c r="D285" s="24" t="n">
        <v>1</v>
      </c>
    </row>
    <row r="286">
      <c r="A286" s="24" t="n">
        <v>282</v>
      </c>
      <c r="B286" s="25" t="inlineStr">
        <is>
          <t>https://www.hamc-kah.com/</t>
        </is>
      </c>
      <c r="C286" s="24" t="inlineStr">
        <is>
          <t>210</t>
        </is>
      </c>
      <c r="D286" s="24" t="n">
        <v>1</v>
      </c>
    </row>
    <row r="287">
      <c r="A287" s="24" t="n">
        <v>283</v>
      </c>
      <c r="B287" s="25" t="inlineStr">
        <is>
          <t>https://www.hamc-kah.com/info_sc/time.cgi</t>
        </is>
      </c>
      <c r="C287" s="24" t="inlineStr">
        <is>
          <t>210</t>
        </is>
      </c>
      <c r="D287" s="24" t="n">
        <v>1</v>
      </c>
    </row>
    <row r="288">
      <c r="A288" s="24" t="n">
        <v>284</v>
      </c>
      <c r="B288" s="25" t="inlineStr">
        <is>
          <t>https://dccpets.jp/clinictop/dcc-shimizutorisaka/</t>
        </is>
      </c>
      <c r="C288" s="24" t="inlineStr">
        <is>
          <t>211</t>
        </is>
      </c>
      <c r="D288" s="24" t="n">
        <v>1</v>
      </c>
    </row>
    <row r="289">
      <c r="A289" s="24" t="n">
        <v>285</v>
      </c>
      <c r="B289" s="25" t="inlineStr">
        <is>
          <t>http://www.nosai-nc.or.jp/gaiyou.html</t>
        </is>
      </c>
      <c r="C289" s="24" t="inlineStr">
        <is>
          <t>212</t>
        </is>
      </c>
      <c r="D289" s="24" t="n">
        <v>1</v>
      </c>
    </row>
    <row r="290">
      <c r="A290" s="24" t="n">
        <v>286</v>
      </c>
      <c r="B290" s="25" t="inlineStr">
        <is>
          <t>https://nosai-hiroshima.or.jp/access-kachiku/</t>
        </is>
      </c>
      <c r="C290" s="24" t="inlineStr">
        <is>
          <t>213</t>
        </is>
      </c>
      <c r="D290" s="24" t="n">
        <v>1</v>
      </c>
    </row>
    <row r="291">
      <c r="A291" s="24" t="n">
        <v>287</v>
      </c>
      <c r="B291" s="25" t="inlineStr">
        <is>
          <t>https://www.ok-nosai.or.jp/office/livestock.html</t>
        </is>
      </c>
      <c r="C291" s="24" t="inlineStr">
        <is>
          <t>215</t>
        </is>
      </c>
      <c r="D291" s="24" t="n">
        <v>1</v>
      </c>
    </row>
    <row r="292">
      <c r="A292" s="24" t="n">
        <v>288</v>
      </c>
      <c r="B292" s="25" t="inlineStr">
        <is>
          <t>https://www.ok-nosai.or.jp/</t>
        </is>
      </c>
      <c r="C292" s="24" t="inlineStr">
        <is>
          <t>215</t>
        </is>
      </c>
      <c r="D292" s="24" t="n">
        <v>1</v>
      </c>
    </row>
    <row r="293">
      <c r="A293" s="24" t="n">
        <v>289</v>
      </c>
      <c r="B293" s="25" t="inlineStr">
        <is>
          <t>https://ymgc-nosai.org/cms/page106.html</t>
        </is>
      </c>
      <c r="C293" s="24" t="inlineStr">
        <is>
          <t>218</t>
        </is>
      </c>
      <c r="D293" s="24" t="n">
        <v>1</v>
      </c>
    </row>
    <row r="294">
      <c r="A294" s="24" t="n">
        <v>290</v>
      </c>
      <c r="B294" s="25" t="inlineStr">
        <is>
          <t>https://www.okayama-amc.com/</t>
        </is>
      </c>
      <c r="C294" s="24" t="inlineStr">
        <is>
          <t>219</t>
        </is>
      </c>
      <c r="D294" s="24" t="n">
        <v>1</v>
      </c>
    </row>
    <row r="295">
      <c r="A295" s="24" t="n">
        <v>291</v>
      </c>
      <c r="B295" s="25" t="inlineStr">
        <is>
          <t>https://ahk-cuare.com/</t>
        </is>
      </c>
      <c r="C295" s="24" t="inlineStr">
        <is>
          <t>220</t>
        </is>
      </c>
      <c r="D295" s="24" t="n">
        <v>1</v>
      </c>
    </row>
    <row r="296">
      <c r="A296" s="24" t="n">
        <v>292</v>
      </c>
      <c r="B296" s="25" t="inlineStr">
        <is>
          <t>https://ahk-cuare.com/%E4%BA%8B%E6%A5%AD%E7%B4%B9%E4%BB%8B%E3%83%88%E3%83%83%E3%83%97/%E3%81%A9%E3%81%86%E3%81%B6%E3%81%A4%E7%97%85%E9%99%A2%E4%BA%AC%E9%83%BD%E3%82%B0%E3%83%AB%E3%83%BC%E3%83%97%E4%BA%8B%E6%A5%AD/product%E4%BA%8B%E6%A5%AD/</t>
        </is>
      </c>
      <c r="C296" s="24" t="inlineStr">
        <is>
          <t>220</t>
        </is>
      </c>
      <c r="D296" s="24" t="n">
        <v>1</v>
      </c>
    </row>
    <row r="297">
      <c r="A297" s="24" t="n">
        <v>293</v>
      </c>
      <c r="B297" s="25" t="inlineStr">
        <is>
          <t>https://www.kobe-np.co.jp/info/prtimes/202602/c170012_r8.shtml</t>
        </is>
      </c>
      <c r="C297" s="24" t="inlineStr">
        <is>
          <t>221</t>
        </is>
      </c>
      <c r="D297" s="24" t="n">
        <v>1</v>
      </c>
    </row>
    <row r="298">
      <c r="A298" s="24" t="n">
        <v>294</v>
      </c>
      <c r="B298" s="25" t="inlineStr">
        <is>
          <t>https://www.ondeck.jp/library/interview/20526</t>
        </is>
      </c>
      <c r="C298" s="24" t="inlineStr">
        <is>
          <t>221</t>
        </is>
      </c>
      <c r="D298" s="24" t="n">
        <v>1</v>
      </c>
    </row>
    <row r="299">
      <c r="A299" s="24" t="n">
        <v>295</v>
      </c>
      <c r="B299" s="25" t="inlineStr">
        <is>
          <t>https://www.elsa-hp.com/contact/</t>
        </is>
      </c>
      <c r="C299" s="24" t="inlineStr">
        <is>
          <t>221</t>
        </is>
      </c>
      <c r="D299" s="24" t="n">
        <v>1</v>
      </c>
    </row>
    <row r="300">
      <c r="A300" s="24" t="n">
        <v>296</v>
      </c>
      <c r="B300" s="25" t="inlineStr">
        <is>
          <t>https://hadukikai.co.jp/group_hosp/hyougo/</t>
        </is>
      </c>
      <c r="C300" s="24" t="inlineStr">
        <is>
          <t>222</t>
        </is>
      </c>
      <c r="D300" s="24" t="n">
        <v>1</v>
      </c>
    </row>
    <row r="301">
      <c r="A301" s="24" t="n">
        <v>297</v>
      </c>
      <c r="B301" s="25" t="inlineStr">
        <is>
          <t>https://hadukikai.co.jp/info/</t>
        </is>
      </c>
      <c r="C301" s="24" t="inlineStr">
        <is>
          <t>222</t>
        </is>
      </c>
      <c r="D301" s="24" t="n">
        <v>1</v>
      </c>
    </row>
    <row r="302">
      <c r="A302" s="24" t="n">
        <v>298</v>
      </c>
      <c r="B302" s="25" t="inlineStr">
        <is>
          <t>https://doubutsuyakan.jp/about.html</t>
        </is>
      </c>
      <c r="C302" s="24" t="inlineStr">
        <is>
          <t>223</t>
        </is>
      </c>
      <c r="D302" s="24" t="n">
        <v>1</v>
      </c>
    </row>
    <row r="303">
      <c r="A303" s="24" t="n">
        <v>299</v>
      </c>
      <c r="B303" s="25" t="inlineStr">
        <is>
          <t>https://edinetdb.jp/company/E39640/text?fy=2024</t>
        </is>
      </c>
      <c r="C303" s="24" t="inlineStr">
        <is>
          <t>224</t>
        </is>
      </c>
      <c r="D303" s="24" t="n">
        <v>1</v>
      </c>
    </row>
    <row r="304">
      <c r="A304" s="24" t="n">
        <v>300</v>
      </c>
      <c r="B304" s="25" t="inlineStr">
        <is>
          <t>https://wolveshand.jp/ir/</t>
        </is>
      </c>
      <c r="C304" s="24" t="inlineStr">
        <is>
          <t>224</t>
        </is>
      </c>
      <c r="D304" s="24" t="n">
        <v>1</v>
      </c>
    </row>
    <row r="305">
      <c r="A305" s="24" t="n">
        <v>301</v>
      </c>
      <c r="B305" s="25" t="inlineStr">
        <is>
          <t>https://allone-ah.co.jp/company</t>
        </is>
      </c>
      <c r="C305" s="24" t="inlineStr">
        <is>
          <t>225</t>
        </is>
      </c>
      <c r="D305" s="24" t="n">
        <v>1</v>
      </c>
    </row>
    <row r="306">
      <c r="A306" s="24" t="n">
        <v>302</v>
      </c>
      <c r="B306" s="25" t="inlineStr">
        <is>
          <t>https://allone-ah.co.jp/terms</t>
        </is>
      </c>
      <c r="C306" s="24" t="inlineStr">
        <is>
          <t>225</t>
        </is>
      </c>
      <c r="D306" s="24" t="n">
        <v>1</v>
      </c>
    </row>
    <row r="307">
      <c r="A307" s="24" t="n">
        <v>303</v>
      </c>
      <c r="B307" s="25" t="inlineStr">
        <is>
          <t>https://allone-ah.co.jp/contact</t>
        </is>
      </c>
      <c r="C307" s="24" t="inlineStr">
        <is>
          <t>225</t>
        </is>
      </c>
      <c r="D307" s="24" t="n">
        <v>1</v>
      </c>
    </row>
    <row r="308">
      <c r="A308" s="24" t="n">
        <v>304</v>
      </c>
      <c r="B308" s="25" t="inlineStr">
        <is>
          <t>https://www.aitom.jp/about/</t>
        </is>
      </c>
      <c r="C308" s="24" t="inlineStr">
        <is>
          <t>226</t>
        </is>
      </c>
      <c r="D308" s="24" t="n">
        <v>1</v>
      </c>
    </row>
    <row r="309">
      <c r="A309" s="24" t="n">
        <v>305</v>
      </c>
      <c r="B309" s="25" t="inlineStr">
        <is>
          <t>https://www.ondeck.jp/library/interview/20468</t>
        </is>
      </c>
      <c r="C309" s="24" t="inlineStr">
        <is>
          <t>226</t>
        </is>
      </c>
      <c r="D309" s="24" t="n">
        <v>1</v>
      </c>
    </row>
    <row r="310">
      <c r="A310" s="24" t="n">
        <v>306</v>
      </c>
      <c r="B310" s="25" t="inlineStr">
        <is>
          <t>https://www.anicom-pafe.com/hospital/openingsupport.html</t>
        </is>
      </c>
      <c r="C310" s="24" t="inlineStr">
        <is>
          <t>227</t>
        </is>
      </c>
      <c r="D310" s="24" t="n">
        <v>1</v>
      </c>
    </row>
    <row r="311">
      <c r="A311" s="24" t="n">
        <v>307</v>
      </c>
      <c r="B311" s="25" t="inlineStr">
        <is>
          <t>https://www.anicom-pafe.com/inquiry.html</t>
        </is>
      </c>
      <c r="C311" s="24" t="inlineStr">
        <is>
          <t>227</t>
        </is>
      </c>
      <c r="D311" s="24" t="n">
        <v>1</v>
      </c>
    </row>
    <row r="312">
      <c r="A312" s="24" t="n">
        <v>308</v>
      </c>
      <c r="B312" s="25" t="inlineStr">
        <is>
          <t>https://www.fanimedic-ah.com/group-hospitals/</t>
        </is>
      </c>
      <c r="C312" s="24" t="inlineStr">
        <is>
          <t>228</t>
        </is>
      </c>
      <c r="D312" s="24" t="n">
        <v>1</v>
      </c>
    </row>
    <row r="313">
      <c r="A313" s="24" t="n">
        <v>309</v>
      </c>
      <c r="B313" s="25" t="inlineStr">
        <is>
          <t>https://www.fanimedic.com/about-us.php</t>
        </is>
      </c>
      <c r="C313" s="24" t="inlineStr">
        <is>
          <t>228</t>
        </is>
      </c>
      <c r="D313" s="24" t="n">
        <v>1</v>
      </c>
    </row>
    <row r="314">
      <c r="A314" s="24" t="n">
        <v>310</v>
      </c>
      <c r="B314" s="25" t="inlineStr">
        <is>
          <t>https://inagakiah.com/</t>
        </is>
      </c>
      <c r="C314" s="24" t="inlineStr">
        <is>
          <t>229</t>
        </is>
      </c>
      <c r="D314" s="24" t="n">
        <v>1</v>
      </c>
    </row>
    <row r="315">
      <c r="A315" s="24" t="n">
        <v>311</v>
      </c>
      <c r="B315" s="25" t="inlineStr">
        <is>
          <t>https://inagakiah.com/contact/</t>
        </is>
      </c>
      <c r="C315" s="24" t="inlineStr">
        <is>
          <t>229</t>
        </is>
      </c>
      <c r="D315" s="24" t="n">
        <v>1</v>
      </c>
    </row>
    <row r="316">
      <c r="A316" s="24" t="n">
        <v>312</v>
      </c>
      <c r="B316" s="25" t="inlineStr">
        <is>
          <t>https://www.primo-ah.com/</t>
        </is>
      </c>
      <c r="C316" s="24" t="inlineStr">
        <is>
          <t>230</t>
        </is>
      </c>
      <c r="D316" s="24" t="n">
        <v>1</v>
      </c>
    </row>
    <row r="317">
      <c r="A317" s="24" t="n">
        <v>313</v>
      </c>
      <c r="B317" s="25" t="inlineStr">
        <is>
          <t>https://sendaihigashi.jpbvet.com/</t>
        </is>
      </c>
      <c r="C317" s="24" t="inlineStr">
        <is>
          <t>230</t>
        </is>
      </c>
      <c r="D317" s="24" t="n">
        <v>1</v>
      </c>
    </row>
    <row r="318">
      <c r="A318" s="24" t="n">
        <v>314</v>
      </c>
      <c r="B318" s="25" t="inlineStr">
        <is>
          <t>https://www.primo-ah.com/about/</t>
        </is>
      </c>
      <c r="C318" s="24" t="inlineStr">
        <is>
          <t>230</t>
        </is>
      </c>
      <c r="D318" s="24" t="n">
        <v>1</v>
      </c>
    </row>
    <row r="319">
      <c r="A319" s="24" t="n">
        <v>315</v>
      </c>
      <c r="B319" s="25" t="inlineStr">
        <is>
          <t>https://lifemate-vh.com/</t>
        </is>
      </c>
      <c r="C319" s="24" t="inlineStr">
        <is>
          <t>231</t>
        </is>
      </c>
      <c r="D319" s="24" t="n">
        <v>1</v>
      </c>
    </row>
    <row r="320">
      <c r="A320" s="24" t="n">
        <v>316</v>
      </c>
      <c r="B320" s="25" t="inlineStr">
        <is>
          <t>https://lifemate-vh.com/company-info/</t>
        </is>
      </c>
      <c r="C320" s="24" t="inlineStr">
        <is>
          <t>231</t>
        </is>
      </c>
      <c r="D320" s="24" t="n">
        <v>1</v>
      </c>
    </row>
    <row r="321">
      <c r="A321" s="24" t="n">
        <v>317</v>
      </c>
      <c r="B321" s="25" t="inlineStr">
        <is>
          <t>https://bayside.minami-ahg.jp/</t>
        </is>
      </c>
      <c r="C321" s="24" t="inlineStr">
        <is>
          <t>232</t>
        </is>
      </c>
      <c r="D321" s="24" t="n">
        <v>1</v>
      </c>
    </row>
    <row r="322">
      <c r="A322" s="24" t="n">
        <v>318</v>
      </c>
      <c r="B322" s="25" t="inlineStr">
        <is>
          <t>https://www.minami-ahg.jp/service/index.html</t>
        </is>
      </c>
      <c r="C322" s="24" t="inlineStr">
        <is>
          <t>232</t>
        </is>
      </c>
      <c r="D322" s="24" t="n">
        <v>1</v>
      </c>
    </row>
    <row r="323">
      <c r="A323" s="24" t="n">
        <v>319</v>
      </c>
      <c r="B323" s="25" t="inlineStr">
        <is>
          <t>https://prtimes.jp/main/html/rd/p/000000001.000183725.html</t>
        </is>
      </c>
      <c r="C323" s="24" t="inlineStr">
        <is>
          <t>233</t>
        </is>
      </c>
      <c r="D323" s="24" t="n">
        <v>1</v>
      </c>
    </row>
    <row r="324">
      <c r="A324" s="24" t="n">
        <v>320</v>
      </c>
      <c r="B324" s="25" t="inlineStr">
        <is>
          <t>https://www.jpac.jp/</t>
        </is>
      </c>
      <c r="C324" s="24" t="inlineStr">
        <is>
          <t>233</t>
        </is>
      </c>
      <c r="D324" s="24" t="n">
        <v>1</v>
      </c>
    </row>
    <row r="325">
      <c r="A325" s="24" t="n">
        <v>321</v>
      </c>
      <c r="B325" s="25" t="inlineStr">
        <is>
          <t>https://prtimes.jp/main/html/rd/p/000000007.000170012.html</t>
        </is>
      </c>
      <c r="C325" s="24" t="inlineStr">
        <is>
          <t>233</t>
        </is>
      </c>
      <c r="D325" s="24" t="n">
        <v>1</v>
      </c>
    </row>
    <row r="326">
      <c r="A326" s="24" t="n">
        <v>322</v>
      </c>
      <c r="B326" s="25" t="inlineStr">
        <is>
          <t>https://nosai-chiba.or.jp/soshiki/shinryo/</t>
        </is>
      </c>
      <c r="C326" s="24" t="inlineStr">
        <is>
          <t>234</t>
        </is>
      </c>
      <c r="D326" s="24" t="n">
        <v>1</v>
      </c>
    </row>
    <row r="327">
      <c r="A327" s="24" t="n">
        <v>323</v>
      </c>
      <c r="B327" s="25" t="inlineStr">
        <is>
          <t>https://nosai-chiba.or.jp/</t>
        </is>
      </c>
      <c r="C327" s="24" t="inlineStr">
        <is>
          <t>234</t>
        </is>
      </c>
      <c r="D327" s="24" t="n">
        <v>1</v>
      </c>
    </row>
    <row r="328">
      <c r="A328" s="24" t="n">
        <v>324</v>
      </c>
      <c r="B328" s="25" t="inlineStr">
        <is>
          <t>https://ibaraki.lin.gr.jp/chikusan-ibaraki/24-11/11.html</t>
        </is>
      </c>
      <c r="C328" s="24" t="inlineStr">
        <is>
          <t>236</t>
        </is>
      </c>
      <c r="D328" s="24" t="n">
        <v>1</v>
      </c>
    </row>
    <row r="329">
      <c r="A329" s="24" t="n">
        <v>325</v>
      </c>
      <c r="B329" s="25" t="inlineStr">
        <is>
          <t>https://medical-space.co.jp/works/area/</t>
        </is>
      </c>
      <c r="C329" s="24" t="inlineStr">
        <is>
          <t>238</t>
        </is>
      </c>
      <c r="D329" s="24" t="n">
        <v>1</v>
      </c>
    </row>
    <row r="330">
      <c r="A330" s="24" t="n">
        <v>326</v>
      </c>
      <c r="B330" s="25" t="inlineStr">
        <is>
          <t>https://otakibashi.com/information.php</t>
        </is>
      </c>
      <c r="C330" s="24" t="inlineStr">
        <is>
          <t>238</t>
        </is>
      </c>
      <c r="D330" s="24" t="n">
        <v>1</v>
      </c>
    </row>
    <row r="331">
      <c r="A331" s="24" t="n">
        <v>327</v>
      </c>
      <c r="B331" s="25" t="inlineStr">
        <is>
          <t>https://www.vcajapan.com/</t>
        </is>
      </c>
      <c r="C331" s="24" t="inlineStr">
        <is>
          <t>239</t>
        </is>
      </c>
      <c r="D331" s="24" t="n">
        <v>1</v>
      </c>
    </row>
    <row r="332">
      <c r="A332" s="24" t="n">
        <v>328</v>
      </c>
      <c r="B332" s="25" t="inlineStr">
        <is>
          <t>https://www.vcajapan.com/privacy/</t>
        </is>
      </c>
      <c r="C332" s="24" t="inlineStr">
        <is>
          <t>239</t>
        </is>
      </c>
      <c r="D332" s="24" t="n">
        <v>1</v>
      </c>
    </row>
    <row r="333">
      <c r="A333" s="24" t="n">
        <v>329</v>
      </c>
      <c r="B333" s="25" t="inlineStr">
        <is>
          <t>https://ahhd.jp/I0000019</t>
        </is>
      </c>
      <c r="C333" s="24" t="inlineStr">
        <is>
          <t>240</t>
        </is>
      </c>
      <c r="D333" s="24" t="n">
        <v>1</v>
      </c>
    </row>
    <row r="334">
      <c r="A334" s="24" t="n">
        <v>330</v>
      </c>
      <c r="B334" s="25" t="inlineStr">
        <is>
          <t>https://globalpetindustry.com/news/l-catterton-invests-japanese-vet-sector/</t>
        </is>
      </c>
      <c r="C334" s="24" t="inlineStr">
        <is>
          <t>240</t>
        </is>
      </c>
      <c r="D334" s="24" t="n">
        <v>1</v>
      </c>
    </row>
    <row r="335">
      <c r="A335" s="24" t="n">
        <v>331</v>
      </c>
      <c r="B335" s="25" t="inlineStr">
        <is>
          <t>https://withmal.co.jp/contact/</t>
        </is>
      </c>
      <c r="C335" s="24" t="inlineStr">
        <is>
          <t>240</t>
        </is>
      </c>
      <c r="D335" s="24" t="n">
        <v>1</v>
      </c>
    </row>
    <row r="336">
      <c r="A336" s="24" t="n">
        <v>332</v>
      </c>
      <c r="B336" s="25" t="inlineStr">
        <is>
          <t>https://and-vet-ah.com/</t>
        </is>
      </c>
      <c r="C336" s="24" t="inlineStr">
        <is>
          <t>241</t>
        </is>
      </c>
      <c r="D336" s="24" t="n">
        <v>1</v>
      </c>
    </row>
    <row r="337">
      <c r="A337" s="24" t="n">
        <v>333</v>
      </c>
      <c r="B337" s="25" t="inlineStr">
        <is>
          <t>https://compalyze.co.jp/company/1011501027422</t>
        </is>
      </c>
      <c r="C337" s="24" t="inlineStr">
        <is>
          <t>241</t>
        </is>
      </c>
      <c r="D337" s="24" t="n">
        <v>1</v>
      </c>
    </row>
    <row r="338">
      <c r="A338" s="24" t="n">
        <v>334</v>
      </c>
      <c r="B338" s="25" t="inlineStr">
        <is>
          <t>https://and-vet.com/blog/%E6%A0%AA%E5%BC%8F%E4%BC%9A%E7%A4%BE%E3%82%B8%E3%83%A5%E3%82%A6%E3%83%81%E3%82%AF%E3%81%AE%E4%B8%80%E9%83%A8%E6%A0%AA%E5%BC%8F%E5%8F%96%E5%BE%97%E3%81%8A%E3%82%88%E3%81%B3%E8%A3%BD%E8%96%AC%E5%8D%B8/</t>
        </is>
      </c>
      <c r="C338" s="24" t="inlineStr">
        <is>
          <t>241</t>
        </is>
      </c>
      <c r="D338" s="24" t="n">
        <v>1</v>
      </c>
    </row>
    <row r="339">
      <c r="A339" s="24" t="n">
        <v>335</v>
      </c>
      <c r="B339" s="25" t="inlineStr">
        <is>
          <t>https://fukuoka-ahg.jp/group/</t>
        </is>
      </c>
      <c r="C339" s="24" t="inlineStr">
        <is>
          <t>242</t>
        </is>
      </c>
      <c r="D339" s="24" t="n">
        <v>1</v>
      </c>
    </row>
    <row r="340">
      <c r="A340" s="24" t="n">
        <v>336</v>
      </c>
      <c r="B340" s="25" t="inlineStr">
        <is>
          <t>https://f-dic.com/</t>
        </is>
      </c>
      <c r="C340" s="24" t="inlineStr">
        <is>
          <t>242</t>
        </is>
      </c>
      <c r="D340" s="24" t="n">
        <v>1</v>
      </c>
    </row>
    <row r="341">
      <c r="A341" s="24" t="n">
        <v>337</v>
      </c>
      <c r="B341" s="25" t="inlineStr">
        <is>
          <t>https://www.nosai46.jp/kagoshima/</t>
        </is>
      </c>
      <c r="C341" s="24" t="inlineStr">
        <is>
          <t>243</t>
        </is>
      </c>
      <c r="D341" s="24" t="n">
        <v>1</v>
      </c>
    </row>
    <row r="342">
      <c r="A342" s="24" t="n">
        <v>338</v>
      </c>
      <c r="B342" s="25" t="inlineStr">
        <is>
          <t>http://www.nosai.or.jp/mt6/2022/01/post-6662.html</t>
        </is>
      </c>
      <c r="C342" s="24" t="inlineStr">
        <is>
          <t>243</t>
        </is>
      </c>
      <c r="D342" s="24" t="n">
        <v>1</v>
      </c>
    </row>
    <row r="343">
      <c r="A343" s="24" t="n">
        <v>339</v>
      </c>
      <c r="B343" s="25" t="inlineStr">
        <is>
          <t>https://www.nosai46.jp/kagoshima/honsho/</t>
        </is>
      </c>
      <c r="C343" s="24" t="inlineStr">
        <is>
          <t>243</t>
        </is>
      </c>
      <c r="D343" s="24" t="n">
        <v>1</v>
      </c>
    </row>
    <row r="344">
      <c r="A344" s="24" t="n">
        <v>340</v>
      </c>
      <c r="B344" s="25" t="inlineStr">
        <is>
          <t>https://www.nosai.or.jp/nosai_kasou/juuishi/kyusyu_okinawa.html</t>
        </is>
      </c>
      <c r="C344" s="24" t="inlineStr">
        <is>
          <t>244</t>
        </is>
      </c>
      <c r="D344" s="24" t="n">
        <v>1</v>
      </c>
    </row>
    <row r="345">
      <c r="A345" s="24" t="n">
        <v>341</v>
      </c>
      <c r="B345" s="25" t="inlineStr">
        <is>
          <t>https://nosai-kumamoto.or.jp/nosai/access/</t>
        </is>
      </c>
      <c r="C345" s="24" t="inlineStr">
        <is>
          <t>244</t>
        </is>
      </c>
      <c r="D345" s="24" t="n">
        <v>1</v>
      </c>
    </row>
    <row r="346">
      <c r="A346" s="24" t="n">
        <v>342</v>
      </c>
      <c r="B346" s="25" t="inlineStr">
        <is>
          <t>https://nosai-miyazakiken.jp/veterinarian/</t>
        </is>
      </c>
      <c r="C346" s="24" t="inlineStr">
        <is>
          <t>245</t>
        </is>
      </c>
      <c r="D346" s="24" t="n">
        <v>1</v>
      </c>
    </row>
    <row r="347">
      <c r="A347" s="24" t="n">
        <v>343</v>
      </c>
      <c r="B347" s="25" t="inlineStr">
        <is>
          <t>https://www.nosai-ngs.jp/list.html</t>
        </is>
      </c>
      <c r="C347" s="24" t="inlineStr">
        <is>
          <t>246</t>
        </is>
      </c>
      <c r="D347" s="24" t="n">
        <v>1</v>
      </c>
    </row>
    <row r="348">
      <c r="A348" s="24" t="n">
        <v>344</v>
      </c>
      <c r="B348" s="25" t="inlineStr">
        <is>
          <t>https://www.nosai-ngs.jp/</t>
        </is>
      </c>
      <c r="C348" s="24" t="inlineStr">
        <is>
          <t>246</t>
        </is>
      </c>
      <c r="D348" s="24" t="n">
        <v>1</v>
      </c>
    </row>
    <row r="349">
      <c r="A349" s="24" t="n">
        <v>345</v>
      </c>
      <c r="B349" s="25" t="inlineStr">
        <is>
          <t>https://www.nosai-oita.jp/kachikushinryojo</t>
        </is>
      </c>
      <c r="C349" s="24" t="inlineStr">
        <is>
          <t>247</t>
        </is>
      </c>
      <c r="D349" s="24" t="n">
        <v>1</v>
      </c>
    </row>
    <row r="350">
      <c r="A350" s="24" t="n">
        <v>346</v>
      </c>
      <c r="B350" s="25" t="inlineStr">
        <is>
          <t>https://www.nosai-oita.jp/</t>
        </is>
      </c>
      <c r="C350" s="24" t="inlineStr">
        <is>
          <t>247</t>
        </is>
      </c>
      <c r="D350" s="24" t="n">
        <v>1</v>
      </c>
    </row>
    <row r="351">
      <c r="A351" s="24" t="n">
        <v>347</v>
      </c>
      <c r="B351" s="25" t="inlineStr">
        <is>
          <t>https://nosai-okinawa.jp/clinic/</t>
        </is>
      </c>
      <c r="C351" s="24" t="inlineStr">
        <is>
          <t>248</t>
        </is>
      </c>
      <c r="D351" s="24" t="n">
        <v>1</v>
      </c>
    </row>
    <row r="352">
      <c r="A352" s="24" t="n">
        <v>348</v>
      </c>
      <c r="B352" s="25" t="inlineStr">
        <is>
          <t>https://www.halleluya-vet.net/aboutus</t>
        </is>
      </c>
      <c r="C352" s="24" t="inlineStr">
        <is>
          <t>250</t>
        </is>
      </c>
      <c r="D352" s="24" t="n">
        <v>1</v>
      </c>
    </row>
    <row r="353">
      <c r="A353" s="24" t="n">
        <v>349</v>
      </c>
      <c r="B353" s="25" t="inlineStr">
        <is>
          <t>https://midori-no-mori.jp/</t>
        </is>
      </c>
      <c r="C353" s="24" t="inlineStr">
        <is>
          <t>251</t>
        </is>
      </c>
      <c r="D353" s="24" t="n">
        <v>1</v>
      </c>
    </row>
    <row r="354">
      <c r="A354" s="24" t="n">
        <v>350</v>
      </c>
      <c r="B354" s="25" t="inlineStr">
        <is>
          <t>https://midori-no-mori.jp/kyokushin</t>
        </is>
      </c>
      <c r="C354" s="24" t="inlineStr">
        <is>
          <t>251</t>
        </is>
      </c>
      <c r="D354" s="24" t="n">
        <v>1</v>
      </c>
    </row>
    <row r="355">
      <c r="A355" s="24" t="n">
        <v>351</v>
      </c>
      <c r="B355" s="25" t="inlineStr">
        <is>
          <t>http://www.nosai-aomori.or.jp/wp-content/uploads/2025/08/4e705eaea4a622fbfd5c63b338189b7d.pdf</t>
        </is>
      </c>
      <c r="C355" s="24" t="inlineStr">
        <is>
          <t>252</t>
        </is>
      </c>
      <c r="D355" s="24" t="n">
        <v>1</v>
      </c>
    </row>
    <row r="356">
      <c r="A356" s="24" t="n">
        <v>352</v>
      </c>
      <c r="B356" s="25" t="inlineStr">
        <is>
          <t>http://www.nosai-aomori.or.jp/access/</t>
        </is>
      </c>
      <c r="C356" s="24" t="inlineStr">
        <is>
          <t>252</t>
        </is>
      </c>
      <c r="D356" s="24" t="n">
        <v>1</v>
      </c>
    </row>
    <row r="357">
      <c r="A357" s="24" t="n">
        <v>353</v>
      </c>
      <c r="B357" s="25" t="inlineStr">
        <is>
          <t>https://fukushima-nosainet.jp/outline/out-c/out-c-c</t>
        </is>
      </c>
      <c r="C357" s="24" t="inlineStr">
        <is>
          <t>253</t>
        </is>
      </c>
      <c r="D357" s="24" t="n">
        <v>1</v>
      </c>
    </row>
    <row r="358">
      <c r="A358" s="24" t="n">
        <v>354</v>
      </c>
      <c r="B358" s="25" t="inlineStr">
        <is>
          <t>http://www.nosai.or.jp/nosai_kasou/nosai_page11.html</t>
        </is>
      </c>
      <c r="C358" s="24" t="inlineStr">
        <is>
          <t>253</t>
        </is>
      </c>
      <c r="D358" s="24" t="n">
        <v>1</v>
      </c>
    </row>
    <row r="359">
      <c r="A359" s="24" t="n">
        <v>355</v>
      </c>
      <c r="B359" s="25" t="inlineStr">
        <is>
          <t>https://www.nosai-do.or.jp/about/overview/</t>
        </is>
      </c>
      <c r="C359" s="24" t="inlineStr">
        <is>
          <t>254</t>
        </is>
      </c>
      <c r="D359" s="24" t="n">
        <v>1</v>
      </c>
    </row>
    <row r="360">
      <c r="A360" s="24" t="n">
        <v>356</v>
      </c>
      <c r="B360" s="25" t="inlineStr">
        <is>
          <t>https://www.nosai-do.or.jp/contact/</t>
        </is>
      </c>
      <c r="C360" s="24" t="inlineStr">
        <is>
          <t>254</t>
        </is>
      </c>
      <c r="D360" s="24" t="n">
        <v>1</v>
      </c>
    </row>
    <row r="361">
      <c r="A361" s="24" t="n">
        <v>357</v>
      </c>
      <c r="B361" s="25" t="inlineStr">
        <is>
          <t>https://www.nosaimiyagi.or.jp/outline/</t>
        </is>
      </c>
      <c r="C361" s="24" t="inlineStr">
        <is>
          <t>256</t>
        </is>
      </c>
      <c r="D361" s="24" t="n">
        <v>1</v>
      </c>
    </row>
    <row r="362">
      <c r="A362" s="24" t="n">
        <v>358</v>
      </c>
      <c r="B362" s="25" t="inlineStr">
        <is>
          <t>https://www.nosaimiyagi.or.jp/contact/</t>
        </is>
      </c>
      <c r="C362" s="24" t="inlineStr">
        <is>
          <t>256</t>
        </is>
      </c>
      <c r="D362" s="24" t="n">
        <v>1</v>
      </c>
    </row>
    <row r="363">
      <c r="A363" s="24" t="n">
        <v>359</v>
      </c>
      <c r="B363" s="25" t="inlineStr">
        <is>
          <t>https://www.yynosai.or.jp/yamagata/branch</t>
        </is>
      </c>
      <c r="C363" s="24" t="inlineStr">
        <is>
          <t>257</t>
        </is>
      </c>
      <c r="D363" s="24" t="n">
        <v>1</v>
      </c>
    </row>
    <row r="364">
      <c r="A364" s="24" t="n">
        <v>360</v>
      </c>
      <c r="B364" s="25" t="inlineStr">
        <is>
          <t>https://www.yynosai.or.jp/contact</t>
        </is>
      </c>
      <c r="C364" s="24" t="inlineStr">
        <is>
          <t>257</t>
        </is>
      </c>
      <c r="D364" s="24" t="n">
        <v>1</v>
      </c>
    </row>
    <row r="365">
      <c r="A365" s="24" t="n">
        <v>361</v>
      </c>
      <c r="B365" s="25" t="inlineStr">
        <is>
          <t>https://www.thms.jp/service/juuika/breeding/hanshokukenshin/</t>
        </is>
      </c>
      <c r="C365" s="24" t="inlineStr">
        <is>
          <t>258</t>
        </is>
      </c>
      <c r="D365" s="24" t="n">
        <v>1</v>
      </c>
    </row>
    <row r="366">
      <c r="A366" s="24" t="n">
        <v>362</v>
      </c>
      <c r="B366" s="25" t="inlineStr">
        <is>
          <t>https://www.thms.jp/contact/</t>
        </is>
      </c>
      <c r="C366" s="24" t="inlineStr">
        <is>
          <t>258</t>
        </is>
      </c>
      <c r="D366" s="24" t="n">
        <v>1</v>
      </c>
    </row>
    <row r="367">
      <c r="A367" s="24" t="n">
        <v>363</v>
      </c>
      <c r="B367" s="25" t="inlineStr">
        <is>
          <t>https://animal-99.com/</t>
        </is>
      </c>
      <c r="C367" s="24" t="inlineStr">
        <is>
          <t>259</t>
        </is>
      </c>
      <c r="D367" s="24" t="n">
        <v>1</v>
      </c>
    </row>
    <row r="368">
      <c r="A368" s="24" t="n">
        <v>364</v>
      </c>
      <c r="B368" s="25" t="inlineStr">
        <is>
          <t>https://forbesjapan.com/articles/detail/82089</t>
        </is>
      </c>
      <c r="C368" s="24" t="inlineStr">
        <is>
          <t>259</t>
        </is>
      </c>
      <c r="D368" s="24" t="n">
        <v>1</v>
      </c>
    </row>
    <row r="369">
      <c r="A369" s="24" t="n">
        <v>365</v>
      </c>
      <c r="B369" s="25" t="inlineStr">
        <is>
          <t>https://animal-99.com/contact_form.html</t>
        </is>
      </c>
      <c r="C369" s="24" t="inlineStr">
        <is>
          <t>259</t>
        </is>
      </c>
      <c r="D369" s="24" t="n">
        <v>1</v>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 xmlns:r="http://schemas.openxmlformats.org/officeDocument/2006/relationships" ref="B122" r:id="rId118"/>
    <hyperlink xmlns:r="http://schemas.openxmlformats.org/officeDocument/2006/relationships" ref="B123" r:id="rId119"/>
    <hyperlink xmlns:r="http://schemas.openxmlformats.org/officeDocument/2006/relationships" ref="B124" r:id="rId120"/>
    <hyperlink xmlns:r="http://schemas.openxmlformats.org/officeDocument/2006/relationships" ref="B125" r:id="rId121"/>
    <hyperlink xmlns:r="http://schemas.openxmlformats.org/officeDocument/2006/relationships" ref="B126" r:id="rId122"/>
    <hyperlink xmlns:r="http://schemas.openxmlformats.org/officeDocument/2006/relationships" ref="B127" r:id="rId123"/>
    <hyperlink xmlns:r="http://schemas.openxmlformats.org/officeDocument/2006/relationships" ref="B128" r:id="rId124"/>
    <hyperlink xmlns:r="http://schemas.openxmlformats.org/officeDocument/2006/relationships" ref="B129" r:id="rId125"/>
    <hyperlink xmlns:r="http://schemas.openxmlformats.org/officeDocument/2006/relationships" ref="B130" r:id="rId126"/>
    <hyperlink xmlns:r="http://schemas.openxmlformats.org/officeDocument/2006/relationships" ref="B131" r:id="rId127"/>
    <hyperlink xmlns:r="http://schemas.openxmlformats.org/officeDocument/2006/relationships" ref="B132" r:id="rId128"/>
    <hyperlink xmlns:r="http://schemas.openxmlformats.org/officeDocument/2006/relationships" ref="B133" r:id="rId129"/>
    <hyperlink xmlns:r="http://schemas.openxmlformats.org/officeDocument/2006/relationships" ref="B134" r:id="rId130"/>
    <hyperlink xmlns:r="http://schemas.openxmlformats.org/officeDocument/2006/relationships" ref="B135" r:id="rId131"/>
    <hyperlink xmlns:r="http://schemas.openxmlformats.org/officeDocument/2006/relationships" ref="B136" r:id="rId132"/>
    <hyperlink xmlns:r="http://schemas.openxmlformats.org/officeDocument/2006/relationships" ref="B137" r:id="rId133"/>
    <hyperlink xmlns:r="http://schemas.openxmlformats.org/officeDocument/2006/relationships" ref="B138" r:id="rId134"/>
    <hyperlink xmlns:r="http://schemas.openxmlformats.org/officeDocument/2006/relationships" ref="B139" r:id="rId135"/>
    <hyperlink xmlns:r="http://schemas.openxmlformats.org/officeDocument/2006/relationships" ref="B140" r:id="rId136"/>
    <hyperlink xmlns:r="http://schemas.openxmlformats.org/officeDocument/2006/relationships" ref="B141" r:id="rId137"/>
    <hyperlink xmlns:r="http://schemas.openxmlformats.org/officeDocument/2006/relationships" ref="B142" r:id="rId138"/>
    <hyperlink xmlns:r="http://schemas.openxmlformats.org/officeDocument/2006/relationships" ref="B143" r:id="rId139"/>
    <hyperlink xmlns:r="http://schemas.openxmlformats.org/officeDocument/2006/relationships" ref="B144" r:id="rId140"/>
    <hyperlink xmlns:r="http://schemas.openxmlformats.org/officeDocument/2006/relationships" ref="B145" r:id="rId141"/>
    <hyperlink xmlns:r="http://schemas.openxmlformats.org/officeDocument/2006/relationships" ref="B146" r:id="rId142"/>
    <hyperlink xmlns:r="http://schemas.openxmlformats.org/officeDocument/2006/relationships" ref="B147" r:id="rId143"/>
    <hyperlink xmlns:r="http://schemas.openxmlformats.org/officeDocument/2006/relationships" ref="B148" r:id="rId144"/>
    <hyperlink xmlns:r="http://schemas.openxmlformats.org/officeDocument/2006/relationships" ref="B149" r:id="rId145"/>
    <hyperlink xmlns:r="http://schemas.openxmlformats.org/officeDocument/2006/relationships" ref="B150" r:id="rId146"/>
    <hyperlink xmlns:r="http://schemas.openxmlformats.org/officeDocument/2006/relationships" ref="B151" r:id="rId147"/>
    <hyperlink xmlns:r="http://schemas.openxmlformats.org/officeDocument/2006/relationships" ref="B152" r:id="rId148"/>
    <hyperlink xmlns:r="http://schemas.openxmlformats.org/officeDocument/2006/relationships" ref="B153" r:id="rId149"/>
    <hyperlink xmlns:r="http://schemas.openxmlformats.org/officeDocument/2006/relationships" ref="B154" r:id="rId150"/>
    <hyperlink xmlns:r="http://schemas.openxmlformats.org/officeDocument/2006/relationships" ref="B155" r:id="rId151"/>
    <hyperlink xmlns:r="http://schemas.openxmlformats.org/officeDocument/2006/relationships" ref="B156" r:id="rId152"/>
    <hyperlink xmlns:r="http://schemas.openxmlformats.org/officeDocument/2006/relationships" ref="B157" r:id="rId153"/>
    <hyperlink xmlns:r="http://schemas.openxmlformats.org/officeDocument/2006/relationships" ref="B158" r:id="rId154"/>
    <hyperlink xmlns:r="http://schemas.openxmlformats.org/officeDocument/2006/relationships" ref="B159" r:id="rId155"/>
    <hyperlink xmlns:r="http://schemas.openxmlformats.org/officeDocument/2006/relationships" ref="B160" r:id="rId156"/>
    <hyperlink xmlns:r="http://schemas.openxmlformats.org/officeDocument/2006/relationships" ref="B161" r:id="rId157"/>
    <hyperlink xmlns:r="http://schemas.openxmlformats.org/officeDocument/2006/relationships" ref="B162" r:id="rId158"/>
    <hyperlink xmlns:r="http://schemas.openxmlformats.org/officeDocument/2006/relationships" ref="B163" r:id="rId159"/>
    <hyperlink xmlns:r="http://schemas.openxmlformats.org/officeDocument/2006/relationships" ref="B164" r:id="rId160"/>
    <hyperlink xmlns:r="http://schemas.openxmlformats.org/officeDocument/2006/relationships" ref="B165" r:id="rId161"/>
    <hyperlink xmlns:r="http://schemas.openxmlformats.org/officeDocument/2006/relationships" ref="B166" r:id="rId162"/>
    <hyperlink xmlns:r="http://schemas.openxmlformats.org/officeDocument/2006/relationships" ref="B167" r:id="rId163"/>
    <hyperlink xmlns:r="http://schemas.openxmlformats.org/officeDocument/2006/relationships" ref="B168" r:id="rId164"/>
    <hyperlink xmlns:r="http://schemas.openxmlformats.org/officeDocument/2006/relationships" ref="B169" r:id="rId165"/>
    <hyperlink xmlns:r="http://schemas.openxmlformats.org/officeDocument/2006/relationships" ref="B170" r:id="rId166"/>
    <hyperlink xmlns:r="http://schemas.openxmlformats.org/officeDocument/2006/relationships" ref="B171" r:id="rId167"/>
    <hyperlink xmlns:r="http://schemas.openxmlformats.org/officeDocument/2006/relationships" ref="B172" r:id="rId168"/>
    <hyperlink xmlns:r="http://schemas.openxmlformats.org/officeDocument/2006/relationships" ref="B173" r:id="rId169"/>
    <hyperlink xmlns:r="http://schemas.openxmlformats.org/officeDocument/2006/relationships" ref="B174" r:id="rId170"/>
    <hyperlink xmlns:r="http://schemas.openxmlformats.org/officeDocument/2006/relationships" ref="B175" r:id="rId171"/>
    <hyperlink xmlns:r="http://schemas.openxmlformats.org/officeDocument/2006/relationships" ref="B176" r:id="rId172"/>
    <hyperlink xmlns:r="http://schemas.openxmlformats.org/officeDocument/2006/relationships" ref="B177" r:id="rId173"/>
    <hyperlink xmlns:r="http://schemas.openxmlformats.org/officeDocument/2006/relationships" ref="B178" r:id="rId174"/>
    <hyperlink xmlns:r="http://schemas.openxmlformats.org/officeDocument/2006/relationships" ref="B179" r:id="rId175"/>
    <hyperlink xmlns:r="http://schemas.openxmlformats.org/officeDocument/2006/relationships" ref="B180" r:id="rId176"/>
    <hyperlink xmlns:r="http://schemas.openxmlformats.org/officeDocument/2006/relationships" ref="B181" r:id="rId177"/>
    <hyperlink xmlns:r="http://schemas.openxmlformats.org/officeDocument/2006/relationships" ref="B182" r:id="rId178"/>
    <hyperlink xmlns:r="http://schemas.openxmlformats.org/officeDocument/2006/relationships" ref="B183" r:id="rId179"/>
    <hyperlink xmlns:r="http://schemas.openxmlformats.org/officeDocument/2006/relationships" ref="B184" r:id="rId180"/>
    <hyperlink xmlns:r="http://schemas.openxmlformats.org/officeDocument/2006/relationships" ref="B185" r:id="rId181"/>
    <hyperlink xmlns:r="http://schemas.openxmlformats.org/officeDocument/2006/relationships" ref="B186" r:id="rId182"/>
    <hyperlink xmlns:r="http://schemas.openxmlformats.org/officeDocument/2006/relationships" ref="B187" r:id="rId183"/>
    <hyperlink xmlns:r="http://schemas.openxmlformats.org/officeDocument/2006/relationships" ref="B188" r:id="rId184"/>
    <hyperlink xmlns:r="http://schemas.openxmlformats.org/officeDocument/2006/relationships" ref="B189" r:id="rId185"/>
    <hyperlink xmlns:r="http://schemas.openxmlformats.org/officeDocument/2006/relationships" ref="B190" r:id="rId186"/>
    <hyperlink xmlns:r="http://schemas.openxmlformats.org/officeDocument/2006/relationships" ref="B191" r:id="rId187"/>
    <hyperlink xmlns:r="http://schemas.openxmlformats.org/officeDocument/2006/relationships" ref="B192" r:id="rId188"/>
    <hyperlink xmlns:r="http://schemas.openxmlformats.org/officeDocument/2006/relationships" ref="B193" r:id="rId189"/>
    <hyperlink xmlns:r="http://schemas.openxmlformats.org/officeDocument/2006/relationships" ref="B194" r:id="rId190"/>
    <hyperlink xmlns:r="http://schemas.openxmlformats.org/officeDocument/2006/relationships" ref="B195" r:id="rId191"/>
    <hyperlink xmlns:r="http://schemas.openxmlformats.org/officeDocument/2006/relationships" ref="B196" r:id="rId192"/>
    <hyperlink xmlns:r="http://schemas.openxmlformats.org/officeDocument/2006/relationships" ref="B197" r:id="rId193"/>
    <hyperlink xmlns:r="http://schemas.openxmlformats.org/officeDocument/2006/relationships" ref="B198" r:id="rId194"/>
    <hyperlink xmlns:r="http://schemas.openxmlformats.org/officeDocument/2006/relationships" ref="B199" r:id="rId195"/>
    <hyperlink xmlns:r="http://schemas.openxmlformats.org/officeDocument/2006/relationships" ref="B200" r:id="rId196"/>
    <hyperlink xmlns:r="http://schemas.openxmlformats.org/officeDocument/2006/relationships" ref="B201" r:id="rId197"/>
    <hyperlink xmlns:r="http://schemas.openxmlformats.org/officeDocument/2006/relationships" ref="B202" r:id="rId198"/>
    <hyperlink xmlns:r="http://schemas.openxmlformats.org/officeDocument/2006/relationships" ref="B203" r:id="rId199"/>
    <hyperlink xmlns:r="http://schemas.openxmlformats.org/officeDocument/2006/relationships" ref="B204" r:id="rId200"/>
    <hyperlink xmlns:r="http://schemas.openxmlformats.org/officeDocument/2006/relationships" ref="B205" r:id="rId201"/>
    <hyperlink xmlns:r="http://schemas.openxmlformats.org/officeDocument/2006/relationships" ref="B206" r:id="rId202"/>
    <hyperlink xmlns:r="http://schemas.openxmlformats.org/officeDocument/2006/relationships" ref="B207" r:id="rId203"/>
    <hyperlink xmlns:r="http://schemas.openxmlformats.org/officeDocument/2006/relationships" ref="B208" r:id="rId204"/>
    <hyperlink xmlns:r="http://schemas.openxmlformats.org/officeDocument/2006/relationships" ref="B209" r:id="rId205"/>
    <hyperlink xmlns:r="http://schemas.openxmlformats.org/officeDocument/2006/relationships" ref="B210" r:id="rId206"/>
    <hyperlink xmlns:r="http://schemas.openxmlformats.org/officeDocument/2006/relationships" ref="B211" r:id="rId207"/>
    <hyperlink xmlns:r="http://schemas.openxmlformats.org/officeDocument/2006/relationships" ref="B212" r:id="rId208"/>
    <hyperlink xmlns:r="http://schemas.openxmlformats.org/officeDocument/2006/relationships" ref="B213" r:id="rId209"/>
    <hyperlink xmlns:r="http://schemas.openxmlformats.org/officeDocument/2006/relationships" ref="B214" r:id="rId210"/>
    <hyperlink xmlns:r="http://schemas.openxmlformats.org/officeDocument/2006/relationships" ref="B215" r:id="rId211"/>
    <hyperlink xmlns:r="http://schemas.openxmlformats.org/officeDocument/2006/relationships" ref="B216" r:id="rId212"/>
    <hyperlink xmlns:r="http://schemas.openxmlformats.org/officeDocument/2006/relationships" ref="B217" r:id="rId213"/>
    <hyperlink xmlns:r="http://schemas.openxmlformats.org/officeDocument/2006/relationships" ref="B218" r:id="rId214"/>
    <hyperlink xmlns:r="http://schemas.openxmlformats.org/officeDocument/2006/relationships" ref="B219" r:id="rId215"/>
    <hyperlink xmlns:r="http://schemas.openxmlformats.org/officeDocument/2006/relationships" ref="B220" r:id="rId216"/>
    <hyperlink xmlns:r="http://schemas.openxmlformats.org/officeDocument/2006/relationships" ref="B221" r:id="rId217"/>
    <hyperlink xmlns:r="http://schemas.openxmlformats.org/officeDocument/2006/relationships" ref="B222" r:id="rId218"/>
    <hyperlink xmlns:r="http://schemas.openxmlformats.org/officeDocument/2006/relationships" ref="B223" r:id="rId219"/>
    <hyperlink xmlns:r="http://schemas.openxmlformats.org/officeDocument/2006/relationships" ref="B224" r:id="rId220"/>
    <hyperlink xmlns:r="http://schemas.openxmlformats.org/officeDocument/2006/relationships" ref="B225" r:id="rId221"/>
    <hyperlink xmlns:r="http://schemas.openxmlformats.org/officeDocument/2006/relationships" ref="B226" r:id="rId222"/>
    <hyperlink xmlns:r="http://schemas.openxmlformats.org/officeDocument/2006/relationships" ref="B227" r:id="rId223"/>
    <hyperlink xmlns:r="http://schemas.openxmlformats.org/officeDocument/2006/relationships" ref="B228" r:id="rId224"/>
    <hyperlink xmlns:r="http://schemas.openxmlformats.org/officeDocument/2006/relationships" ref="B229" r:id="rId225"/>
    <hyperlink xmlns:r="http://schemas.openxmlformats.org/officeDocument/2006/relationships" ref="B230" r:id="rId226"/>
    <hyperlink xmlns:r="http://schemas.openxmlformats.org/officeDocument/2006/relationships" ref="B231" r:id="rId227"/>
    <hyperlink xmlns:r="http://schemas.openxmlformats.org/officeDocument/2006/relationships" ref="B232" r:id="rId228"/>
    <hyperlink xmlns:r="http://schemas.openxmlformats.org/officeDocument/2006/relationships" ref="B233" r:id="rId229"/>
    <hyperlink xmlns:r="http://schemas.openxmlformats.org/officeDocument/2006/relationships" ref="B234" r:id="rId230"/>
    <hyperlink xmlns:r="http://schemas.openxmlformats.org/officeDocument/2006/relationships" ref="B235" r:id="rId231"/>
    <hyperlink xmlns:r="http://schemas.openxmlformats.org/officeDocument/2006/relationships" ref="B236" r:id="rId232"/>
    <hyperlink xmlns:r="http://schemas.openxmlformats.org/officeDocument/2006/relationships" ref="B237" r:id="rId233"/>
    <hyperlink xmlns:r="http://schemas.openxmlformats.org/officeDocument/2006/relationships" ref="B238" r:id="rId234"/>
    <hyperlink xmlns:r="http://schemas.openxmlformats.org/officeDocument/2006/relationships" ref="B239" r:id="rId235"/>
    <hyperlink xmlns:r="http://schemas.openxmlformats.org/officeDocument/2006/relationships" ref="B240" r:id="rId236"/>
    <hyperlink xmlns:r="http://schemas.openxmlformats.org/officeDocument/2006/relationships" ref="B241" r:id="rId237"/>
    <hyperlink xmlns:r="http://schemas.openxmlformats.org/officeDocument/2006/relationships" ref="B242" r:id="rId238"/>
    <hyperlink xmlns:r="http://schemas.openxmlformats.org/officeDocument/2006/relationships" ref="B243" r:id="rId239"/>
    <hyperlink xmlns:r="http://schemas.openxmlformats.org/officeDocument/2006/relationships" ref="B244" r:id="rId240"/>
    <hyperlink xmlns:r="http://schemas.openxmlformats.org/officeDocument/2006/relationships" ref="B245" r:id="rId241"/>
    <hyperlink xmlns:r="http://schemas.openxmlformats.org/officeDocument/2006/relationships" ref="B246" r:id="rId242"/>
    <hyperlink xmlns:r="http://schemas.openxmlformats.org/officeDocument/2006/relationships" ref="B247" r:id="rId243"/>
    <hyperlink xmlns:r="http://schemas.openxmlformats.org/officeDocument/2006/relationships" ref="B248" r:id="rId244"/>
    <hyperlink xmlns:r="http://schemas.openxmlformats.org/officeDocument/2006/relationships" ref="B249" r:id="rId245"/>
    <hyperlink xmlns:r="http://schemas.openxmlformats.org/officeDocument/2006/relationships" ref="B250" r:id="rId246"/>
    <hyperlink xmlns:r="http://schemas.openxmlformats.org/officeDocument/2006/relationships" ref="B251" r:id="rId247"/>
    <hyperlink xmlns:r="http://schemas.openxmlformats.org/officeDocument/2006/relationships" ref="B252" r:id="rId248"/>
    <hyperlink xmlns:r="http://schemas.openxmlformats.org/officeDocument/2006/relationships" ref="B253" r:id="rId249"/>
    <hyperlink xmlns:r="http://schemas.openxmlformats.org/officeDocument/2006/relationships" ref="B254" r:id="rId250"/>
    <hyperlink xmlns:r="http://schemas.openxmlformats.org/officeDocument/2006/relationships" ref="B255" r:id="rId251"/>
    <hyperlink xmlns:r="http://schemas.openxmlformats.org/officeDocument/2006/relationships" ref="B256" r:id="rId252"/>
    <hyperlink xmlns:r="http://schemas.openxmlformats.org/officeDocument/2006/relationships" ref="B257" r:id="rId253"/>
    <hyperlink xmlns:r="http://schemas.openxmlformats.org/officeDocument/2006/relationships" ref="B258" r:id="rId254"/>
    <hyperlink xmlns:r="http://schemas.openxmlformats.org/officeDocument/2006/relationships" ref="B259" r:id="rId255"/>
    <hyperlink xmlns:r="http://schemas.openxmlformats.org/officeDocument/2006/relationships" ref="B260" r:id="rId256"/>
    <hyperlink xmlns:r="http://schemas.openxmlformats.org/officeDocument/2006/relationships" ref="B261" r:id="rId257"/>
    <hyperlink xmlns:r="http://schemas.openxmlformats.org/officeDocument/2006/relationships" ref="B262" r:id="rId258"/>
    <hyperlink xmlns:r="http://schemas.openxmlformats.org/officeDocument/2006/relationships" ref="B263" r:id="rId259"/>
    <hyperlink xmlns:r="http://schemas.openxmlformats.org/officeDocument/2006/relationships" ref="B264" r:id="rId260"/>
    <hyperlink xmlns:r="http://schemas.openxmlformats.org/officeDocument/2006/relationships" ref="B265" r:id="rId261"/>
    <hyperlink xmlns:r="http://schemas.openxmlformats.org/officeDocument/2006/relationships" ref="B266" r:id="rId262"/>
    <hyperlink xmlns:r="http://schemas.openxmlformats.org/officeDocument/2006/relationships" ref="B267" r:id="rId263"/>
    <hyperlink xmlns:r="http://schemas.openxmlformats.org/officeDocument/2006/relationships" ref="B268" r:id="rId264"/>
    <hyperlink xmlns:r="http://schemas.openxmlformats.org/officeDocument/2006/relationships" ref="B269" r:id="rId265"/>
    <hyperlink xmlns:r="http://schemas.openxmlformats.org/officeDocument/2006/relationships" ref="B270" r:id="rId266"/>
    <hyperlink xmlns:r="http://schemas.openxmlformats.org/officeDocument/2006/relationships" ref="B271" r:id="rId267"/>
    <hyperlink xmlns:r="http://schemas.openxmlformats.org/officeDocument/2006/relationships" ref="B272" r:id="rId268"/>
    <hyperlink xmlns:r="http://schemas.openxmlformats.org/officeDocument/2006/relationships" ref="B273" r:id="rId269"/>
    <hyperlink xmlns:r="http://schemas.openxmlformats.org/officeDocument/2006/relationships" ref="B274" r:id="rId270"/>
    <hyperlink xmlns:r="http://schemas.openxmlformats.org/officeDocument/2006/relationships" ref="B275" r:id="rId271"/>
    <hyperlink xmlns:r="http://schemas.openxmlformats.org/officeDocument/2006/relationships" ref="B276" r:id="rId272"/>
    <hyperlink xmlns:r="http://schemas.openxmlformats.org/officeDocument/2006/relationships" ref="B277" r:id="rId273"/>
    <hyperlink xmlns:r="http://schemas.openxmlformats.org/officeDocument/2006/relationships" ref="B278" r:id="rId274"/>
    <hyperlink xmlns:r="http://schemas.openxmlformats.org/officeDocument/2006/relationships" ref="B279" r:id="rId275"/>
    <hyperlink xmlns:r="http://schemas.openxmlformats.org/officeDocument/2006/relationships" ref="B280" r:id="rId276"/>
    <hyperlink xmlns:r="http://schemas.openxmlformats.org/officeDocument/2006/relationships" ref="B281" r:id="rId277"/>
    <hyperlink xmlns:r="http://schemas.openxmlformats.org/officeDocument/2006/relationships" ref="B282" r:id="rId278"/>
    <hyperlink xmlns:r="http://schemas.openxmlformats.org/officeDocument/2006/relationships" ref="B283" r:id="rId279"/>
    <hyperlink xmlns:r="http://schemas.openxmlformats.org/officeDocument/2006/relationships" ref="B284" r:id="rId280"/>
    <hyperlink xmlns:r="http://schemas.openxmlformats.org/officeDocument/2006/relationships" ref="B285" r:id="rId281"/>
    <hyperlink xmlns:r="http://schemas.openxmlformats.org/officeDocument/2006/relationships" ref="B286" r:id="rId282"/>
    <hyperlink xmlns:r="http://schemas.openxmlformats.org/officeDocument/2006/relationships" ref="B287" r:id="rId283"/>
    <hyperlink xmlns:r="http://schemas.openxmlformats.org/officeDocument/2006/relationships" ref="B288" r:id="rId284"/>
    <hyperlink xmlns:r="http://schemas.openxmlformats.org/officeDocument/2006/relationships" ref="B289" r:id="rId285"/>
    <hyperlink xmlns:r="http://schemas.openxmlformats.org/officeDocument/2006/relationships" ref="B290" r:id="rId286"/>
    <hyperlink xmlns:r="http://schemas.openxmlformats.org/officeDocument/2006/relationships" ref="B291" r:id="rId287"/>
    <hyperlink xmlns:r="http://schemas.openxmlformats.org/officeDocument/2006/relationships" ref="B292" r:id="rId288"/>
    <hyperlink xmlns:r="http://schemas.openxmlformats.org/officeDocument/2006/relationships" ref="B293" r:id="rId289"/>
    <hyperlink xmlns:r="http://schemas.openxmlformats.org/officeDocument/2006/relationships" ref="B294" r:id="rId290"/>
    <hyperlink xmlns:r="http://schemas.openxmlformats.org/officeDocument/2006/relationships" ref="B295" r:id="rId291"/>
    <hyperlink xmlns:r="http://schemas.openxmlformats.org/officeDocument/2006/relationships" ref="B296" r:id="rId292"/>
    <hyperlink xmlns:r="http://schemas.openxmlformats.org/officeDocument/2006/relationships" ref="B297" r:id="rId293"/>
    <hyperlink xmlns:r="http://schemas.openxmlformats.org/officeDocument/2006/relationships" ref="B298" r:id="rId294"/>
    <hyperlink xmlns:r="http://schemas.openxmlformats.org/officeDocument/2006/relationships" ref="B299" r:id="rId295"/>
    <hyperlink xmlns:r="http://schemas.openxmlformats.org/officeDocument/2006/relationships" ref="B300" r:id="rId296"/>
    <hyperlink xmlns:r="http://schemas.openxmlformats.org/officeDocument/2006/relationships" ref="B301" r:id="rId297"/>
    <hyperlink xmlns:r="http://schemas.openxmlformats.org/officeDocument/2006/relationships" ref="B302" r:id="rId298"/>
    <hyperlink xmlns:r="http://schemas.openxmlformats.org/officeDocument/2006/relationships" ref="B303" r:id="rId299"/>
    <hyperlink xmlns:r="http://schemas.openxmlformats.org/officeDocument/2006/relationships" ref="B304" r:id="rId300"/>
    <hyperlink xmlns:r="http://schemas.openxmlformats.org/officeDocument/2006/relationships" ref="B305" r:id="rId301"/>
    <hyperlink xmlns:r="http://schemas.openxmlformats.org/officeDocument/2006/relationships" ref="B306" r:id="rId302"/>
    <hyperlink xmlns:r="http://schemas.openxmlformats.org/officeDocument/2006/relationships" ref="B307" r:id="rId303"/>
    <hyperlink xmlns:r="http://schemas.openxmlformats.org/officeDocument/2006/relationships" ref="B308" r:id="rId304"/>
    <hyperlink xmlns:r="http://schemas.openxmlformats.org/officeDocument/2006/relationships" ref="B309" r:id="rId305"/>
    <hyperlink xmlns:r="http://schemas.openxmlformats.org/officeDocument/2006/relationships" ref="B310" r:id="rId306"/>
    <hyperlink xmlns:r="http://schemas.openxmlformats.org/officeDocument/2006/relationships" ref="B311" r:id="rId307"/>
    <hyperlink xmlns:r="http://schemas.openxmlformats.org/officeDocument/2006/relationships" ref="B312" r:id="rId308"/>
    <hyperlink xmlns:r="http://schemas.openxmlformats.org/officeDocument/2006/relationships" ref="B313" r:id="rId309"/>
    <hyperlink xmlns:r="http://schemas.openxmlformats.org/officeDocument/2006/relationships" ref="B314" r:id="rId310"/>
    <hyperlink xmlns:r="http://schemas.openxmlformats.org/officeDocument/2006/relationships" ref="B315" r:id="rId311"/>
    <hyperlink xmlns:r="http://schemas.openxmlformats.org/officeDocument/2006/relationships" ref="B316" r:id="rId312"/>
    <hyperlink xmlns:r="http://schemas.openxmlformats.org/officeDocument/2006/relationships" ref="B317" r:id="rId313"/>
    <hyperlink xmlns:r="http://schemas.openxmlformats.org/officeDocument/2006/relationships" ref="B318" r:id="rId314"/>
    <hyperlink xmlns:r="http://schemas.openxmlformats.org/officeDocument/2006/relationships" ref="B319" r:id="rId315"/>
    <hyperlink xmlns:r="http://schemas.openxmlformats.org/officeDocument/2006/relationships" ref="B320" r:id="rId316"/>
    <hyperlink xmlns:r="http://schemas.openxmlformats.org/officeDocument/2006/relationships" ref="B321" r:id="rId317"/>
    <hyperlink xmlns:r="http://schemas.openxmlformats.org/officeDocument/2006/relationships" ref="B322" r:id="rId318"/>
    <hyperlink xmlns:r="http://schemas.openxmlformats.org/officeDocument/2006/relationships" ref="B323" r:id="rId319"/>
    <hyperlink xmlns:r="http://schemas.openxmlformats.org/officeDocument/2006/relationships" ref="B324" r:id="rId320"/>
    <hyperlink xmlns:r="http://schemas.openxmlformats.org/officeDocument/2006/relationships" ref="B325" r:id="rId321"/>
    <hyperlink xmlns:r="http://schemas.openxmlformats.org/officeDocument/2006/relationships" ref="B326" r:id="rId322"/>
    <hyperlink xmlns:r="http://schemas.openxmlformats.org/officeDocument/2006/relationships" ref="B327" r:id="rId323"/>
    <hyperlink xmlns:r="http://schemas.openxmlformats.org/officeDocument/2006/relationships" ref="B328" r:id="rId324"/>
    <hyperlink xmlns:r="http://schemas.openxmlformats.org/officeDocument/2006/relationships" ref="B329" r:id="rId325"/>
    <hyperlink xmlns:r="http://schemas.openxmlformats.org/officeDocument/2006/relationships" ref="B330" r:id="rId326"/>
    <hyperlink xmlns:r="http://schemas.openxmlformats.org/officeDocument/2006/relationships" ref="B331" r:id="rId327"/>
    <hyperlink xmlns:r="http://schemas.openxmlformats.org/officeDocument/2006/relationships" ref="B332" r:id="rId328"/>
    <hyperlink xmlns:r="http://schemas.openxmlformats.org/officeDocument/2006/relationships" ref="B333" r:id="rId329"/>
    <hyperlink xmlns:r="http://schemas.openxmlformats.org/officeDocument/2006/relationships" ref="B334" r:id="rId330"/>
    <hyperlink xmlns:r="http://schemas.openxmlformats.org/officeDocument/2006/relationships" ref="B335" r:id="rId331"/>
    <hyperlink xmlns:r="http://schemas.openxmlformats.org/officeDocument/2006/relationships" ref="B336" r:id="rId332"/>
    <hyperlink xmlns:r="http://schemas.openxmlformats.org/officeDocument/2006/relationships" ref="B337" r:id="rId333"/>
    <hyperlink xmlns:r="http://schemas.openxmlformats.org/officeDocument/2006/relationships" ref="B338" r:id="rId334"/>
    <hyperlink xmlns:r="http://schemas.openxmlformats.org/officeDocument/2006/relationships" ref="B339" r:id="rId335"/>
    <hyperlink xmlns:r="http://schemas.openxmlformats.org/officeDocument/2006/relationships" ref="B340" r:id="rId336"/>
    <hyperlink xmlns:r="http://schemas.openxmlformats.org/officeDocument/2006/relationships" ref="B341" r:id="rId337"/>
    <hyperlink xmlns:r="http://schemas.openxmlformats.org/officeDocument/2006/relationships" ref="B342" r:id="rId338"/>
    <hyperlink xmlns:r="http://schemas.openxmlformats.org/officeDocument/2006/relationships" ref="B343" r:id="rId339"/>
    <hyperlink xmlns:r="http://schemas.openxmlformats.org/officeDocument/2006/relationships" ref="B344" r:id="rId340"/>
    <hyperlink xmlns:r="http://schemas.openxmlformats.org/officeDocument/2006/relationships" ref="B345" r:id="rId341"/>
    <hyperlink xmlns:r="http://schemas.openxmlformats.org/officeDocument/2006/relationships" ref="B346" r:id="rId342"/>
    <hyperlink xmlns:r="http://schemas.openxmlformats.org/officeDocument/2006/relationships" ref="B347" r:id="rId343"/>
    <hyperlink xmlns:r="http://schemas.openxmlformats.org/officeDocument/2006/relationships" ref="B348" r:id="rId344"/>
    <hyperlink xmlns:r="http://schemas.openxmlformats.org/officeDocument/2006/relationships" ref="B349" r:id="rId345"/>
    <hyperlink xmlns:r="http://schemas.openxmlformats.org/officeDocument/2006/relationships" ref="B350" r:id="rId346"/>
    <hyperlink xmlns:r="http://schemas.openxmlformats.org/officeDocument/2006/relationships" ref="B351" r:id="rId347"/>
    <hyperlink xmlns:r="http://schemas.openxmlformats.org/officeDocument/2006/relationships" ref="B352" r:id="rId348"/>
    <hyperlink xmlns:r="http://schemas.openxmlformats.org/officeDocument/2006/relationships" ref="B353" r:id="rId349"/>
    <hyperlink xmlns:r="http://schemas.openxmlformats.org/officeDocument/2006/relationships" ref="B354" r:id="rId350"/>
    <hyperlink xmlns:r="http://schemas.openxmlformats.org/officeDocument/2006/relationships" ref="B355" r:id="rId351"/>
    <hyperlink xmlns:r="http://schemas.openxmlformats.org/officeDocument/2006/relationships" ref="B356" r:id="rId352"/>
    <hyperlink xmlns:r="http://schemas.openxmlformats.org/officeDocument/2006/relationships" ref="B357" r:id="rId353"/>
    <hyperlink xmlns:r="http://schemas.openxmlformats.org/officeDocument/2006/relationships" ref="B358" r:id="rId354"/>
    <hyperlink xmlns:r="http://schemas.openxmlformats.org/officeDocument/2006/relationships" ref="B359" r:id="rId355"/>
    <hyperlink xmlns:r="http://schemas.openxmlformats.org/officeDocument/2006/relationships" ref="B360" r:id="rId356"/>
    <hyperlink xmlns:r="http://schemas.openxmlformats.org/officeDocument/2006/relationships" ref="B361" r:id="rId357"/>
    <hyperlink xmlns:r="http://schemas.openxmlformats.org/officeDocument/2006/relationships" ref="B362" r:id="rId358"/>
    <hyperlink xmlns:r="http://schemas.openxmlformats.org/officeDocument/2006/relationships" ref="B363" r:id="rId359"/>
    <hyperlink xmlns:r="http://schemas.openxmlformats.org/officeDocument/2006/relationships" ref="B364" r:id="rId360"/>
    <hyperlink xmlns:r="http://schemas.openxmlformats.org/officeDocument/2006/relationships" ref="B365" r:id="rId361"/>
    <hyperlink xmlns:r="http://schemas.openxmlformats.org/officeDocument/2006/relationships" ref="B366" r:id="rId362"/>
    <hyperlink xmlns:r="http://schemas.openxmlformats.org/officeDocument/2006/relationships" ref="B367" r:id="rId363"/>
    <hyperlink xmlns:r="http://schemas.openxmlformats.org/officeDocument/2006/relationships" ref="B368" r:id="rId364"/>
    <hyperlink xmlns:r="http://schemas.openxmlformats.org/officeDocument/2006/relationships" ref="B369" r:id="rId36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2026-10-10T09:58:25Z</dcterms:created>
  <dcterms:modified xmlns:dcterms="http://purl.org/dc/terms/" xmlns:xsi="http://www.w3.org/2001/XMLSchema-instance" xsi:type="dcterms:W3CDTF">2026-10-10T09:58:25Z</dcterms:modified>
</cp:coreProperties>
</file>